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8C4F1C90-05EB-6A55-5F09-09C24B55AC0B}"/>
  <workbookPr showInkAnnotation="0" codeName="ThisWorkbook" autoCompressPictures="0"/>
  <bookViews>
    <workbookView xWindow="2700" yWindow="5460" windowWidth="25040" windowHeight="15500" tabRatio="500" activeTab="3"/>
  </bookViews>
  <sheets>
    <sheet name="methodology" sheetId="1" r:id="rId1"/>
    <sheet name="locations_data" sheetId="3" r:id="rId2"/>
    <sheet name="MT calculation" sheetId="4" r:id="rId3"/>
    <sheet name="Testing" sheetId="5" r:id="rId4"/>
  </sheets>
  <definedNames>
    <definedName name="accessibleassets">methodology!$C$27</definedName>
    <definedName name="amountToTarrif">methodology!#REF!</definedName>
    <definedName name="carecosts">methodology!$C$23</definedName>
    <definedName name="income">methodology!$C$28</definedName>
    <definedName name="locationlist">locations_data!$B$2:$B$154</definedName>
    <definedName name="minIncome">methodology!$C$28</definedName>
    <definedName name="property">methodology!$C$24</definedName>
    <definedName name="tariffincome">methodology!$G$12</definedName>
    <definedName name="threshold">methodology!$C$30</definedName>
    <definedName name="totalAssets">methodology!$C$26</definedName>
    <definedName name="totalincome">methodology!$C$29</definedName>
    <definedName name="totalWeeklyIncome">methodology!#REF!</definedName>
    <definedName name="weeklycosts">methodology!$C$22</definedName>
    <definedName name="yesNo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1" l="1"/>
  <c r="C4" i="4"/>
  <c r="C3" i="4"/>
  <c r="C2" i="4"/>
  <c r="C5" i="4"/>
  <c r="C15" i="4"/>
  <c r="C16" i="4"/>
  <c r="C25" i="1"/>
  <c r="C24" i="1"/>
  <c r="C26" i="1"/>
  <c r="C9" i="4"/>
  <c r="C12" i="4"/>
  <c r="C30" i="1"/>
  <c r="C7" i="4"/>
  <c r="C11" i="4"/>
  <c r="C23" i="1"/>
  <c r="F2" i="1"/>
  <c r="H2" i="1"/>
  <c r="C6" i="4"/>
  <c r="C13" i="4"/>
  <c r="C17" i="4"/>
  <c r="C8" i="4"/>
  <c r="DA1" i="5"/>
  <c r="DB1" i="5"/>
  <c r="DC1" i="5"/>
  <c r="DD1" i="5"/>
  <c r="DE1" i="5"/>
  <c r="DF1" i="5"/>
  <c r="DG1" i="5"/>
  <c r="DH1" i="5"/>
  <c r="DI1" i="5"/>
  <c r="DJ1" i="5"/>
  <c r="DK1" i="5"/>
  <c r="DL1" i="5"/>
  <c r="DM1" i="5"/>
  <c r="DN1" i="5"/>
  <c r="DO1" i="5"/>
  <c r="DP1" i="5"/>
  <c r="DQ1" i="5"/>
  <c r="DR1" i="5"/>
  <c r="DS1" i="5"/>
  <c r="DT1" i="5"/>
  <c r="DU1" i="5"/>
  <c r="DV1" i="5"/>
  <c r="DW1" i="5"/>
  <c r="DX1" i="5"/>
  <c r="DY1" i="5"/>
  <c r="DZ1" i="5"/>
  <c r="EA1" i="5"/>
  <c r="EB1" i="5"/>
  <c r="EC1" i="5"/>
  <c r="ED1" i="5"/>
  <c r="EE1" i="5"/>
  <c r="EF1" i="5"/>
  <c r="EG1" i="5"/>
  <c r="EH1" i="5"/>
  <c r="EI1" i="5"/>
  <c r="EJ1" i="5"/>
  <c r="EK1" i="5"/>
  <c r="EL1" i="5"/>
  <c r="EM1" i="5"/>
  <c r="EN1" i="5"/>
  <c r="EO1" i="5"/>
  <c r="EP1" i="5"/>
  <c r="EQ1" i="5"/>
  <c r="ER1" i="5"/>
  <c r="ES1" i="5"/>
  <c r="ET1" i="5"/>
  <c r="EU1" i="5"/>
  <c r="EV1" i="5"/>
  <c r="EW1" i="5"/>
  <c r="EX1" i="5"/>
  <c r="EY1" i="5"/>
  <c r="EZ1" i="5"/>
  <c r="FA1" i="5"/>
  <c r="FB1" i="5"/>
  <c r="FC1" i="5"/>
  <c r="FD1" i="5"/>
  <c r="FE1" i="5"/>
  <c r="FF1" i="5"/>
  <c r="FG1" i="5"/>
  <c r="FH1" i="5"/>
  <c r="FI1" i="5"/>
  <c r="FJ1" i="5"/>
  <c r="FK1" i="5"/>
  <c r="FL1" i="5"/>
  <c r="FM1" i="5"/>
  <c r="FN1" i="5"/>
  <c r="FO1" i="5"/>
  <c r="FP1" i="5"/>
  <c r="FQ1" i="5"/>
  <c r="FR1" i="5"/>
  <c r="FS1" i="5"/>
  <c r="FT1" i="5"/>
  <c r="FU1" i="5"/>
  <c r="FV1" i="5"/>
  <c r="FW1" i="5"/>
  <c r="FX1" i="5"/>
  <c r="FY1" i="5"/>
  <c r="FZ1" i="5"/>
  <c r="GA1" i="5"/>
  <c r="GB1" i="5"/>
  <c r="GC1" i="5"/>
  <c r="GD1" i="5"/>
  <c r="GE1" i="5"/>
  <c r="GF1" i="5"/>
  <c r="GG1" i="5"/>
  <c r="GH1" i="5"/>
  <c r="GI1" i="5"/>
  <c r="GJ1" i="5"/>
  <c r="GK1" i="5"/>
  <c r="GL1" i="5"/>
  <c r="GM1" i="5"/>
  <c r="GN1" i="5"/>
  <c r="GO1" i="5"/>
  <c r="GP1" i="5"/>
  <c r="GQ1" i="5"/>
  <c r="GR1" i="5"/>
  <c r="GS1" i="5"/>
  <c r="GT1" i="5"/>
  <c r="GU1" i="5"/>
  <c r="GV1" i="5"/>
  <c r="GW1" i="5"/>
  <c r="GX1" i="5"/>
  <c r="GY1" i="5"/>
  <c r="GZ1" i="5"/>
  <c r="HA1" i="5"/>
  <c r="HB1" i="5"/>
  <c r="HC1" i="5"/>
  <c r="HD1" i="5"/>
  <c r="HE1" i="5"/>
  <c r="HF1" i="5"/>
  <c r="HG1" i="5"/>
  <c r="HH1" i="5"/>
  <c r="HI1" i="5"/>
  <c r="HJ1" i="5"/>
  <c r="HK1" i="5"/>
  <c r="HL1" i="5"/>
  <c r="HM1" i="5"/>
  <c r="HN1" i="5"/>
  <c r="HO1" i="5"/>
  <c r="HP1" i="5"/>
  <c r="HQ1" i="5"/>
  <c r="HR1" i="5"/>
  <c r="HS1" i="5"/>
  <c r="HT1" i="5"/>
  <c r="HU1" i="5"/>
  <c r="HV1" i="5"/>
  <c r="HW1" i="5"/>
  <c r="HX1" i="5"/>
  <c r="HY1" i="5"/>
  <c r="HZ1" i="5"/>
  <c r="IA1" i="5"/>
  <c r="IB1" i="5"/>
  <c r="IC1" i="5"/>
  <c r="ID1" i="5"/>
  <c r="IE1" i="5"/>
  <c r="IF1" i="5"/>
  <c r="IG1" i="5"/>
  <c r="IH1" i="5"/>
  <c r="II1" i="5"/>
  <c r="IJ1" i="5"/>
  <c r="IK1" i="5"/>
  <c r="IL1" i="5"/>
  <c r="IM1" i="5"/>
  <c r="IN1" i="5"/>
  <c r="IO1" i="5"/>
  <c r="IP1" i="5"/>
  <c r="IQ1" i="5"/>
  <c r="IR1" i="5"/>
  <c r="IS1" i="5"/>
  <c r="IT1" i="5"/>
  <c r="IU1" i="5"/>
  <c r="IV1" i="5"/>
  <c r="IW1" i="5"/>
  <c r="IX1" i="5"/>
  <c r="IY1" i="5"/>
  <c r="IZ1" i="5"/>
  <c r="IZ5" i="5"/>
  <c r="IY5" i="5"/>
  <c r="IX5" i="5"/>
  <c r="IW5" i="5"/>
  <c r="IV5" i="5"/>
  <c r="IU5" i="5"/>
  <c r="IT5" i="5"/>
  <c r="IS5" i="5"/>
  <c r="IR5" i="5"/>
  <c r="IQ5" i="5"/>
  <c r="IP5" i="5"/>
  <c r="IO5" i="5"/>
  <c r="IN5" i="5"/>
  <c r="IM5" i="5"/>
  <c r="IL5" i="5"/>
  <c r="IK5" i="5"/>
  <c r="IJ5" i="5"/>
  <c r="II5" i="5"/>
  <c r="IH5" i="5"/>
  <c r="IG5" i="5"/>
  <c r="IF5" i="5"/>
  <c r="IE5" i="5"/>
  <c r="ID5" i="5"/>
  <c r="IC5" i="5"/>
  <c r="IB5" i="5"/>
  <c r="IA5" i="5"/>
  <c r="HZ5" i="5"/>
  <c r="HY5" i="5"/>
  <c r="HX5" i="5"/>
  <c r="HW5" i="5"/>
  <c r="HV5" i="5"/>
  <c r="HU5" i="5"/>
  <c r="HT5" i="5"/>
  <c r="HS5" i="5"/>
  <c r="HR5" i="5"/>
  <c r="HQ5" i="5"/>
  <c r="HP5" i="5"/>
  <c r="HO5" i="5"/>
  <c r="HN5" i="5"/>
  <c r="HM5" i="5"/>
  <c r="HL5" i="5"/>
  <c r="HK5" i="5"/>
  <c r="HJ5" i="5"/>
  <c r="HI5" i="5"/>
  <c r="HH5" i="5"/>
  <c r="HG5" i="5"/>
  <c r="HF5" i="5"/>
  <c r="HE5" i="5"/>
  <c r="HD5" i="5"/>
  <c r="HC5" i="5"/>
  <c r="HB5" i="5"/>
  <c r="HA5" i="5"/>
  <c r="GZ5" i="5"/>
  <c r="GY5" i="5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J5" i="5"/>
  <c r="DI5" i="5"/>
  <c r="DH5" i="5"/>
  <c r="DG5" i="5"/>
  <c r="DF5" i="5"/>
  <c r="DE5" i="5"/>
  <c r="DD5" i="5"/>
  <c r="DC5" i="5"/>
  <c r="DB5" i="5"/>
  <c r="DA5" i="5"/>
  <c r="CZ5" i="5"/>
  <c r="A154" i="3"/>
  <c r="C1" i="5"/>
  <c r="D1" i="5"/>
  <c r="C5" i="5"/>
  <c r="C28" i="1"/>
  <c r="C29" i="1"/>
  <c r="D5" i="5"/>
  <c r="E1" i="5"/>
  <c r="F1" i="5"/>
  <c r="E5" i="5"/>
  <c r="F5" i="5"/>
  <c r="G1" i="5"/>
  <c r="G5" i="5"/>
  <c r="H1" i="5"/>
  <c r="I1" i="5"/>
  <c r="H5" i="5"/>
  <c r="J1" i="5"/>
  <c r="I5" i="5"/>
  <c r="J5" i="5"/>
  <c r="K1" i="5"/>
  <c r="K5" i="5"/>
  <c r="L1" i="5"/>
  <c r="M1" i="5"/>
  <c r="L5" i="5"/>
  <c r="N1" i="5"/>
  <c r="M5" i="5"/>
  <c r="N5" i="5"/>
  <c r="O1" i="5"/>
  <c r="O5" i="5"/>
  <c r="P1" i="5"/>
  <c r="P5" i="5"/>
  <c r="Q1" i="5"/>
  <c r="R1" i="5"/>
  <c r="Q5" i="5"/>
  <c r="R5" i="5"/>
  <c r="S1" i="5"/>
  <c r="S5" i="5"/>
  <c r="T1" i="5"/>
  <c r="U1" i="5"/>
  <c r="T5" i="5"/>
  <c r="V1" i="5"/>
  <c r="U5" i="5"/>
  <c r="V5" i="5"/>
  <c r="W1" i="5"/>
  <c r="W5" i="5"/>
  <c r="X1" i="5"/>
  <c r="Y1" i="5"/>
  <c r="X5" i="5"/>
  <c r="Z1" i="5"/>
  <c r="Y5" i="5"/>
  <c r="Z5" i="5"/>
  <c r="AA1" i="5"/>
  <c r="AA5" i="5"/>
  <c r="AB1" i="5"/>
  <c r="AB5" i="5"/>
  <c r="AC1" i="5"/>
  <c r="AD1" i="5"/>
  <c r="AC5" i="5"/>
  <c r="AD5" i="5"/>
  <c r="AE1" i="5"/>
  <c r="AE5" i="5"/>
  <c r="AF1" i="5"/>
  <c r="AG1" i="5"/>
  <c r="AF5" i="5"/>
  <c r="AH1" i="5"/>
  <c r="AG5" i="5"/>
  <c r="AH5" i="5"/>
  <c r="AI1" i="5"/>
  <c r="AI5" i="5"/>
  <c r="AJ1" i="5"/>
  <c r="AK1" i="5"/>
  <c r="AJ5" i="5"/>
  <c r="AL1" i="5"/>
  <c r="AK5" i="5"/>
  <c r="AL5" i="5"/>
  <c r="AM1" i="5"/>
  <c r="AM5" i="5"/>
  <c r="AN1" i="5"/>
  <c r="AN5" i="5"/>
  <c r="AO1" i="5"/>
  <c r="AP1" i="5"/>
  <c r="AO5" i="5"/>
  <c r="AP5" i="5"/>
  <c r="AQ1" i="5"/>
  <c r="AQ5" i="5"/>
  <c r="AR1" i="5"/>
  <c r="AS1" i="5"/>
  <c r="AR5" i="5"/>
  <c r="AT1" i="5"/>
  <c r="AS5" i="5"/>
  <c r="AT5" i="5"/>
  <c r="AU1" i="5"/>
  <c r="AU5" i="5"/>
  <c r="AV1" i="5"/>
  <c r="AW1" i="5"/>
  <c r="AV5" i="5"/>
  <c r="AX1" i="5"/>
  <c r="AW5" i="5"/>
  <c r="AX5" i="5"/>
  <c r="AY1" i="5"/>
  <c r="AY5" i="5"/>
  <c r="AZ1" i="5"/>
  <c r="AZ5" i="5"/>
  <c r="BA1" i="5"/>
  <c r="BB1" i="5"/>
  <c r="BA5" i="5"/>
  <c r="BB5" i="5"/>
  <c r="BC1" i="5"/>
  <c r="BC5" i="5"/>
  <c r="BD1" i="5"/>
  <c r="BE1" i="5"/>
  <c r="BD5" i="5"/>
  <c r="BF1" i="5"/>
  <c r="BE5" i="5"/>
  <c r="BF5" i="5"/>
  <c r="BG1" i="5"/>
  <c r="BG5" i="5"/>
  <c r="BH1" i="5"/>
  <c r="BI1" i="5"/>
  <c r="BH5" i="5"/>
  <c r="BJ1" i="5"/>
  <c r="BI5" i="5"/>
  <c r="BJ5" i="5"/>
  <c r="BK1" i="5"/>
  <c r="BK5" i="5"/>
  <c r="BL1" i="5"/>
  <c r="BL5" i="5"/>
  <c r="BM1" i="5"/>
  <c r="BN1" i="5"/>
  <c r="BM5" i="5"/>
  <c r="BN5" i="5"/>
  <c r="BO1" i="5"/>
  <c r="BO5" i="5"/>
  <c r="BP1" i="5"/>
  <c r="BQ1" i="5"/>
  <c r="BP5" i="5"/>
  <c r="BR1" i="5"/>
  <c r="BQ5" i="5"/>
  <c r="BR5" i="5"/>
  <c r="BS1" i="5"/>
  <c r="BS5" i="5"/>
  <c r="BT1" i="5"/>
  <c r="BU1" i="5"/>
  <c r="BT5" i="5"/>
  <c r="BV1" i="5"/>
  <c r="BU5" i="5"/>
  <c r="BV5" i="5"/>
  <c r="BW1" i="5"/>
  <c r="BW5" i="5"/>
  <c r="BX1" i="5"/>
  <c r="BX5" i="5"/>
  <c r="BY1" i="5"/>
  <c r="BZ1" i="5"/>
  <c r="BY5" i="5"/>
  <c r="BZ5" i="5"/>
  <c r="CA1" i="5"/>
  <c r="CA5" i="5"/>
  <c r="CB1" i="5"/>
  <c r="CC1" i="5"/>
  <c r="CB5" i="5"/>
  <c r="CD1" i="5"/>
  <c r="CC5" i="5"/>
  <c r="CD5" i="5"/>
  <c r="CE1" i="5"/>
  <c r="CE5" i="5"/>
  <c r="CF1" i="5"/>
  <c r="CF5" i="5"/>
  <c r="CG1" i="5"/>
  <c r="CH1" i="5"/>
  <c r="CG5" i="5"/>
  <c r="CH5" i="5"/>
  <c r="CI1" i="5"/>
  <c r="CI5" i="5"/>
  <c r="CJ1" i="5"/>
  <c r="CK1" i="5"/>
  <c r="CJ5" i="5"/>
  <c r="CL1" i="5"/>
  <c r="CK5" i="5"/>
  <c r="CL5" i="5"/>
  <c r="CM1" i="5"/>
  <c r="CM5" i="5"/>
  <c r="CN1" i="5"/>
  <c r="CO1" i="5"/>
  <c r="CN5" i="5"/>
  <c r="CP1" i="5"/>
  <c r="CO5" i="5"/>
  <c r="CP5" i="5"/>
  <c r="CQ1" i="5"/>
  <c r="CQ5" i="5"/>
  <c r="CR1" i="5"/>
  <c r="CR5" i="5"/>
  <c r="CS1" i="5"/>
  <c r="CT1" i="5"/>
  <c r="CS5" i="5"/>
  <c r="CT5" i="5"/>
  <c r="CU1" i="5"/>
  <c r="CU5" i="5"/>
  <c r="CV1" i="5"/>
  <c r="CW1" i="5"/>
  <c r="CV5" i="5"/>
  <c r="CX1" i="5"/>
  <c r="CW5" i="5"/>
  <c r="CX5" i="5"/>
  <c r="CY1" i="5"/>
  <c r="CY5" i="5"/>
  <c r="H5" i="4"/>
  <c r="C27" i="1"/>
  <c r="G2" i="1"/>
  <c r="H2" i="4"/>
  <c r="C21" i="4"/>
  <c r="H3" i="4"/>
  <c r="B31" i="4"/>
  <c r="C18" i="4"/>
  <c r="C19" i="4"/>
  <c r="C31" i="4"/>
  <c r="F31" i="4"/>
  <c r="G7" i="1"/>
  <c r="H4" i="4"/>
  <c r="C22" i="4"/>
  <c r="D31" i="4"/>
  <c r="E31" i="4"/>
  <c r="H7" i="1"/>
  <c r="B32" i="4"/>
  <c r="E32" i="4"/>
  <c r="C32" i="4"/>
  <c r="F32" i="4"/>
  <c r="E33" i="4"/>
  <c r="D32" i="4"/>
  <c r="E34" i="4"/>
  <c r="E35" i="4"/>
  <c r="B33" i="4"/>
  <c r="C33" i="4"/>
  <c r="F33" i="4"/>
  <c r="E36" i="4"/>
  <c r="E37" i="4"/>
  <c r="E38" i="4"/>
  <c r="D33" i="4"/>
  <c r="E39" i="4"/>
  <c r="E40" i="4"/>
  <c r="B34" i="4"/>
  <c r="C34" i="4"/>
  <c r="F34" i="4"/>
  <c r="E41" i="4"/>
  <c r="E42" i="4"/>
  <c r="E43" i="4"/>
  <c r="E44" i="4"/>
  <c r="D34" i="4"/>
  <c r="B35" i="4"/>
  <c r="C35" i="4"/>
  <c r="F35" i="4"/>
  <c r="D35" i="4"/>
  <c r="B36" i="4"/>
  <c r="C36" i="4"/>
  <c r="F36" i="4"/>
  <c r="D36" i="4"/>
  <c r="B37" i="4"/>
  <c r="C37" i="4"/>
  <c r="F37" i="4"/>
  <c r="D37" i="4"/>
  <c r="B38" i="4"/>
  <c r="C38" i="4"/>
  <c r="F38" i="4"/>
  <c r="D38" i="4"/>
  <c r="B39" i="4"/>
  <c r="C39" i="4"/>
  <c r="F39" i="4"/>
  <c r="D39" i="4"/>
  <c r="B40" i="4"/>
  <c r="C40" i="4"/>
  <c r="F40" i="4"/>
  <c r="D40" i="4"/>
  <c r="B41" i="4"/>
  <c r="C41" i="4"/>
  <c r="F41" i="4"/>
  <c r="D41" i="4"/>
  <c r="B42" i="4"/>
  <c r="C42" i="4"/>
  <c r="F42" i="4"/>
  <c r="D42" i="4"/>
  <c r="B43" i="4"/>
  <c r="C43" i="4"/>
  <c r="F43" i="4"/>
  <c r="D43" i="4"/>
  <c r="B44" i="4"/>
  <c r="H9" i="4"/>
  <c r="C23" i="4"/>
  <c r="H11" i="4"/>
  <c r="C44" i="4"/>
  <c r="F44" i="4"/>
  <c r="D44" i="4"/>
  <c r="C24" i="4"/>
  <c r="H12" i="4"/>
  <c r="G6" i="1"/>
  <c r="H6" i="1"/>
  <c r="G5" i="1"/>
  <c r="G9" i="1"/>
  <c r="H9" i="1"/>
  <c r="G8" i="1"/>
  <c r="H8" i="1"/>
  <c r="H5" i="1"/>
</calcChain>
</file>

<file path=xl/sharedStrings.xml><?xml version="1.0" encoding="utf-8"?>
<sst xmlns="http://schemas.openxmlformats.org/spreadsheetml/2006/main" count="2146" uniqueCount="427">
  <si>
    <t>Assets value</t>
  </si>
  <si>
    <t>Yes</t>
  </si>
  <si>
    <t>No</t>
  </si>
  <si>
    <t>Minimum allowable weekly income</t>
  </si>
  <si>
    <t>La code</t>
  </si>
  <si>
    <t>area</t>
  </si>
  <si>
    <t>region</t>
  </si>
  <si>
    <t>nursing_care</t>
  </si>
  <si>
    <t>residential_care</t>
  </si>
  <si>
    <t>home_care</t>
  </si>
  <si>
    <t>E06000017</t>
  </si>
  <si>
    <t>Rutland</t>
  </si>
  <si>
    <t>East Midlands</t>
  </si>
  <si>
    <t>E06000015</t>
  </si>
  <si>
    <t>Derby</t>
  </si>
  <si>
    <t>E06000018</t>
  </si>
  <si>
    <t>Nottingham</t>
  </si>
  <si>
    <t>E10000021</t>
  </si>
  <si>
    <t>Northamptonshire</t>
  </si>
  <si>
    <t>E10000018</t>
  </si>
  <si>
    <t>Leicestershire</t>
  </si>
  <si>
    <t>E10000007</t>
  </si>
  <si>
    <t>Derbyshire</t>
  </si>
  <si>
    <t>E10000019</t>
  </si>
  <si>
    <t>Lincolnshire</t>
  </si>
  <si>
    <t>E10000024</t>
  </si>
  <si>
    <t>Nottinghamshire</t>
  </si>
  <si>
    <t>E06000016</t>
  </si>
  <si>
    <t>Leicester</t>
  </si>
  <si>
    <t>E06000032</t>
  </si>
  <si>
    <t>Luton</t>
  </si>
  <si>
    <t>East of England</t>
  </si>
  <si>
    <t>E10000029</t>
  </si>
  <si>
    <t>Suffolk</t>
  </si>
  <si>
    <t>E06000056</t>
  </si>
  <si>
    <t>Central Bedfordshire</t>
  </si>
  <si>
    <t>E06000034</t>
  </si>
  <si>
    <t>Thurrock</t>
  </si>
  <si>
    <t>E10000012</t>
  </si>
  <si>
    <t>Essex</t>
  </si>
  <si>
    <t>E06000055</t>
  </si>
  <si>
    <t>Bedford</t>
  </si>
  <si>
    <t>E10000003</t>
  </si>
  <si>
    <t>Cambridgeshire</t>
  </si>
  <si>
    <t>E06000031</t>
  </si>
  <si>
    <t>Peterborough</t>
  </si>
  <si>
    <t>E10000020</t>
  </si>
  <si>
    <t>Norfolk</t>
  </si>
  <si>
    <t>E10000015</t>
  </si>
  <si>
    <t>Hertfordshire</t>
  </si>
  <si>
    <t>E06000033</t>
  </si>
  <si>
    <t>Southend on Sea</t>
  </si>
  <si>
    <t>E09000012</t>
  </si>
  <si>
    <t>Hackney</t>
  </si>
  <si>
    <t>London</t>
  </si>
  <si>
    <t>E09000010</t>
  </si>
  <si>
    <t>Enfield</t>
  </si>
  <si>
    <t>E09000030</t>
  </si>
  <si>
    <t>Tower Hamlets</t>
  </si>
  <si>
    <t>E09000033</t>
  </si>
  <si>
    <t>Westminster</t>
  </si>
  <si>
    <t>E09000031</t>
  </si>
  <si>
    <t>Waltham Forest</t>
  </si>
  <si>
    <t>E09000021</t>
  </si>
  <si>
    <t>Kingston upon Thames</t>
  </si>
  <si>
    <t>E09000029</t>
  </si>
  <si>
    <t>Sutton</t>
  </si>
  <si>
    <t>E09000026</t>
  </si>
  <si>
    <t>Redbridge</t>
  </si>
  <si>
    <t>E09000024</t>
  </si>
  <si>
    <t>Merton</t>
  </si>
  <si>
    <t>E09000006</t>
  </si>
  <si>
    <t>Bromley</t>
  </si>
  <si>
    <t>E09000011</t>
  </si>
  <si>
    <t>Greenwich</t>
  </si>
  <si>
    <t>E09000014</t>
  </si>
  <si>
    <t>Haringey</t>
  </si>
  <si>
    <t>E09000013</t>
  </si>
  <si>
    <t>Hammersmith and Fulham</t>
  </si>
  <si>
    <t>E09000004</t>
  </si>
  <si>
    <t>Bexley</t>
  </si>
  <si>
    <t>E09000023</t>
  </si>
  <si>
    <t>Lewisham</t>
  </si>
  <si>
    <t>E09000022</t>
  </si>
  <si>
    <t>Lambeth</t>
  </si>
  <si>
    <t>E09000018</t>
  </si>
  <si>
    <t>Hounslow</t>
  </si>
  <si>
    <t>E09000009</t>
  </si>
  <si>
    <t>Ealing</t>
  </si>
  <si>
    <t>E09000002</t>
  </si>
  <si>
    <t>Barking and Dagenham</t>
  </si>
  <si>
    <t>E09000027</t>
  </si>
  <si>
    <t>Richmond upon Thames</t>
  </si>
  <si>
    <t>E09000032</t>
  </si>
  <si>
    <t>Wandsworth</t>
  </si>
  <si>
    <t>E09000005</t>
  </si>
  <si>
    <t>Brent</t>
  </si>
  <si>
    <t>E09000016</t>
  </si>
  <si>
    <t>Havering</t>
  </si>
  <si>
    <t>E09000019</t>
  </si>
  <si>
    <t>Islington</t>
  </si>
  <si>
    <t>E09000017</t>
  </si>
  <si>
    <t>Hillingdon</t>
  </si>
  <si>
    <t>E09000015</t>
  </si>
  <si>
    <t>Harrow</t>
  </si>
  <si>
    <t>E09000025</t>
  </si>
  <si>
    <t>Newham</t>
  </si>
  <si>
    <t>E09000007</t>
  </si>
  <si>
    <t>Camden</t>
  </si>
  <si>
    <t>E09000003</t>
  </si>
  <si>
    <t>Barnet</t>
  </si>
  <si>
    <t>E09000020</t>
  </si>
  <si>
    <t>Kensington and Chelsea</t>
  </si>
  <si>
    <t>E09000028</t>
  </si>
  <si>
    <t>Southwark</t>
  </si>
  <si>
    <t>E09000008</t>
  </si>
  <si>
    <t>Croydon</t>
  </si>
  <si>
    <t>E09000001</t>
  </si>
  <si>
    <t>City of London</t>
  </si>
  <si>
    <t>Gateshead</t>
  </si>
  <si>
    <t>North East</t>
  </si>
  <si>
    <t>E08000024</t>
  </si>
  <si>
    <t>Sunderland</t>
  </si>
  <si>
    <t>Northumberland</t>
  </si>
  <si>
    <t>E06000003</t>
  </si>
  <si>
    <t>Redcar and Cleveland</t>
  </si>
  <si>
    <t>E08000021</t>
  </si>
  <si>
    <t>Newcastle upon Tyne</t>
  </si>
  <si>
    <t>E06000005</t>
  </si>
  <si>
    <t>Darlington</t>
  </si>
  <si>
    <t>E08000022</t>
  </si>
  <si>
    <t>North Tyneside</t>
  </si>
  <si>
    <t>E06000004</t>
  </si>
  <si>
    <t>Stockton on Tees</t>
  </si>
  <si>
    <t>E06000047</t>
  </si>
  <si>
    <t>Durham</t>
  </si>
  <si>
    <t>E08000023</t>
  </si>
  <si>
    <t>South Tyneside</t>
  </si>
  <si>
    <t>E06000001</t>
  </si>
  <si>
    <t>Hartlepool</t>
  </si>
  <si>
    <t>E06000002</t>
  </si>
  <si>
    <t>Middlesbrough</t>
  </si>
  <si>
    <t>E08000003</t>
  </si>
  <si>
    <t>Manchester</t>
  </si>
  <si>
    <t>North West</t>
  </si>
  <si>
    <t>E06000049</t>
  </si>
  <si>
    <t>Cheshire East</t>
  </si>
  <si>
    <t>E06000050</t>
  </si>
  <si>
    <t>Cheshire West and Chester</t>
  </si>
  <si>
    <t>E08000010</t>
  </si>
  <si>
    <t>Wigan</t>
  </si>
  <si>
    <t>E08000005</t>
  </si>
  <si>
    <t>Rochdale</t>
  </si>
  <si>
    <t>E06000006</t>
  </si>
  <si>
    <t>Halton</t>
  </si>
  <si>
    <t>E08000009</t>
  </si>
  <si>
    <t>Trafford</t>
  </si>
  <si>
    <t>E08000011</t>
  </si>
  <si>
    <t>Knowsley</t>
  </si>
  <si>
    <t>E08000002</t>
  </si>
  <si>
    <t>Bury</t>
  </si>
  <si>
    <t>E08000001</t>
  </si>
  <si>
    <t>Bolton</t>
  </si>
  <si>
    <t>E08000007</t>
  </si>
  <si>
    <t>Stockport</t>
  </si>
  <si>
    <t>E10000017</t>
  </si>
  <si>
    <t>Lancashire</t>
  </si>
  <si>
    <t>E10000006</t>
  </si>
  <si>
    <t>Cumbria</t>
  </si>
  <si>
    <t>E08000008</t>
  </si>
  <si>
    <t>Tameside</t>
  </si>
  <si>
    <t>E08000013</t>
  </si>
  <si>
    <t>St Helens</t>
  </si>
  <si>
    <t>E08000015</t>
  </si>
  <si>
    <t>Wirral</t>
  </si>
  <si>
    <t>E08000014</t>
  </si>
  <si>
    <t>Sefton</t>
  </si>
  <si>
    <t>E06000009</t>
  </si>
  <si>
    <t>Blackpool</t>
  </si>
  <si>
    <t>E06000007</t>
  </si>
  <si>
    <t>Warrington</t>
  </si>
  <si>
    <t>E08000006</t>
  </si>
  <si>
    <t>Salford</t>
  </si>
  <si>
    <t>E08000004</t>
  </si>
  <si>
    <t>Oldham</t>
  </si>
  <si>
    <t>E08000012</t>
  </si>
  <si>
    <t>Liverpool</t>
  </si>
  <si>
    <t>E06000008</t>
  </si>
  <si>
    <t>Blackburn with Darwen</t>
  </si>
  <si>
    <t>E06000039</t>
  </si>
  <si>
    <t>Slough</t>
  </si>
  <si>
    <t>South East</t>
  </si>
  <si>
    <t>E06000041</t>
  </si>
  <si>
    <t>Wokingham</t>
  </si>
  <si>
    <t>E06000043</t>
  </si>
  <si>
    <t>Brighton and Hove</t>
  </si>
  <si>
    <t>E10000030</t>
  </si>
  <si>
    <t>Surrey</t>
  </si>
  <si>
    <t>E06000042</t>
  </si>
  <si>
    <t>Milton Keynes</t>
  </si>
  <si>
    <t>E06000036</t>
  </si>
  <si>
    <t>Bracknell Forest</t>
  </si>
  <si>
    <t>E06000037</t>
  </si>
  <si>
    <t>West Berkshire</t>
  </si>
  <si>
    <t>E10000014</t>
  </si>
  <si>
    <t>Hampshire</t>
  </si>
  <si>
    <t>E10000011</t>
  </si>
  <si>
    <t>East Sussex</t>
  </si>
  <si>
    <t>E10000002</t>
  </si>
  <si>
    <t>Buckinghamshire</t>
  </si>
  <si>
    <t>E10000025</t>
  </si>
  <si>
    <t>Oxfordshire</t>
  </si>
  <si>
    <t>E06000038</t>
  </si>
  <si>
    <t>Reading</t>
  </si>
  <si>
    <t>E06000040</t>
  </si>
  <si>
    <t>Windsor and Maidenhead</t>
  </si>
  <si>
    <t>E10000016</t>
  </si>
  <si>
    <t>Kent</t>
  </si>
  <si>
    <t>E10000032</t>
  </si>
  <si>
    <t>West Sussex</t>
  </si>
  <si>
    <t>E06000046</t>
  </si>
  <si>
    <t>Isle of Wight</t>
  </si>
  <si>
    <t>E06000045</t>
  </si>
  <si>
    <t>Southampton</t>
  </si>
  <si>
    <t>E06000035</t>
  </si>
  <si>
    <t>Medway</t>
  </si>
  <si>
    <t>E06000044</t>
  </si>
  <si>
    <t>Portsmouth</t>
  </si>
  <si>
    <t>E06000030</t>
  </si>
  <si>
    <t>Swindon</t>
  </si>
  <si>
    <t>South West</t>
  </si>
  <si>
    <t>E10000013</t>
  </si>
  <si>
    <t>Gloucestershire</t>
  </si>
  <si>
    <t>E06000023</t>
  </si>
  <si>
    <t>Bristol</t>
  </si>
  <si>
    <t>E06000029</t>
  </si>
  <si>
    <t>Poole</t>
  </si>
  <si>
    <t>E10000009</t>
  </si>
  <si>
    <t>Dorset</t>
  </si>
  <si>
    <t>E06000028</t>
  </si>
  <si>
    <t>Bournemouth</t>
  </si>
  <si>
    <t>E06000052</t>
  </si>
  <si>
    <t>Cornwall</t>
  </si>
  <si>
    <t>E06000025</t>
  </si>
  <si>
    <t>South Gloucestershire</t>
  </si>
  <si>
    <t>E06000022</t>
  </si>
  <si>
    <t>Bath and North East Somerset</t>
  </si>
  <si>
    <t>E06000027</t>
  </si>
  <si>
    <t>Torbay</t>
  </si>
  <si>
    <t>E06000024</t>
  </si>
  <si>
    <t>North Somerset</t>
  </si>
  <si>
    <t>E10000027</t>
  </si>
  <si>
    <t>Somerset</t>
  </si>
  <si>
    <t>E10000008</t>
  </si>
  <si>
    <t>Devon</t>
  </si>
  <si>
    <t>E06000054</t>
  </si>
  <si>
    <t>Wiltshire</t>
  </si>
  <si>
    <t>E06000026</t>
  </si>
  <si>
    <t>Plymouth</t>
  </si>
  <si>
    <t>E06000053</t>
  </si>
  <si>
    <t>Isles of Scilly</t>
  </si>
  <si>
    <t>E08000030</t>
  </si>
  <si>
    <t>Walsall</t>
  </si>
  <si>
    <t>West Midlands</t>
  </si>
  <si>
    <t>E08000026</t>
  </si>
  <si>
    <t>Coventry</t>
  </si>
  <si>
    <t>E08000029</t>
  </si>
  <si>
    <t>Solihull</t>
  </si>
  <si>
    <t>E08000028</t>
  </si>
  <si>
    <t>Sandwell</t>
  </si>
  <si>
    <t>E06000020</t>
  </si>
  <si>
    <t>Telford and Wrekin</t>
  </si>
  <si>
    <t>E10000034</t>
  </si>
  <si>
    <t>Worcestershire</t>
  </si>
  <si>
    <t>E10000031</t>
  </si>
  <si>
    <t>Warwickshire</t>
  </si>
  <si>
    <t>E08000025</t>
  </si>
  <si>
    <t>Birmingham</t>
  </si>
  <si>
    <t>E06000051</t>
  </si>
  <si>
    <t>Shropshire</t>
  </si>
  <si>
    <t>E08000027</t>
  </si>
  <si>
    <t>Dudley</t>
  </si>
  <si>
    <t>E06000019</t>
  </si>
  <si>
    <t>Herefordshire</t>
  </si>
  <si>
    <t>E10000028</t>
  </si>
  <si>
    <t>Staffordshire</t>
  </si>
  <si>
    <t>E08000031</t>
  </si>
  <si>
    <t>Wolverhampton</t>
  </si>
  <si>
    <t>E06000021</t>
  </si>
  <si>
    <t>Stoke on Trent</t>
  </si>
  <si>
    <t>E06000013</t>
  </si>
  <si>
    <t>North Lincolnshire</t>
  </si>
  <si>
    <t>Yorkshire and The Humber</t>
  </si>
  <si>
    <t>E08000019</t>
  </si>
  <si>
    <t>Sheffield</t>
  </si>
  <si>
    <t>E08000036</t>
  </si>
  <si>
    <t>Wakefield</t>
  </si>
  <si>
    <t>E08000035</t>
  </si>
  <si>
    <t>Leeds</t>
  </si>
  <si>
    <t>E10000023</t>
  </si>
  <si>
    <t>North Yorkshire</t>
  </si>
  <si>
    <t>E06000010</t>
  </si>
  <si>
    <t>Kingston upon Hull</t>
  </si>
  <si>
    <t>E08000018</t>
  </si>
  <si>
    <t>Rotherham</t>
  </si>
  <si>
    <t>E06000014</t>
  </si>
  <si>
    <t>York</t>
  </si>
  <si>
    <t>E08000016</t>
  </si>
  <si>
    <t>Barnsley</t>
  </si>
  <si>
    <t>E08000034</t>
  </si>
  <si>
    <t>Kirklees</t>
  </si>
  <si>
    <t>E08000032</t>
  </si>
  <si>
    <t>Bradford</t>
  </si>
  <si>
    <t>E08000033</t>
  </si>
  <si>
    <t>Calderdale</t>
  </si>
  <si>
    <t>E06000011</t>
  </si>
  <si>
    <t>East Riding of Yorkshire</t>
  </si>
  <si>
    <t>E06000012</t>
  </si>
  <si>
    <t>North East Lincolnshire</t>
  </si>
  <si>
    <t>E08000017</t>
  </si>
  <si>
    <t>Doncaster</t>
  </si>
  <si>
    <t>Total assets (property + assets)</t>
  </si>
  <si>
    <t>User pays</t>
  </si>
  <si>
    <t>Council pays</t>
  </si>
  <si>
    <t>Weekly ascessible income</t>
  </si>
  <si>
    <t xml:space="preserve">Time to UCL </t>
  </si>
  <si>
    <t>Time till Means test support &gt; AA</t>
  </si>
  <si>
    <t xml:space="preserve">Time with tarriff income in effect </t>
  </si>
  <si>
    <t>Starting Assets</t>
  </si>
  <si>
    <t>Final Assets</t>
  </si>
  <si>
    <t xml:space="preserve">Average weekly tarriff income </t>
  </si>
  <si>
    <t>Average weekly MT support</t>
  </si>
  <si>
    <t>Time below UCL but with state support equal to upper rate AA</t>
  </si>
  <si>
    <t xml:space="preserve">Weeks till this point </t>
  </si>
  <si>
    <t>Asset level</t>
  </si>
  <si>
    <t>Time when means tested support is calcualted according to tarriff income</t>
  </si>
  <si>
    <t>Weeks remaining in care</t>
  </si>
  <si>
    <t>Average tarriff income</t>
  </si>
  <si>
    <t>Average MT support</t>
  </si>
  <si>
    <t>Assets at start</t>
  </si>
  <si>
    <t xml:space="preserve">Tarriff income </t>
  </si>
  <si>
    <t>Weeks at rate</t>
  </si>
  <si>
    <t>Initial assessment</t>
  </si>
  <si>
    <t>Reassessment at month 12</t>
  </si>
  <si>
    <t>Reassessment at month 24</t>
  </si>
  <si>
    <t>Reassessment at month 36</t>
  </si>
  <si>
    <t>Reassessment at month 60</t>
  </si>
  <si>
    <t>Reassessment at month 72</t>
  </si>
  <si>
    <t>Reassessment at month 84</t>
  </si>
  <si>
    <t>Reassessment at month 96</t>
  </si>
  <si>
    <t>Reassessment at month 108</t>
  </si>
  <si>
    <t>Reassessment at month 120</t>
  </si>
  <si>
    <t>Reassessment at month 132</t>
  </si>
  <si>
    <t>Reassessment at month 144</t>
  </si>
  <si>
    <t>Attendance allowance</t>
  </si>
  <si>
    <t>Calculating declining tarriff income 12 month reviews</t>
  </si>
  <si>
    <t>Reassessment at month 28</t>
  </si>
  <si>
    <t>Reassessment at month156</t>
  </si>
  <si>
    <t>Total cost</t>
  </si>
  <si>
    <t>Total paid by user</t>
  </si>
  <si>
    <t>1. Choose your council area</t>
  </si>
  <si>
    <t>2. Do you own your own home?</t>
  </si>
  <si>
    <t>3. Does your partner or a close relative live here?</t>
  </si>
  <si>
    <t>4. Is your home jointly owned by a spouse or relative</t>
  </si>
  <si>
    <t xml:space="preserve">Cap on care costs </t>
  </si>
  <si>
    <t>Upper capital limit with property</t>
  </si>
  <si>
    <t>Upper capital limit without property</t>
  </si>
  <si>
    <t xml:space="preserve">Lower capital limit </t>
  </si>
  <si>
    <t>Weekly living cost</t>
  </si>
  <si>
    <t>Personal Expenses Allowance</t>
  </si>
  <si>
    <t>Don’t delete "yes" &amp; "no" below!</t>
  </si>
  <si>
    <t>5. How much value do you have in your home?</t>
  </si>
  <si>
    <t>5. Total amount in bank account, stocks &amp; shares, 2nd properties?</t>
  </si>
  <si>
    <t>6. Are these jointly owned?</t>
  </si>
  <si>
    <t>7. Enter your weekly income (do not include attendance allowance)</t>
  </si>
  <si>
    <t>The means test is based on the following figures…</t>
  </si>
  <si>
    <t>User's upper capital limit</t>
  </si>
  <si>
    <t>Average weekly cost for user's local council</t>
  </si>
  <si>
    <t>How much is of the above is spent on care costs</t>
  </si>
  <si>
    <t>Total assets for tariff income</t>
  </si>
  <si>
    <t>User's results</t>
  </si>
  <si>
    <t>Weeks to reach the care cap</t>
  </si>
  <si>
    <t>Raw figures</t>
  </si>
  <si>
    <t>Rounded figures</t>
  </si>
  <si>
    <t>Attendance Allowance pays</t>
  </si>
  <si>
    <t>Enter your answers below</t>
  </si>
  <si>
    <t>Please answer the following questions in column "C"</t>
  </si>
  <si>
    <t xml:space="preserve">This sheet holds the workings for the means test </t>
  </si>
  <si>
    <t>User's weekly income</t>
  </si>
  <si>
    <t>Total cost of care (inc living costs)</t>
  </si>
  <si>
    <t>Inputs…</t>
  </si>
  <si>
    <t>User's assets at start</t>
  </si>
  <si>
    <t>User's capital limit</t>
  </si>
  <si>
    <t>Time above Upper Capital Limit (UCL)</t>
  </si>
  <si>
    <t>Attendance Allowance (AA)</t>
  </si>
  <si>
    <t>Number of weeks</t>
  </si>
  <si>
    <t>User's details</t>
  </si>
  <si>
    <t>1st property value (if included in means test)</t>
  </si>
  <si>
    <t>Weeks to reach care cap</t>
  </si>
  <si>
    <t>Outputs reference</t>
  </si>
  <si>
    <t>Time in care (weeks)</t>
  </si>
  <si>
    <t>Scenario 1</t>
  </si>
  <si>
    <t>Depletion rate</t>
  </si>
  <si>
    <t>State support</t>
  </si>
  <si>
    <t>User's lower limit</t>
  </si>
  <si>
    <t>AA spend in this range</t>
  </si>
  <si>
    <t>User pays (excluding AA)</t>
  </si>
  <si>
    <t>TOTAL AA SPEND</t>
  </si>
  <si>
    <t>Effective Personal Expenses Allowance</t>
  </si>
  <si>
    <t>Threshold when next week LA</t>
  </si>
  <si>
    <t>Asset depletion</t>
  </si>
  <si>
    <t>nottingham</t>
  </si>
  <si>
    <t>cambridgeshire</t>
  </si>
  <si>
    <t>luton</t>
  </si>
  <si>
    <t>no</t>
  </si>
  <si>
    <t>Weekly costs</t>
  </si>
  <si>
    <t>Weeks to cap formatted correctly</t>
  </si>
  <si>
    <t>Southend-on-Sea</t>
  </si>
  <si>
    <t>Stockton-on-Tees</t>
  </si>
  <si>
    <t>E06000057</t>
  </si>
  <si>
    <t>E08000037</t>
  </si>
  <si>
    <t>St. Helens</t>
  </si>
  <si>
    <t>.</t>
  </si>
  <si>
    <t>Bristol, City of</t>
  </si>
  <si>
    <t>Stoke-on-Trent</t>
  </si>
  <si>
    <t>Herefordshire, County of</t>
  </si>
  <si>
    <t>Kingston upon Hull, City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</si>
</sst>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&quot;£&quot;#,##0.00"/>
    <numFmt numFmtId="166" formatCode="&quot;£&quot;#,##0"/>
    <numFmt numFmtId="167" formatCode="0.000%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000000"/>
      <name val="Arial"/>
    </font>
    <font>
      <sz val="11"/>
      <color rgb="FF000000"/>
      <name val="Calibri"/>
      <family val="2"/>
      <scheme val="minor"/>
    </font>
    <font>
      <sz val="12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FF66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13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0" fillId="3" borderId="0" xfId="0" applyFill="1"/>
    <xf numFmtId="0" fontId="5" fillId="2" borderId="0" xfId="0" applyFont="1" applyFill="1" applyBorder="1"/>
    <xf numFmtId="0" fontId="7" fillId="5" borderId="0" xfId="0" applyFont="1" applyFill="1" applyAlignment="1">
      <alignment wrapText="1"/>
    </xf>
    <xf numFmtId="0" fontId="0" fillId="5" borderId="0" xfId="0" applyFill="1"/>
    <xf numFmtId="0" fontId="7" fillId="0" borderId="0" xfId="0" applyFont="1" applyAlignment="1">
      <alignment wrapText="1"/>
    </xf>
    <xf numFmtId="0" fontId="7" fillId="7" borderId="0" xfId="0" applyFont="1" applyFill="1" applyAlignment="1">
      <alignment wrapText="1"/>
    </xf>
    <xf numFmtId="0" fontId="0" fillId="7" borderId="0" xfId="0" applyFill="1"/>
    <xf numFmtId="0" fontId="0" fillId="0" borderId="0" xfId="0" applyAlignment="1">
      <alignment wrapText="1"/>
    </xf>
    <xf numFmtId="0" fontId="7" fillId="2" borderId="0" xfId="0" applyFont="1" applyFill="1" applyAlignment="1">
      <alignment wrapText="1"/>
    </xf>
    <xf numFmtId="0" fontId="0" fillId="2" borderId="0" xfId="0" applyFill="1"/>
    <xf numFmtId="0" fontId="7" fillId="8" borderId="0" xfId="0" applyFont="1" applyFill="1" applyAlignment="1">
      <alignment wrapText="1"/>
    </xf>
    <xf numFmtId="0" fontId="0" fillId="9" borderId="0" xfId="0" applyFill="1"/>
    <xf numFmtId="0" fontId="7" fillId="9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7" fillId="4" borderId="0" xfId="0" applyFont="1" applyFill="1" applyAlignment="1">
      <alignment wrapText="1"/>
    </xf>
    <xf numFmtId="0" fontId="7" fillId="4" borderId="0" xfId="0" applyFont="1" applyFill="1"/>
    <xf numFmtId="0" fontId="8" fillId="4" borderId="0" xfId="0" applyFont="1" applyFill="1" applyAlignment="1">
      <alignment wrapText="1"/>
    </xf>
    <xf numFmtId="0" fontId="0" fillId="4" borderId="0" xfId="0" applyFont="1" applyFill="1"/>
    <xf numFmtId="0" fontId="0" fillId="0" borderId="0" xfId="0" applyFill="1"/>
    <xf numFmtId="0" fontId="0" fillId="0" borderId="0" xfId="0" applyFill="1" applyAlignment="1">
      <alignment wrapText="1"/>
    </xf>
    <xf numFmtId="2" fontId="0" fillId="9" borderId="0" xfId="0" applyNumberFormat="1" applyFill="1"/>
    <xf numFmtId="0" fontId="9" fillId="9" borderId="0" xfId="0" applyFont="1" applyFill="1"/>
    <xf numFmtId="0" fontId="7" fillId="5" borderId="0" xfId="0" applyFont="1" applyFill="1" applyAlignment="1"/>
    <xf numFmtId="0" fontId="7" fillId="7" borderId="0" xfId="0" applyFont="1" applyFill="1" applyAlignment="1">
      <alignment wrapText="1"/>
    </xf>
    <xf numFmtId="0" fontId="7" fillId="8" borderId="0" xfId="0" applyFont="1" applyFill="1" applyAlignment="1">
      <alignment wrapText="1"/>
    </xf>
    <xf numFmtId="0" fontId="7" fillId="9" borderId="0" xfId="0" applyFont="1" applyFill="1" applyAlignment="1">
      <alignment wrapText="1"/>
    </xf>
    <xf numFmtId="0" fontId="9" fillId="0" borderId="0" xfId="0" applyFont="1"/>
    <xf numFmtId="0" fontId="9" fillId="2" borderId="0" xfId="0" applyFont="1" applyFill="1"/>
    <xf numFmtId="0" fontId="10" fillId="9" borderId="0" xfId="0" applyFont="1" applyFill="1"/>
    <xf numFmtId="0" fontId="9" fillId="0" borderId="0" xfId="0" applyFont="1" applyFill="1"/>
    <xf numFmtId="0" fontId="15" fillId="2" borderId="0" xfId="0" applyFont="1" applyFill="1"/>
    <xf numFmtId="2" fontId="9" fillId="9" borderId="0" xfId="0" applyNumberFormat="1" applyFont="1" applyFill="1"/>
    <xf numFmtId="0" fontId="10" fillId="10" borderId="0" xfId="0" applyFont="1" applyFill="1"/>
    <xf numFmtId="0" fontId="9" fillId="10" borderId="0" xfId="0" applyFont="1" applyFill="1"/>
    <xf numFmtId="165" fontId="9" fillId="10" borderId="0" xfId="0" applyNumberFormat="1" applyFont="1" applyFill="1"/>
    <xf numFmtId="0" fontId="9" fillId="11" borderId="0" xfId="0" applyFont="1" applyFill="1"/>
    <xf numFmtId="165" fontId="9" fillId="11" borderId="0" xfId="0" applyNumberFormat="1" applyFont="1" applyFill="1"/>
    <xf numFmtId="0" fontId="10" fillId="11" borderId="0" xfId="0" applyFont="1" applyFill="1"/>
    <xf numFmtId="0" fontId="9" fillId="8" borderId="0" xfId="0" applyFont="1" applyFill="1"/>
    <xf numFmtId="165" fontId="9" fillId="8" borderId="0" xfId="0" applyNumberFormat="1" applyFont="1" applyFill="1"/>
    <xf numFmtId="165" fontId="9" fillId="8" borderId="0" xfId="12" applyNumberFormat="1" applyFont="1" applyFill="1"/>
    <xf numFmtId="44" fontId="9" fillId="2" borderId="0" xfId="0" applyNumberFormat="1" applyFont="1" applyFill="1"/>
    <xf numFmtId="0" fontId="10" fillId="8" borderId="0" xfId="0" applyFont="1" applyFill="1"/>
    <xf numFmtId="165" fontId="0" fillId="5" borderId="0" xfId="0" applyNumberFormat="1" applyFill="1"/>
    <xf numFmtId="165" fontId="0" fillId="7" borderId="0" xfId="0" applyNumberFormat="1" applyFill="1"/>
    <xf numFmtId="0" fontId="0" fillId="4" borderId="0" xfId="0" applyFill="1" applyAlignment="1">
      <alignment wrapText="1"/>
    </xf>
    <xf numFmtId="0" fontId="0" fillId="4" borderId="0" xfId="0" applyFill="1"/>
    <xf numFmtId="0" fontId="13" fillId="2" borderId="0" xfId="0" applyFont="1" applyFill="1" applyAlignment="1">
      <alignment wrapText="1"/>
    </xf>
    <xf numFmtId="165" fontId="0" fillId="9" borderId="0" xfId="0" applyNumberFormat="1" applyFill="1"/>
    <xf numFmtId="0" fontId="7" fillId="9" borderId="0" xfId="0" applyFont="1" applyFill="1" applyAlignment="1"/>
    <xf numFmtId="0" fontId="7" fillId="2" borderId="0" xfId="0" applyFont="1" applyFill="1" applyAlignment="1"/>
    <xf numFmtId="0" fontId="16" fillId="6" borderId="0" xfId="0" applyFont="1" applyFill="1" applyAlignment="1"/>
    <xf numFmtId="0" fontId="14" fillId="6" borderId="0" xfId="0" applyFont="1" applyFill="1"/>
    <xf numFmtId="0" fontId="14" fillId="0" borderId="0" xfId="0" applyFont="1"/>
    <xf numFmtId="0" fontId="12" fillId="2" borderId="0" xfId="0" applyFont="1" applyFill="1"/>
    <xf numFmtId="164" fontId="9" fillId="2" borderId="0" xfId="0" applyNumberFormat="1" applyFont="1" applyFill="1"/>
    <xf numFmtId="164" fontId="11" fillId="2" borderId="0" xfId="0" applyNumberFormat="1" applyFont="1" applyFill="1"/>
    <xf numFmtId="164" fontId="9" fillId="9" borderId="0" xfId="0" applyNumberFormat="1" applyFont="1" applyFill="1"/>
    <xf numFmtId="164" fontId="11" fillId="9" borderId="0" xfId="0" applyNumberFormat="1" applyFont="1" applyFill="1"/>
    <xf numFmtId="2" fontId="0" fillId="5" borderId="0" xfId="0" applyNumberFormat="1" applyFont="1" applyFill="1"/>
    <xf numFmtId="2" fontId="14" fillId="6" borderId="0" xfId="0" applyNumberFormat="1" applyFont="1" applyFill="1"/>
    <xf numFmtId="165" fontId="14" fillId="6" borderId="0" xfId="0" applyNumberFormat="1" applyFont="1" applyFill="1"/>
    <xf numFmtId="0" fontId="10" fillId="10" borderId="0" xfId="0" applyFont="1" applyFill="1" applyAlignment="1">
      <alignment wrapText="1"/>
    </xf>
    <xf numFmtId="166" fontId="0" fillId="0" borderId="0" xfId="0" applyNumberFormat="1"/>
    <xf numFmtId="10" fontId="0" fillId="0" borderId="0" xfId="29" applyNumberFormat="1" applyFont="1"/>
    <xf numFmtId="165" fontId="0" fillId="2" borderId="0" xfId="0" applyNumberFormat="1" applyFill="1"/>
    <xf numFmtId="2" fontId="0" fillId="7" borderId="0" xfId="0" applyNumberFormat="1" applyFill="1"/>
    <xf numFmtId="2" fontId="14" fillId="0" borderId="0" xfId="0" applyNumberFormat="1" applyFont="1"/>
    <xf numFmtId="165" fontId="14" fillId="0" borderId="0" xfId="0" applyNumberFormat="1" applyFont="1"/>
    <xf numFmtId="165" fontId="0" fillId="8" borderId="0" xfId="0" applyNumberFormat="1" applyFont="1" applyFill="1"/>
    <xf numFmtId="0" fontId="0" fillId="8" borderId="0" xfId="0" applyFont="1" applyFill="1"/>
    <xf numFmtId="165" fontId="1" fillId="8" borderId="0" xfId="0" applyNumberFormat="1" applyFont="1" applyFill="1" applyAlignment="1">
      <alignment wrapText="1"/>
    </xf>
    <xf numFmtId="2" fontId="0" fillId="8" borderId="0" xfId="0" applyNumberFormat="1" applyFont="1" applyFill="1"/>
    <xf numFmtId="165" fontId="1" fillId="2" borderId="0" xfId="0" applyNumberFormat="1" applyFont="1" applyFill="1" applyAlignment="1">
      <alignment wrapText="1"/>
    </xf>
    <xf numFmtId="0" fontId="14" fillId="2" borderId="0" xfId="0" applyFont="1" applyFill="1"/>
    <xf numFmtId="167" fontId="0" fillId="0" borderId="0" xfId="29" applyNumberFormat="1" applyFont="1"/>
    <xf numFmtId="0" fontId="7" fillId="2" borderId="0" xfId="0" applyFont="1" applyFill="1"/>
    <xf numFmtId="165" fontId="0" fillId="12" borderId="0" xfId="0" applyNumberFormat="1" applyFill="1"/>
    <xf numFmtId="0" fontId="13" fillId="0" borderId="0" xfId="0" applyFont="1" applyAlignment="1">
      <alignment wrapText="1"/>
    </xf>
    <xf numFmtId="0" fontId="7" fillId="2" borderId="1" xfId="0" applyFont="1" applyFill="1" applyBorder="1" applyAlignment="1">
      <alignment wrapText="1"/>
    </xf>
    <xf numFmtId="165" fontId="1" fillId="2" borderId="1" xfId="0" applyNumberFormat="1" applyFont="1" applyFill="1" applyBorder="1" applyAlignment="1">
      <alignment wrapText="1"/>
    </xf>
    <xf numFmtId="165" fontId="0" fillId="4" borderId="0" xfId="0" applyNumberFormat="1" applyFont="1" applyFill="1"/>
    <xf numFmtId="0" fontId="13" fillId="4" borderId="0" xfId="0" applyFont="1" applyFill="1"/>
    <xf numFmtId="165" fontId="0" fillId="4" borderId="0" xfId="0" applyNumberFormat="1" applyFill="1"/>
    <xf numFmtId="165" fontId="1" fillId="2" borderId="0" xfId="0" applyNumberFormat="1" applyFont="1" applyFill="1" applyBorder="1" applyAlignment="1">
      <alignment wrapText="1"/>
    </xf>
    <xf numFmtId="2" fontId="1" fillId="2" borderId="0" xfId="0" applyNumberFormat="1" applyFont="1" applyFill="1" applyBorder="1" applyAlignment="1">
      <alignment wrapText="1"/>
    </xf>
    <xf numFmtId="0" fontId="17" fillId="13" borderId="0" xfId="0" applyFont="1" applyFill="1" applyAlignment="1">
      <alignment wrapText="1"/>
    </xf>
    <xf numFmtId="0" fontId="17" fillId="14" borderId="0" xfId="0" applyFont="1" applyFill="1" applyAlignment="1">
      <alignment wrapText="1"/>
    </xf>
    <xf numFmtId="0" fontId="17" fillId="15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21" fillId="0" borderId="0" xfId="0" applyFont="1"/>
    <xf numFmtId="166" fontId="18" fillId="0" borderId="0" xfId="0" applyNumberFormat="1" applyFont="1"/>
    <xf numFmtId="3" fontId="19" fillId="0" borderId="0" xfId="0" applyNumberFormat="1" applyFont="1"/>
    <xf numFmtId="0" fontId="0" fillId="17" borderId="0" xfId="0" applyFill="1"/>
    <xf numFmtId="0" fontId="0" fillId="17" borderId="0" xfId="0" applyFill="1" applyAlignment="1">
      <alignment wrapText="1"/>
    </xf>
    <xf numFmtId="0" fontId="18" fillId="17" borderId="0" xfId="0" applyFont="1" applyFill="1"/>
    <xf numFmtId="166" fontId="18" fillId="17" borderId="0" xfId="0" applyNumberFormat="1" applyFont="1" applyFill="1"/>
    <xf numFmtId="0" fontId="7" fillId="0" borderId="0" xfId="0" applyFont="1" applyFill="1" applyAlignment="1">
      <alignment wrapText="1"/>
    </xf>
    <xf numFmtId="0" fontId="17" fillId="14" borderId="1" xfId="0" applyFont="1" applyFill="1" applyBorder="1" applyAlignment="1">
      <alignment wrapText="1"/>
    </xf>
    <xf numFmtId="0" fontId="0" fillId="3" borderId="0" xfId="0" applyFill="1" applyAlignment="1">
      <alignment wrapText="1"/>
    </xf>
    <xf numFmtId="0" fontId="19" fillId="3" borderId="0" xfId="0" applyFont="1" applyFill="1"/>
    <xf numFmtId="0" fontId="6" fillId="14" borderId="0" xfId="0" applyFont="1" applyFill="1"/>
    <xf numFmtId="2" fontId="6" fillId="14" borderId="0" xfId="0" applyNumberFormat="1" applyFont="1" applyFill="1" applyAlignment="1">
      <alignment horizontal="right"/>
    </xf>
    <xf numFmtId="0" fontId="7" fillId="4" borderId="0" xfId="0" applyFont="1" applyFill="1" applyAlignment="1"/>
  </cellXfs>
  <cellStyles count="17138">
    <cellStyle name="Currency" xfId="12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Followed Hyperlink" xfId="6617" builtinId="9" hidden="1"/>
    <cellStyle name="Followed Hyperlink" xfId="6619" builtinId="9" hidden="1"/>
    <cellStyle name="Followed Hyperlink" xfId="6621" builtinId="9" hidden="1"/>
    <cellStyle name="Followed Hyperlink" xfId="6623" builtinId="9" hidden="1"/>
    <cellStyle name="Followed Hyperlink" xfId="6625" builtinId="9" hidden="1"/>
    <cellStyle name="Followed Hyperlink" xfId="6627" builtinId="9" hidden="1"/>
    <cellStyle name="Followed Hyperlink" xfId="6629" builtinId="9" hidden="1"/>
    <cellStyle name="Followed Hyperlink" xfId="6631" builtinId="9" hidden="1"/>
    <cellStyle name="Followed Hyperlink" xfId="6633" builtinId="9" hidden="1"/>
    <cellStyle name="Followed Hyperlink" xfId="6635" builtinId="9" hidden="1"/>
    <cellStyle name="Followed Hyperlink" xfId="6637" builtinId="9" hidden="1"/>
    <cellStyle name="Followed Hyperlink" xfId="6639" builtinId="9" hidden="1"/>
    <cellStyle name="Followed Hyperlink" xfId="6641" builtinId="9" hidden="1"/>
    <cellStyle name="Followed Hyperlink" xfId="6643" builtinId="9" hidden="1"/>
    <cellStyle name="Followed Hyperlink" xfId="6645" builtinId="9" hidden="1"/>
    <cellStyle name="Followed Hyperlink" xfId="6647" builtinId="9" hidden="1"/>
    <cellStyle name="Followed Hyperlink" xfId="6649" builtinId="9" hidden="1"/>
    <cellStyle name="Followed Hyperlink" xfId="6651" builtinId="9" hidden="1"/>
    <cellStyle name="Followed Hyperlink" xfId="6653" builtinId="9" hidden="1"/>
    <cellStyle name="Followed Hyperlink" xfId="6655" builtinId="9" hidden="1"/>
    <cellStyle name="Followed Hyperlink" xfId="6657" builtinId="9" hidden="1"/>
    <cellStyle name="Followed Hyperlink" xfId="6659" builtinId="9" hidden="1"/>
    <cellStyle name="Followed Hyperlink" xfId="6661" builtinId="9" hidden="1"/>
    <cellStyle name="Followed Hyperlink" xfId="6663" builtinId="9" hidden="1"/>
    <cellStyle name="Followed Hyperlink" xfId="6665" builtinId="9" hidden="1"/>
    <cellStyle name="Followed Hyperlink" xfId="6667" builtinId="9" hidden="1"/>
    <cellStyle name="Followed Hyperlink" xfId="6669" builtinId="9" hidden="1"/>
    <cellStyle name="Followed Hyperlink" xfId="6671" builtinId="9" hidden="1"/>
    <cellStyle name="Followed Hyperlink" xfId="6673" builtinId="9" hidden="1"/>
    <cellStyle name="Followed Hyperlink" xfId="6675" builtinId="9" hidden="1"/>
    <cellStyle name="Followed Hyperlink" xfId="6677" builtinId="9" hidden="1"/>
    <cellStyle name="Followed Hyperlink" xfId="6679" builtinId="9" hidden="1"/>
    <cellStyle name="Followed Hyperlink" xfId="6681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695" builtinId="9" hidden="1"/>
    <cellStyle name="Followed Hyperlink" xfId="6697" builtinId="9" hidden="1"/>
    <cellStyle name="Followed Hyperlink" xfId="6699" builtinId="9" hidden="1"/>
    <cellStyle name="Followed Hyperlink" xfId="6701" builtinId="9" hidden="1"/>
    <cellStyle name="Followed Hyperlink" xfId="6703" builtinId="9" hidden="1"/>
    <cellStyle name="Followed Hyperlink" xfId="6705" builtinId="9" hidden="1"/>
    <cellStyle name="Followed Hyperlink" xfId="6707" builtinId="9" hidden="1"/>
    <cellStyle name="Followed Hyperlink" xfId="6709" builtinId="9" hidden="1"/>
    <cellStyle name="Followed Hyperlink" xfId="6711" builtinId="9" hidden="1"/>
    <cellStyle name="Followed Hyperlink" xfId="6713" builtinId="9" hidden="1"/>
    <cellStyle name="Followed Hyperlink" xfId="6715" builtinId="9" hidden="1"/>
    <cellStyle name="Followed Hyperlink" xfId="6717" builtinId="9" hidden="1"/>
    <cellStyle name="Followed Hyperlink" xfId="6719" builtinId="9" hidden="1"/>
    <cellStyle name="Followed Hyperlink" xfId="6721" builtinId="9" hidden="1"/>
    <cellStyle name="Followed Hyperlink" xfId="6723" builtinId="9" hidden="1"/>
    <cellStyle name="Followed Hyperlink" xfId="6725" builtinId="9" hidden="1"/>
    <cellStyle name="Followed Hyperlink" xfId="6727" builtinId="9" hidden="1"/>
    <cellStyle name="Followed Hyperlink" xfId="6729" builtinId="9" hidden="1"/>
    <cellStyle name="Followed Hyperlink" xfId="6731" builtinId="9" hidden="1"/>
    <cellStyle name="Followed Hyperlink" xfId="6733" builtinId="9" hidden="1"/>
    <cellStyle name="Followed Hyperlink" xfId="6735" builtinId="9" hidden="1"/>
    <cellStyle name="Followed Hyperlink" xfId="6737" builtinId="9" hidden="1"/>
    <cellStyle name="Followed Hyperlink" xfId="6739" builtinId="9" hidden="1"/>
    <cellStyle name="Followed Hyperlink" xfId="6741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6847" builtinId="9" hidden="1"/>
    <cellStyle name="Followed Hyperlink" xfId="6849" builtinId="9" hidden="1"/>
    <cellStyle name="Followed Hyperlink" xfId="6851" builtinId="9" hidden="1"/>
    <cellStyle name="Followed Hyperlink" xfId="6853" builtinId="9" hidden="1"/>
    <cellStyle name="Followed Hyperlink" xfId="6855" builtinId="9" hidden="1"/>
    <cellStyle name="Followed Hyperlink" xfId="6857" builtinId="9" hidden="1"/>
    <cellStyle name="Followed Hyperlink" xfId="6859" builtinId="9" hidden="1"/>
    <cellStyle name="Followed Hyperlink" xfId="6861" builtinId="9" hidden="1"/>
    <cellStyle name="Followed Hyperlink" xfId="6863" builtinId="9" hidden="1"/>
    <cellStyle name="Followed Hyperlink" xfId="6865" builtinId="9" hidden="1"/>
    <cellStyle name="Followed Hyperlink" xfId="6867" builtinId="9" hidden="1"/>
    <cellStyle name="Followed Hyperlink" xfId="6869" builtinId="9" hidden="1"/>
    <cellStyle name="Followed Hyperlink" xfId="6871" builtinId="9" hidden="1"/>
    <cellStyle name="Followed Hyperlink" xfId="6873" builtinId="9" hidden="1"/>
    <cellStyle name="Followed Hyperlink" xfId="6875" builtinId="9" hidden="1"/>
    <cellStyle name="Followed Hyperlink" xfId="6877" builtinId="9" hidden="1"/>
    <cellStyle name="Followed Hyperlink" xfId="6879" builtinId="9" hidden="1"/>
    <cellStyle name="Followed Hyperlink" xfId="6881" builtinId="9" hidden="1"/>
    <cellStyle name="Followed Hyperlink" xfId="6883" builtinId="9" hidden="1"/>
    <cellStyle name="Followed Hyperlink" xfId="6885" builtinId="9" hidden="1"/>
    <cellStyle name="Followed Hyperlink" xfId="6887" builtinId="9" hidden="1"/>
    <cellStyle name="Followed Hyperlink" xfId="6889" builtinId="9" hidden="1"/>
    <cellStyle name="Followed Hyperlink" xfId="6891" builtinId="9" hidden="1"/>
    <cellStyle name="Followed Hyperlink" xfId="6893" builtinId="9" hidden="1"/>
    <cellStyle name="Followed Hyperlink" xfId="6895" builtinId="9" hidden="1"/>
    <cellStyle name="Followed Hyperlink" xfId="6897" builtinId="9" hidden="1"/>
    <cellStyle name="Followed Hyperlink" xfId="6899" builtinId="9" hidden="1"/>
    <cellStyle name="Followed Hyperlink" xfId="6901" builtinId="9" hidden="1"/>
    <cellStyle name="Followed Hyperlink" xfId="6903" builtinId="9" hidden="1"/>
    <cellStyle name="Followed Hyperlink" xfId="6905" builtinId="9" hidden="1"/>
    <cellStyle name="Followed Hyperlink" xfId="6907" builtinId="9" hidden="1"/>
    <cellStyle name="Followed Hyperlink" xfId="6909" builtinId="9" hidden="1"/>
    <cellStyle name="Followed Hyperlink" xfId="6911" builtinId="9" hidden="1"/>
    <cellStyle name="Followed Hyperlink" xfId="6913" builtinId="9" hidden="1"/>
    <cellStyle name="Followed Hyperlink" xfId="6915" builtinId="9" hidden="1"/>
    <cellStyle name="Followed Hyperlink" xfId="6917" builtinId="9" hidden="1"/>
    <cellStyle name="Followed Hyperlink" xfId="6919" builtinId="9" hidden="1"/>
    <cellStyle name="Followed Hyperlink" xfId="6921" builtinId="9" hidden="1"/>
    <cellStyle name="Followed Hyperlink" xfId="6923" builtinId="9" hidden="1"/>
    <cellStyle name="Followed Hyperlink" xfId="6925" builtinId="9" hidden="1"/>
    <cellStyle name="Followed Hyperlink" xfId="6927" builtinId="9" hidden="1"/>
    <cellStyle name="Followed Hyperlink" xfId="6929" builtinId="9" hidden="1"/>
    <cellStyle name="Followed Hyperlink" xfId="6931" builtinId="9" hidden="1"/>
    <cellStyle name="Followed Hyperlink" xfId="6933" builtinId="9" hidden="1"/>
    <cellStyle name="Followed Hyperlink" xfId="6935" builtinId="9" hidden="1"/>
    <cellStyle name="Followed Hyperlink" xfId="6937" builtinId="9" hidden="1"/>
    <cellStyle name="Followed Hyperlink" xfId="6939" builtinId="9" hidden="1"/>
    <cellStyle name="Followed Hyperlink" xfId="6941" builtinId="9" hidden="1"/>
    <cellStyle name="Followed Hyperlink" xfId="6943" builtinId="9" hidden="1"/>
    <cellStyle name="Followed Hyperlink" xfId="6945" builtinId="9" hidden="1"/>
    <cellStyle name="Followed Hyperlink" xfId="6947" builtinId="9" hidden="1"/>
    <cellStyle name="Followed Hyperlink" xfId="6949" builtinId="9" hidden="1"/>
    <cellStyle name="Followed Hyperlink" xfId="6951" builtinId="9" hidden="1"/>
    <cellStyle name="Followed Hyperlink" xfId="6953" builtinId="9" hidden="1"/>
    <cellStyle name="Followed Hyperlink" xfId="6955" builtinId="9" hidden="1"/>
    <cellStyle name="Followed Hyperlink" xfId="6957" builtinId="9" hidden="1"/>
    <cellStyle name="Followed Hyperlink" xfId="6959" builtinId="9" hidden="1"/>
    <cellStyle name="Followed Hyperlink" xfId="6961" builtinId="9" hidden="1"/>
    <cellStyle name="Followed Hyperlink" xfId="6963" builtinId="9" hidden="1"/>
    <cellStyle name="Followed Hyperlink" xfId="6965" builtinId="9" hidden="1"/>
    <cellStyle name="Followed Hyperlink" xfId="6967" builtinId="9" hidden="1"/>
    <cellStyle name="Followed Hyperlink" xfId="6969" builtinId="9" hidden="1"/>
    <cellStyle name="Followed Hyperlink" xfId="6971" builtinId="9" hidden="1"/>
    <cellStyle name="Followed Hyperlink" xfId="6973" builtinId="9" hidden="1"/>
    <cellStyle name="Followed Hyperlink" xfId="6975" builtinId="9" hidden="1"/>
    <cellStyle name="Followed Hyperlink" xfId="6977" builtinId="9" hidden="1"/>
    <cellStyle name="Followed Hyperlink" xfId="6979" builtinId="9" hidden="1"/>
    <cellStyle name="Followed Hyperlink" xfId="6981" builtinId="9" hidden="1"/>
    <cellStyle name="Followed Hyperlink" xfId="6983" builtinId="9" hidden="1"/>
    <cellStyle name="Followed Hyperlink" xfId="6985" builtinId="9" hidden="1"/>
    <cellStyle name="Followed Hyperlink" xfId="6987" builtinId="9" hidden="1"/>
    <cellStyle name="Followed Hyperlink" xfId="6989" builtinId="9" hidden="1"/>
    <cellStyle name="Followed Hyperlink" xfId="6991" builtinId="9" hidden="1"/>
    <cellStyle name="Followed Hyperlink" xfId="6993" builtinId="9" hidden="1"/>
    <cellStyle name="Followed Hyperlink" xfId="6995" builtinId="9" hidden="1"/>
    <cellStyle name="Followed Hyperlink" xfId="6997" builtinId="9" hidden="1"/>
    <cellStyle name="Followed Hyperlink" xfId="6999" builtinId="9" hidden="1"/>
    <cellStyle name="Followed Hyperlink" xfId="7001" builtinId="9" hidden="1"/>
    <cellStyle name="Followed Hyperlink" xfId="7003" builtinId="9" hidden="1"/>
    <cellStyle name="Followed Hyperlink" xfId="7005" builtinId="9" hidden="1"/>
    <cellStyle name="Followed Hyperlink" xfId="7007" builtinId="9" hidden="1"/>
    <cellStyle name="Followed Hyperlink" xfId="7009" builtinId="9" hidden="1"/>
    <cellStyle name="Followed Hyperlink" xfId="7011" builtinId="9" hidden="1"/>
    <cellStyle name="Followed Hyperlink" xfId="7013" builtinId="9" hidden="1"/>
    <cellStyle name="Followed Hyperlink" xfId="7015" builtinId="9" hidden="1"/>
    <cellStyle name="Followed Hyperlink" xfId="7017" builtinId="9" hidden="1"/>
    <cellStyle name="Followed Hyperlink" xfId="7019" builtinId="9" hidden="1"/>
    <cellStyle name="Followed Hyperlink" xfId="7021" builtinId="9" hidden="1"/>
    <cellStyle name="Followed Hyperlink" xfId="7023" builtinId="9" hidden="1"/>
    <cellStyle name="Followed Hyperlink" xfId="7025" builtinId="9" hidden="1"/>
    <cellStyle name="Followed Hyperlink" xfId="7027" builtinId="9" hidden="1"/>
    <cellStyle name="Followed Hyperlink" xfId="7029" builtinId="9" hidden="1"/>
    <cellStyle name="Followed Hyperlink" xfId="7031" builtinId="9" hidden="1"/>
    <cellStyle name="Followed Hyperlink" xfId="7033" builtinId="9" hidden="1"/>
    <cellStyle name="Followed Hyperlink" xfId="7035" builtinId="9" hidden="1"/>
    <cellStyle name="Followed Hyperlink" xfId="7037" builtinId="9" hidden="1"/>
    <cellStyle name="Followed Hyperlink" xfId="7039" builtinId="9" hidden="1"/>
    <cellStyle name="Followed Hyperlink" xfId="7041" builtinId="9" hidden="1"/>
    <cellStyle name="Followed Hyperlink" xfId="7043" builtinId="9" hidden="1"/>
    <cellStyle name="Followed Hyperlink" xfId="7045" builtinId="9" hidden="1"/>
    <cellStyle name="Followed Hyperlink" xfId="7047" builtinId="9" hidden="1"/>
    <cellStyle name="Followed Hyperlink" xfId="7049" builtinId="9" hidden="1"/>
    <cellStyle name="Followed Hyperlink" xfId="7051" builtinId="9" hidden="1"/>
    <cellStyle name="Followed Hyperlink" xfId="7053" builtinId="9" hidden="1"/>
    <cellStyle name="Followed Hyperlink" xfId="7055" builtinId="9" hidden="1"/>
    <cellStyle name="Followed Hyperlink" xfId="7057" builtinId="9" hidden="1"/>
    <cellStyle name="Followed Hyperlink" xfId="7059" builtinId="9" hidden="1"/>
    <cellStyle name="Followed Hyperlink" xfId="7061" builtinId="9" hidden="1"/>
    <cellStyle name="Followed Hyperlink" xfId="7063" builtinId="9" hidden="1"/>
    <cellStyle name="Followed Hyperlink" xfId="7065" builtinId="9" hidden="1"/>
    <cellStyle name="Followed Hyperlink" xfId="7067" builtinId="9" hidden="1"/>
    <cellStyle name="Followed Hyperlink" xfId="7069" builtinId="9" hidden="1"/>
    <cellStyle name="Followed Hyperlink" xfId="7071" builtinId="9" hidden="1"/>
    <cellStyle name="Followed Hyperlink" xfId="7073" builtinId="9" hidden="1"/>
    <cellStyle name="Followed Hyperlink" xfId="7075" builtinId="9" hidden="1"/>
    <cellStyle name="Followed Hyperlink" xfId="7077" builtinId="9" hidden="1"/>
    <cellStyle name="Followed Hyperlink" xfId="7079" builtinId="9" hidden="1"/>
    <cellStyle name="Followed Hyperlink" xfId="7081" builtinId="9" hidden="1"/>
    <cellStyle name="Followed Hyperlink" xfId="7083" builtinId="9" hidden="1"/>
    <cellStyle name="Followed Hyperlink" xfId="7085" builtinId="9" hidden="1"/>
    <cellStyle name="Followed Hyperlink" xfId="7087" builtinId="9" hidden="1"/>
    <cellStyle name="Followed Hyperlink" xfId="7089" builtinId="9" hidden="1"/>
    <cellStyle name="Followed Hyperlink" xfId="7091" builtinId="9" hidden="1"/>
    <cellStyle name="Followed Hyperlink" xfId="7093" builtinId="9" hidden="1"/>
    <cellStyle name="Followed Hyperlink" xfId="7095" builtinId="9" hidden="1"/>
    <cellStyle name="Followed Hyperlink" xfId="7097" builtinId="9" hidden="1"/>
    <cellStyle name="Followed Hyperlink" xfId="7099" builtinId="9" hidden="1"/>
    <cellStyle name="Followed Hyperlink" xfId="7101" builtinId="9" hidden="1"/>
    <cellStyle name="Followed Hyperlink" xfId="7103" builtinId="9" hidden="1"/>
    <cellStyle name="Followed Hyperlink" xfId="7105" builtinId="9" hidden="1"/>
    <cellStyle name="Followed Hyperlink" xfId="7107" builtinId="9" hidden="1"/>
    <cellStyle name="Followed Hyperlink" xfId="7109" builtinId="9" hidden="1"/>
    <cellStyle name="Followed Hyperlink" xfId="7111" builtinId="9" hidden="1"/>
    <cellStyle name="Followed Hyperlink" xfId="7113" builtinId="9" hidden="1"/>
    <cellStyle name="Followed Hyperlink" xfId="7115" builtinId="9" hidden="1"/>
    <cellStyle name="Followed Hyperlink" xfId="7117" builtinId="9" hidden="1"/>
    <cellStyle name="Followed Hyperlink" xfId="7119" builtinId="9" hidden="1"/>
    <cellStyle name="Followed Hyperlink" xfId="7121" builtinId="9" hidden="1"/>
    <cellStyle name="Followed Hyperlink" xfId="7123" builtinId="9" hidden="1"/>
    <cellStyle name="Followed Hyperlink" xfId="7125" builtinId="9" hidden="1"/>
    <cellStyle name="Followed Hyperlink" xfId="7127" builtinId="9" hidden="1"/>
    <cellStyle name="Followed Hyperlink" xfId="7129" builtinId="9" hidden="1"/>
    <cellStyle name="Followed Hyperlink" xfId="7131" builtinId="9" hidden="1"/>
    <cellStyle name="Followed Hyperlink" xfId="7133" builtinId="9" hidden="1"/>
    <cellStyle name="Followed Hyperlink" xfId="7135" builtinId="9" hidden="1"/>
    <cellStyle name="Followed Hyperlink" xfId="7137" builtinId="9" hidden="1"/>
    <cellStyle name="Followed Hyperlink" xfId="7139" builtinId="9" hidden="1"/>
    <cellStyle name="Followed Hyperlink" xfId="7141" builtinId="9" hidden="1"/>
    <cellStyle name="Followed Hyperlink" xfId="7143" builtinId="9" hidden="1"/>
    <cellStyle name="Followed Hyperlink" xfId="7145" builtinId="9" hidden="1"/>
    <cellStyle name="Followed Hyperlink" xfId="7147" builtinId="9" hidden="1"/>
    <cellStyle name="Followed Hyperlink" xfId="7149" builtinId="9" hidden="1"/>
    <cellStyle name="Followed Hyperlink" xfId="7151" builtinId="9" hidden="1"/>
    <cellStyle name="Followed Hyperlink" xfId="7153" builtinId="9" hidden="1"/>
    <cellStyle name="Followed Hyperlink" xfId="7155" builtinId="9" hidden="1"/>
    <cellStyle name="Followed Hyperlink" xfId="7157" builtinId="9" hidden="1"/>
    <cellStyle name="Followed Hyperlink" xfId="7159" builtinId="9" hidden="1"/>
    <cellStyle name="Followed Hyperlink" xfId="7161" builtinId="9" hidden="1"/>
    <cellStyle name="Followed Hyperlink" xfId="7163" builtinId="9" hidden="1"/>
    <cellStyle name="Followed Hyperlink" xfId="7165" builtinId="9" hidden="1"/>
    <cellStyle name="Followed Hyperlink" xfId="7167" builtinId="9" hidden="1"/>
    <cellStyle name="Followed Hyperlink" xfId="7169" builtinId="9" hidden="1"/>
    <cellStyle name="Followed Hyperlink" xfId="7171" builtinId="9" hidden="1"/>
    <cellStyle name="Followed Hyperlink" xfId="7173" builtinId="9" hidden="1"/>
    <cellStyle name="Followed Hyperlink" xfId="7175" builtinId="9" hidden="1"/>
    <cellStyle name="Followed Hyperlink" xfId="7177" builtinId="9" hidden="1"/>
    <cellStyle name="Followed Hyperlink" xfId="7179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193" builtinId="9" hidden="1"/>
    <cellStyle name="Followed Hyperlink" xfId="7195" builtinId="9" hidden="1"/>
    <cellStyle name="Followed Hyperlink" xfId="7197" builtinId="9" hidden="1"/>
    <cellStyle name="Followed Hyperlink" xfId="7199" builtinId="9" hidden="1"/>
    <cellStyle name="Followed Hyperlink" xfId="7201" builtinId="9" hidden="1"/>
    <cellStyle name="Followed Hyperlink" xfId="7203" builtinId="9" hidden="1"/>
    <cellStyle name="Followed Hyperlink" xfId="7205" builtinId="9" hidden="1"/>
    <cellStyle name="Followed Hyperlink" xfId="7207" builtinId="9" hidden="1"/>
    <cellStyle name="Followed Hyperlink" xfId="7209" builtinId="9" hidden="1"/>
    <cellStyle name="Followed Hyperlink" xfId="7211" builtinId="9" hidden="1"/>
    <cellStyle name="Followed Hyperlink" xfId="7213" builtinId="9" hidden="1"/>
    <cellStyle name="Followed Hyperlink" xfId="7215" builtinId="9" hidden="1"/>
    <cellStyle name="Followed Hyperlink" xfId="7217" builtinId="9" hidden="1"/>
    <cellStyle name="Followed Hyperlink" xfId="7219" builtinId="9" hidden="1"/>
    <cellStyle name="Followed Hyperlink" xfId="7221" builtinId="9" hidden="1"/>
    <cellStyle name="Followed Hyperlink" xfId="7223" builtinId="9" hidden="1"/>
    <cellStyle name="Followed Hyperlink" xfId="7225" builtinId="9" hidden="1"/>
    <cellStyle name="Followed Hyperlink" xfId="7227" builtinId="9" hidden="1"/>
    <cellStyle name="Followed Hyperlink" xfId="7229" builtinId="9" hidden="1"/>
    <cellStyle name="Followed Hyperlink" xfId="7231" builtinId="9" hidden="1"/>
    <cellStyle name="Followed Hyperlink" xfId="7233" builtinId="9" hidden="1"/>
    <cellStyle name="Followed Hyperlink" xfId="7235" builtinId="9" hidden="1"/>
    <cellStyle name="Followed Hyperlink" xfId="7237" builtinId="9" hidden="1"/>
    <cellStyle name="Followed Hyperlink" xfId="7239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349" builtinId="9" hidden="1"/>
    <cellStyle name="Followed Hyperlink" xfId="7351" builtinId="9" hidden="1"/>
    <cellStyle name="Followed Hyperlink" xfId="7353" builtinId="9" hidden="1"/>
    <cellStyle name="Followed Hyperlink" xfId="7355" builtinId="9" hidden="1"/>
    <cellStyle name="Followed Hyperlink" xfId="7357" builtinId="9" hidden="1"/>
    <cellStyle name="Followed Hyperlink" xfId="7359" builtinId="9" hidden="1"/>
    <cellStyle name="Followed Hyperlink" xfId="7361" builtinId="9" hidden="1"/>
    <cellStyle name="Followed Hyperlink" xfId="7363" builtinId="9" hidden="1"/>
    <cellStyle name="Followed Hyperlink" xfId="7365" builtinId="9" hidden="1"/>
    <cellStyle name="Followed Hyperlink" xfId="7367" builtinId="9" hidden="1"/>
    <cellStyle name="Followed Hyperlink" xfId="7369" builtinId="9" hidden="1"/>
    <cellStyle name="Followed Hyperlink" xfId="7371" builtinId="9" hidden="1"/>
    <cellStyle name="Followed Hyperlink" xfId="7373" builtinId="9" hidden="1"/>
    <cellStyle name="Followed Hyperlink" xfId="7375" builtinId="9" hidden="1"/>
    <cellStyle name="Followed Hyperlink" xfId="7377" builtinId="9" hidden="1"/>
    <cellStyle name="Followed Hyperlink" xfId="7379" builtinId="9" hidden="1"/>
    <cellStyle name="Followed Hyperlink" xfId="7381" builtinId="9" hidden="1"/>
    <cellStyle name="Followed Hyperlink" xfId="7383" builtinId="9" hidden="1"/>
    <cellStyle name="Followed Hyperlink" xfId="7385" builtinId="9" hidden="1"/>
    <cellStyle name="Followed Hyperlink" xfId="7387" builtinId="9" hidden="1"/>
    <cellStyle name="Followed Hyperlink" xfId="7389" builtinId="9" hidden="1"/>
    <cellStyle name="Followed Hyperlink" xfId="7391" builtinId="9" hidden="1"/>
    <cellStyle name="Followed Hyperlink" xfId="7393" builtinId="9" hidden="1"/>
    <cellStyle name="Followed Hyperlink" xfId="7395" builtinId="9" hidden="1"/>
    <cellStyle name="Followed Hyperlink" xfId="7397" builtinId="9" hidden="1"/>
    <cellStyle name="Followed Hyperlink" xfId="7399" builtinId="9" hidden="1"/>
    <cellStyle name="Followed Hyperlink" xfId="7401" builtinId="9" hidden="1"/>
    <cellStyle name="Followed Hyperlink" xfId="7403" builtinId="9" hidden="1"/>
    <cellStyle name="Followed Hyperlink" xfId="7405" builtinId="9" hidden="1"/>
    <cellStyle name="Followed Hyperlink" xfId="7407" builtinId="9" hidden="1"/>
    <cellStyle name="Followed Hyperlink" xfId="7409" builtinId="9" hidden="1"/>
    <cellStyle name="Followed Hyperlink" xfId="7411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1" builtinId="9" hidden="1"/>
    <cellStyle name="Followed Hyperlink" xfId="7423" builtinId="9" hidden="1"/>
    <cellStyle name="Followed Hyperlink" xfId="7425" builtinId="9" hidden="1"/>
    <cellStyle name="Followed Hyperlink" xfId="7427" builtinId="9" hidden="1"/>
    <cellStyle name="Followed Hyperlink" xfId="7429" builtinId="9" hidden="1"/>
    <cellStyle name="Followed Hyperlink" xfId="7431" builtinId="9" hidden="1"/>
    <cellStyle name="Followed Hyperlink" xfId="7433" builtinId="9" hidden="1"/>
    <cellStyle name="Followed Hyperlink" xfId="7435" builtinId="9" hidden="1"/>
    <cellStyle name="Followed Hyperlink" xfId="7437" builtinId="9" hidden="1"/>
    <cellStyle name="Followed Hyperlink" xfId="7439" builtinId="9" hidden="1"/>
    <cellStyle name="Followed Hyperlink" xfId="7441" builtinId="9" hidden="1"/>
    <cellStyle name="Followed Hyperlink" xfId="7443" builtinId="9" hidden="1"/>
    <cellStyle name="Followed Hyperlink" xfId="7445" builtinId="9" hidden="1"/>
    <cellStyle name="Followed Hyperlink" xfId="7447" builtinId="9" hidden="1"/>
    <cellStyle name="Followed Hyperlink" xfId="7449" builtinId="9" hidden="1"/>
    <cellStyle name="Followed Hyperlink" xfId="7451" builtinId="9" hidden="1"/>
    <cellStyle name="Followed Hyperlink" xfId="7453" builtinId="9" hidden="1"/>
    <cellStyle name="Followed Hyperlink" xfId="7455" builtinId="9" hidden="1"/>
    <cellStyle name="Followed Hyperlink" xfId="7457" builtinId="9" hidden="1"/>
    <cellStyle name="Followed Hyperlink" xfId="7459" builtinId="9" hidden="1"/>
    <cellStyle name="Followed Hyperlink" xfId="7461" builtinId="9" hidden="1"/>
    <cellStyle name="Followed Hyperlink" xfId="7463" builtinId="9" hidden="1"/>
    <cellStyle name="Followed Hyperlink" xfId="7465" builtinId="9" hidden="1"/>
    <cellStyle name="Followed Hyperlink" xfId="7467" builtinId="9" hidden="1"/>
    <cellStyle name="Followed Hyperlink" xfId="7469" builtinId="9" hidden="1"/>
    <cellStyle name="Followed Hyperlink" xfId="7471" builtinId="9" hidden="1"/>
    <cellStyle name="Followed Hyperlink" xfId="7473" builtinId="9" hidden="1"/>
    <cellStyle name="Followed Hyperlink" xfId="7475" builtinId="9" hidden="1"/>
    <cellStyle name="Followed Hyperlink" xfId="7477" builtinId="9" hidden="1"/>
    <cellStyle name="Followed Hyperlink" xfId="7479" builtinId="9" hidden="1"/>
    <cellStyle name="Followed Hyperlink" xfId="7481" builtinId="9" hidden="1"/>
    <cellStyle name="Followed Hyperlink" xfId="7483" builtinId="9" hidden="1"/>
    <cellStyle name="Followed Hyperlink" xfId="7485" builtinId="9" hidden="1"/>
    <cellStyle name="Followed Hyperlink" xfId="7487" builtinId="9" hidden="1"/>
    <cellStyle name="Followed Hyperlink" xfId="7489" builtinId="9" hidden="1"/>
    <cellStyle name="Followed Hyperlink" xfId="7491" builtinId="9" hidden="1"/>
    <cellStyle name="Followed Hyperlink" xfId="7493" builtinId="9" hidden="1"/>
    <cellStyle name="Followed Hyperlink" xfId="7495" builtinId="9" hidden="1"/>
    <cellStyle name="Followed Hyperlink" xfId="7497" builtinId="9" hidden="1"/>
    <cellStyle name="Followed Hyperlink" xfId="7499" builtinId="9" hidden="1"/>
    <cellStyle name="Followed Hyperlink" xfId="7501" builtinId="9" hidden="1"/>
    <cellStyle name="Followed Hyperlink" xfId="7503" builtinId="9" hidden="1"/>
    <cellStyle name="Followed Hyperlink" xfId="7505" builtinId="9" hidden="1"/>
    <cellStyle name="Followed Hyperlink" xfId="7507" builtinId="9" hidden="1"/>
    <cellStyle name="Followed Hyperlink" xfId="7509" builtinId="9" hidden="1"/>
    <cellStyle name="Followed Hyperlink" xfId="7511" builtinId="9" hidden="1"/>
    <cellStyle name="Followed Hyperlink" xfId="7513" builtinId="9" hidden="1"/>
    <cellStyle name="Followed Hyperlink" xfId="7515" builtinId="9" hidden="1"/>
    <cellStyle name="Followed Hyperlink" xfId="7517" builtinId="9" hidden="1"/>
    <cellStyle name="Followed Hyperlink" xfId="7519" builtinId="9" hidden="1"/>
    <cellStyle name="Followed Hyperlink" xfId="7521" builtinId="9" hidden="1"/>
    <cellStyle name="Followed Hyperlink" xfId="7523" builtinId="9" hidden="1"/>
    <cellStyle name="Followed Hyperlink" xfId="7525" builtinId="9" hidden="1"/>
    <cellStyle name="Followed Hyperlink" xfId="7527" builtinId="9" hidden="1"/>
    <cellStyle name="Followed Hyperlink" xfId="7529" builtinId="9" hidden="1"/>
    <cellStyle name="Followed Hyperlink" xfId="7531" builtinId="9" hidden="1"/>
    <cellStyle name="Followed Hyperlink" xfId="7533" builtinId="9" hidden="1"/>
    <cellStyle name="Followed Hyperlink" xfId="7535" builtinId="9" hidden="1"/>
    <cellStyle name="Followed Hyperlink" xfId="7537" builtinId="9" hidden="1"/>
    <cellStyle name="Followed Hyperlink" xfId="7539" builtinId="9" hidden="1"/>
    <cellStyle name="Followed Hyperlink" xfId="7541" builtinId="9" hidden="1"/>
    <cellStyle name="Followed Hyperlink" xfId="7543" builtinId="9" hidden="1"/>
    <cellStyle name="Followed Hyperlink" xfId="7545" builtinId="9" hidden="1"/>
    <cellStyle name="Followed Hyperlink" xfId="7547" builtinId="9" hidden="1"/>
    <cellStyle name="Followed Hyperlink" xfId="7549" builtinId="9" hidden="1"/>
    <cellStyle name="Followed Hyperlink" xfId="7551" builtinId="9" hidden="1"/>
    <cellStyle name="Followed Hyperlink" xfId="7553" builtinId="9" hidden="1"/>
    <cellStyle name="Followed Hyperlink" xfId="7555" builtinId="9" hidden="1"/>
    <cellStyle name="Followed Hyperlink" xfId="7557" builtinId="9" hidden="1"/>
    <cellStyle name="Followed Hyperlink" xfId="7559" builtinId="9" hidden="1"/>
    <cellStyle name="Followed Hyperlink" xfId="7561" builtinId="9" hidden="1"/>
    <cellStyle name="Followed Hyperlink" xfId="7563" builtinId="9" hidden="1"/>
    <cellStyle name="Followed Hyperlink" xfId="7565" builtinId="9" hidden="1"/>
    <cellStyle name="Followed Hyperlink" xfId="7567" builtinId="9" hidden="1"/>
    <cellStyle name="Followed Hyperlink" xfId="7569" builtinId="9" hidden="1"/>
    <cellStyle name="Followed Hyperlink" xfId="7571" builtinId="9" hidden="1"/>
    <cellStyle name="Followed Hyperlink" xfId="7573" builtinId="9" hidden="1"/>
    <cellStyle name="Followed Hyperlink" xfId="7575" builtinId="9" hidden="1"/>
    <cellStyle name="Followed Hyperlink" xfId="7577" builtinId="9" hidden="1"/>
    <cellStyle name="Followed Hyperlink" xfId="7579" builtinId="9" hidden="1"/>
    <cellStyle name="Followed Hyperlink" xfId="7581" builtinId="9" hidden="1"/>
    <cellStyle name="Followed Hyperlink" xfId="7583" builtinId="9" hidden="1"/>
    <cellStyle name="Followed Hyperlink" xfId="7585" builtinId="9" hidden="1"/>
    <cellStyle name="Followed Hyperlink" xfId="7587" builtinId="9" hidden="1"/>
    <cellStyle name="Followed Hyperlink" xfId="7589" builtinId="9" hidden="1"/>
    <cellStyle name="Followed Hyperlink" xfId="7591" builtinId="9" hidden="1"/>
    <cellStyle name="Followed Hyperlink" xfId="7593" builtinId="9" hidden="1"/>
    <cellStyle name="Followed Hyperlink" xfId="7595" builtinId="9" hidden="1"/>
    <cellStyle name="Followed Hyperlink" xfId="7597" builtinId="9" hidden="1"/>
    <cellStyle name="Followed Hyperlink" xfId="7599" builtinId="9" hidden="1"/>
    <cellStyle name="Followed Hyperlink" xfId="7601" builtinId="9" hidden="1"/>
    <cellStyle name="Followed Hyperlink" xfId="7603" builtinId="9" hidden="1"/>
    <cellStyle name="Followed Hyperlink" xfId="7605" builtinId="9" hidden="1"/>
    <cellStyle name="Followed Hyperlink" xfId="7607" builtinId="9" hidden="1"/>
    <cellStyle name="Followed Hyperlink" xfId="7609" builtinId="9" hidden="1"/>
    <cellStyle name="Followed Hyperlink" xfId="7611" builtinId="9" hidden="1"/>
    <cellStyle name="Followed Hyperlink" xfId="7613" builtinId="9" hidden="1"/>
    <cellStyle name="Followed Hyperlink" xfId="7615" builtinId="9" hidden="1"/>
    <cellStyle name="Followed Hyperlink" xfId="7617" builtinId="9" hidden="1"/>
    <cellStyle name="Followed Hyperlink" xfId="7619" builtinId="9" hidden="1"/>
    <cellStyle name="Followed Hyperlink" xfId="7621" builtinId="9" hidden="1"/>
    <cellStyle name="Followed Hyperlink" xfId="7623" builtinId="9" hidden="1"/>
    <cellStyle name="Followed Hyperlink" xfId="7625" builtinId="9" hidden="1"/>
    <cellStyle name="Followed Hyperlink" xfId="7627" builtinId="9" hidden="1"/>
    <cellStyle name="Followed Hyperlink" xfId="7629" builtinId="9" hidden="1"/>
    <cellStyle name="Followed Hyperlink" xfId="7631" builtinId="9" hidden="1"/>
    <cellStyle name="Followed Hyperlink" xfId="7633" builtinId="9" hidden="1"/>
    <cellStyle name="Followed Hyperlink" xfId="7635" builtinId="9" hidden="1"/>
    <cellStyle name="Followed Hyperlink" xfId="7637" builtinId="9" hidden="1"/>
    <cellStyle name="Followed Hyperlink" xfId="7639" builtinId="9" hidden="1"/>
    <cellStyle name="Followed Hyperlink" xfId="7641" builtinId="9" hidden="1"/>
    <cellStyle name="Followed Hyperlink" xfId="7643" builtinId="9" hidden="1"/>
    <cellStyle name="Followed Hyperlink" xfId="7645" builtinId="9" hidden="1"/>
    <cellStyle name="Followed Hyperlink" xfId="7647" builtinId="9" hidden="1"/>
    <cellStyle name="Followed Hyperlink" xfId="7649" builtinId="9" hidden="1"/>
    <cellStyle name="Followed Hyperlink" xfId="7651" builtinId="9" hidden="1"/>
    <cellStyle name="Followed Hyperlink" xfId="7653" builtinId="9" hidden="1"/>
    <cellStyle name="Followed Hyperlink" xfId="7655" builtinId="9" hidden="1"/>
    <cellStyle name="Followed Hyperlink" xfId="7657" builtinId="9" hidden="1"/>
    <cellStyle name="Followed Hyperlink" xfId="7659" builtinId="9" hidden="1"/>
    <cellStyle name="Followed Hyperlink" xfId="7661" builtinId="9" hidden="1"/>
    <cellStyle name="Followed Hyperlink" xfId="7663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3" builtinId="9" hidden="1"/>
    <cellStyle name="Followed Hyperlink" xfId="7675" builtinId="9" hidden="1"/>
    <cellStyle name="Followed Hyperlink" xfId="7677" builtinId="9" hidden="1"/>
    <cellStyle name="Followed Hyperlink" xfId="7679" builtinId="9" hidden="1"/>
    <cellStyle name="Followed Hyperlink" xfId="7681" builtinId="9" hidden="1"/>
    <cellStyle name="Followed Hyperlink" xfId="7683" builtinId="9" hidden="1"/>
    <cellStyle name="Followed Hyperlink" xfId="7685" builtinId="9" hidden="1"/>
    <cellStyle name="Followed Hyperlink" xfId="7687" builtinId="9" hidden="1"/>
    <cellStyle name="Followed Hyperlink" xfId="7689" builtinId="9" hidden="1"/>
    <cellStyle name="Followed Hyperlink" xfId="7691" builtinId="9" hidden="1"/>
    <cellStyle name="Followed Hyperlink" xfId="7693" builtinId="9" hidden="1"/>
    <cellStyle name="Followed Hyperlink" xfId="7695" builtinId="9" hidden="1"/>
    <cellStyle name="Followed Hyperlink" xfId="7697" builtinId="9" hidden="1"/>
    <cellStyle name="Followed Hyperlink" xfId="7699" builtinId="9" hidden="1"/>
    <cellStyle name="Followed Hyperlink" xfId="7701" builtinId="9" hidden="1"/>
    <cellStyle name="Followed Hyperlink" xfId="7703" builtinId="9" hidden="1"/>
    <cellStyle name="Followed Hyperlink" xfId="7705" builtinId="9" hidden="1"/>
    <cellStyle name="Followed Hyperlink" xfId="7707" builtinId="9" hidden="1"/>
    <cellStyle name="Followed Hyperlink" xfId="7709" builtinId="9" hidden="1"/>
    <cellStyle name="Followed Hyperlink" xfId="7711" builtinId="9" hidden="1"/>
    <cellStyle name="Followed Hyperlink" xfId="7713" builtinId="9" hidden="1"/>
    <cellStyle name="Followed Hyperlink" xfId="7715" builtinId="9" hidden="1"/>
    <cellStyle name="Followed Hyperlink" xfId="7717" builtinId="9" hidden="1"/>
    <cellStyle name="Followed Hyperlink" xfId="7719" builtinId="9" hidden="1"/>
    <cellStyle name="Followed Hyperlink" xfId="7721" builtinId="9" hidden="1"/>
    <cellStyle name="Followed Hyperlink" xfId="7723" builtinId="9" hidden="1"/>
    <cellStyle name="Followed Hyperlink" xfId="7725" builtinId="9" hidden="1"/>
    <cellStyle name="Followed Hyperlink" xfId="7727" builtinId="9" hidden="1"/>
    <cellStyle name="Followed Hyperlink" xfId="7729" builtinId="9" hidden="1"/>
    <cellStyle name="Followed Hyperlink" xfId="7731" builtinId="9" hidden="1"/>
    <cellStyle name="Followed Hyperlink" xfId="7733" builtinId="9" hidden="1"/>
    <cellStyle name="Followed Hyperlink" xfId="7735" builtinId="9" hidden="1"/>
    <cellStyle name="Followed Hyperlink" xfId="7737" builtinId="9" hidden="1"/>
    <cellStyle name="Followed Hyperlink" xfId="7739" builtinId="9" hidden="1"/>
    <cellStyle name="Followed Hyperlink" xfId="7741" builtinId="9" hidden="1"/>
    <cellStyle name="Followed Hyperlink" xfId="7743" builtinId="9" hidden="1"/>
    <cellStyle name="Followed Hyperlink" xfId="7745" builtinId="9" hidden="1"/>
    <cellStyle name="Followed Hyperlink" xfId="7747" builtinId="9" hidden="1"/>
    <cellStyle name="Followed Hyperlink" xfId="7749" builtinId="9" hidden="1"/>
    <cellStyle name="Followed Hyperlink" xfId="7751" builtinId="9" hidden="1"/>
    <cellStyle name="Followed Hyperlink" xfId="7753" builtinId="9" hidden="1"/>
    <cellStyle name="Followed Hyperlink" xfId="7755" builtinId="9" hidden="1"/>
    <cellStyle name="Followed Hyperlink" xfId="7757" builtinId="9" hidden="1"/>
    <cellStyle name="Followed Hyperlink" xfId="7759" builtinId="9" hidden="1"/>
    <cellStyle name="Followed Hyperlink" xfId="7761" builtinId="9" hidden="1"/>
    <cellStyle name="Followed Hyperlink" xfId="7763" builtinId="9" hidden="1"/>
    <cellStyle name="Followed Hyperlink" xfId="7765" builtinId="9" hidden="1"/>
    <cellStyle name="Followed Hyperlink" xfId="7767" builtinId="9" hidden="1"/>
    <cellStyle name="Followed Hyperlink" xfId="7769" builtinId="9" hidden="1"/>
    <cellStyle name="Followed Hyperlink" xfId="7771" builtinId="9" hidden="1"/>
    <cellStyle name="Followed Hyperlink" xfId="7773" builtinId="9" hidden="1"/>
    <cellStyle name="Followed Hyperlink" xfId="7775" builtinId="9" hidden="1"/>
    <cellStyle name="Followed Hyperlink" xfId="7777" builtinId="9" hidden="1"/>
    <cellStyle name="Followed Hyperlink" xfId="7779" builtinId="9" hidden="1"/>
    <cellStyle name="Followed Hyperlink" xfId="7781" builtinId="9" hidden="1"/>
    <cellStyle name="Followed Hyperlink" xfId="7783" builtinId="9" hidden="1"/>
    <cellStyle name="Followed Hyperlink" xfId="7785" builtinId="9" hidden="1"/>
    <cellStyle name="Followed Hyperlink" xfId="7787" builtinId="9" hidden="1"/>
    <cellStyle name="Followed Hyperlink" xfId="7789" builtinId="9" hidden="1"/>
    <cellStyle name="Followed Hyperlink" xfId="7791" builtinId="9" hidden="1"/>
    <cellStyle name="Followed Hyperlink" xfId="7793" builtinId="9" hidden="1"/>
    <cellStyle name="Followed Hyperlink" xfId="7795" builtinId="9" hidden="1"/>
    <cellStyle name="Followed Hyperlink" xfId="7797" builtinId="9" hidden="1"/>
    <cellStyle name="Followed Hyperlink" xfId="7799" builtinId="9" hidden="1"/>
    <cellStyle name="Followed Hyperlink" xfId="7801" builtinId="9" hidden="1"/>
    <cellStyle name="Followed Hyperlink" xfId="7803" builtinId="9" hidden="1"/>
    <cellStyle name="Followed Hyperlink" xfId="7805" builtinId="9" hidden="1"/>
    <cellStyle name="Followed Hyperlink" xfId="7807" builtinId="9" hidden="1"/>
    <cellStyle name="Followed Hyperlink" xfId="7809" builtinId="9" hidden="1"/>
    <cellStyle name="Followed Hyperlink" xfId="7811" builtinId="9" hidden="1"/>
    <cellStyle name="Followed Hyperlink" xfId="7813" builtinId="9" hidden="1"/>
    <cellStyle name="Followed Hyperlink" xfId="7815" builtinId="9" hidden="1"/>
    <cellStyle name="Followed Hyperlink" xfId="7817" builtinId="9" hidden="1"/>
    <cellStyle name="Followed Hyperlink" xfId="7819" builtinId="9" hidden="1"/>
    <cellStyle name="Followed Hyperlink" xfId="7821" builtinId="9" hidden="1"/>
    <cellStyle name="Followed Hyperlink" xfId="7823" builtinId="9" hidden="1"/>
    <cellStyle name="Followed Hyperlink" xfId="7825" builtinId="9" hidden="1"/>
    <cellStyle name="Followed Hyperlink" xfId="7827" builtinId="9" hidden="1"/>
    <cellStyle name="Followed Hyperlink" xfId="7829" builtinId="9" hidden="1"/>
    <cellStyle name="Followed Hyperlink" xfId="7831" builtinId="9" hidden="1"/>
    <cellStyle name="Followed Hyperlink" xfId="7833" builtinId="9" hidden="1"/>
    <cellStyle name="Followed Hyperlink" xfId="7835" builtinId="9" hidden="1"/>
    <cellStyle name="Followed Hyperlink" xfId="7837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51" builtinId="9" hidden="1"/>
    <cellStyle name="Followed Hyperlink" xfId="7853" builtinId="9" hidden="1"/>
    <cellStyle name="Followed Hyperlink" xfId="7855" builtinId="9" hidden="1"/>
    <cellStyle name="Followed Hyperlink" xfId="7857" builtinId="9" hidden="1"/>
    <cellStyle name="Followed Hyperlink" xfId="7859" builtinId="9" hidden="1"/>
    <cellStyle name="Followed Hyperlink" xfId="7861" builtinId="9" hidden="1"/>
    <cellStyle name="Followed Hyperlink" xfId="7863" builtinId="9" hidden="1"/>
    <cellStyle name="Followed Hyperlink" xfId="7865" builtinId="9" hidden="1"/>
    <cellStyle name="Followed Hyperlink" xfId="7867" builtinId="9" hidden="1"/>
    <cellStyle name="Followed Hyperlink" xfId="7869" builtinId="9" hidden="1"/>
    <cellStyle name="Followed Hyperlink" xfId="7871" builtinId="9" hidden="1"/>
    <cellStyle name="Followed Hyperlink" xfId="7873" builtinId="9" hidden="1"/>
    <cellStyle name="Followed Hyperlink" xfId="7875" builtinId="9" hidden="1"/>
    <cellStyle name="Followed Hyperlink" xfId="7877" builtinId="9" hidden="1"/>
    <cellStyle name="Followed Hyperlink" xfId="7879" builtinId="9" hidden="1"/>
    <cellStyle name="Followed Hyperlink" xfId="7881" builtinId="9" hidden="1"/>
    <cellStyle name="Followed Hyperlink" xfId="7883" builtinId="9" hidden="1"/>
    <cellStyle name="Followed Hyperlink" xfId="7885" builtinId="9" hidden="1"/>
    <cellStyle name="Followed Hyperlink" xfId="7887" builtinId="9" hidden="1"/>
    <cellStyle name="Followed Hyperlink" xfId="7889" builtinId="9" hidden="1"/>
    <cellStyle name="Followed Hyperlink" xfId="7891" builtinId="9" hidden="1"/>
    <cellStyle name="Followed Hyperlink" xfId="7893" builtinId="9" hidden="1"/>
    <cellStyle name="Followed Hyperlink" xfId="7895" builtinId="9" hidden="1"/>
    <cellStyle name="Followed Hyperlink" xfId="7897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8003" builtinId="9" hidden="1"/>
    <cellStyle name="Followed Hyperlink" xfId="8005" builtinId="9" hidden="1"/>
    <cellStyle name="Followed Hyperlink" xfId="8007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21" builtinId="9" hidden="1"/>
    <cellStyle name="Followed Hyperlink" xfId="8023" builtinId="9" hidden="1"/>
    <cellStyle name="Followed Hyperlink" xfId="8025" builtinId="9" hidden="1"/>
    <cellStyle name="Followed Hyperlink" xfId="8027" builtinId="9" hidden="1"/>
    <cellStyle name="Followed Hyperlink" xfId="8029" builtinId="9" hidden="1"/>
    <cellStyle name="Followed Hyperlink" xfId="8031" builtinId="9" hidden="1"/>
    <cellStyle name="Followed Hyperlink" xfId="8033" builtinId="9" hidden="1"/>
    <cellStyle name="Followed Hyperlink" xfId="8035" builtinId="9" hidden="1"/>
    <cellStyle name="Followed Hyperlink" xfId="8037" builtinId="9" hidden="1"/>
    <cellStyle name="Followed Hyperlink" xfId="8039" builtinId="9" hidden="1"/>
    <cellStyle name="Followed Hyperlink" xfId="8041" builtinId="9" hidden="1"/>
    <cellStyle name="Followed Hyperlink" xfId="8043" builtinId="9" hidden="1"/>
    <cellStyle name="Followed Hyperlink" xfId="8045" builtinId="9" hidden="1"/>
    <cellStyle name="Followed Hyperlink" xfId="8047" builtinId="9" hidden="1"/>
    <cellStyle name="Followed Hyperlink" xfId="8049" builtinId="9" hidden="1"/>
    <cellStyle name="Followed Hyperlink" xfId="8051" builtinId="9" hidden="1"/>
    <cellStyle name="Followed Hyperlink" xfId="8053" builtinId="9" hidden="1"/>
    <cellStyle name="Followed Hyperlink" xfId="8055" builtinId="9" hidden="1"/>
    <cellStyle name="Followed Hyperlink" xfId="8057" builtinId="9" hidden="1"/>
    <cellStyle name="Followed Hyperlink" xfId="8059" builtinId="9" hidden="1"/>
    <cellStyle name="Followed Hyperlink" xfId="8061" builtinId="9" hidden="1"/>
    <cellStyle name="Followed Hyperlink" xfId="8063" builtinId="9" hidden="1"/>
    <cellStyle name="Followed Hyperlink" xfId="8065" builtinId="9" hidden="1"/>
    <cellStyle name="Followed Hyperlink" xfId="8067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8173" builtinId="9" hidden="1"/>
    <cellStyle name="Followed Hyperlink" xfId="8175" builtinId="9" hidden="1"/>
    <cellStyle name="Followed Hyperlink" xfId="8177" builtinId="9" hidden="1"/>
    <cellStyle name="Followed Hyperlink" xfId="8179" builtinId="9" hidden="1"/>
    <cellStyle name="Followed Hyperlink" xfId="8181" builtinId="9" hidden="1"/>
    <cellStyle name="Followed Hyperlink" xfId="8183" builtinId="9" hidden="1"/>
    <cellStyle name="Followed Hyperlink" xfId="8185" builtinId="9" hidden="1"/>
    <cellStyle name="Followed Hyperlink" xfId="8187" builtinId="9" hidden="1"/>
    <cellStyle name="Followed Hyperlink" xfId="8189" builtinId="9" hidden="1"/>
    <cellStyle name="Followed Hyperlink" xfId="8191" builtinId="9" hidden="1"/>
    <cellStyle name="Followed Hyperlink" xfId="8193" builtinId="9" hidden="1"/>
    <cellStyle name="Followed Hyperlink" xfId="8195" builtinId="9" hidden="1"/>
    <cellStyle name="Followed Hyperlink" xfId="8197" builtinId="9" hidden="1"/>
    <cellStyle name="Followed Hyperlink" xfId="8199" builtinId="9" hidden="1"/>
    <cellStyle name="Followed Hyperlink" xfId="8201" builtinId="9" hidden="1"/>
    <cellStyle name="Followed Hyperlink" xfId="8203" builtinId="9" hidden="1"/>
    <cellStyle name="Followed Hyperlink" xfId="8205" builtinId="9" hidden="1"/>
    <cellStyle name="Followed Hyperlink" xfId="8207" builtinId="9" hidden="1"/>
    <cellStyle name="Followed Hyperlink" xfId="8209" builtinId="9" hidden="1"/>
    <cellStyle name="Followed Hyperlink" xfId="8211" builtinId="9" hidden="1"/>
    <cellStyle name="Followed Hyperlink" xfId="8213" builtinId="9" hidden="1"/>
    <cellStyle name="Followed Hyperlink" xfId="8215" builtinId="9" hidden="1"/>
    <cellStyle name="Followed Hyperlink" xfId="8217" builtinId="9" hidden="1"/>
    <cellStyle name="Followed Hyperlink" xfId="8219" builtinId="9" hidden="1"/>
    <cellStyle name="Followed Hyperlink" xfId="8221" builtinId="9" hidden="1"/>
    <cellStyle name="Followed Hyperlink" xfId="8223" builtinId="9" hidden="1"/>
    <cellStyle name="Followed Hyperlink" xfId="8225" builtinId="9" hidden="1"/>
    <cellStyle name="Followed Hyperlink" xfId="8227" builtinId="9" hidden="1"/>
    <cellStyle name="Followed Hyperlink" xfId="8229" builtinId="9" hidden="1"/>
    <cellStyle name="Followed Hyperlink" xfId="8231" builtinId="9" hidden="1"/>
    <cellStyle name="Followed Hyperlink" xfId="8233" builtinId="9" hidden="1"/>
    <cellStyle name="Followed Hyperlink" xfId="8235" builtinId="9" hidden="1"/>
    <cellStyle name="Followed Hyperlink" xfId="8237" builtinId="9" hidden="1"/>
    <cellStyle name="Followed Hyperlink" xfId="8239" builtinId="9" hidden="1"/>
    <cellStyle name="Followed Hyperlink" xfId="8241" builtinId="9" hidden="1"/>
    <cellStyle name="Followed Hyperlink" xfId="8243" builtinId="9" hidden="1"/>
    <cellStyle name="Followed Hyperlink" xfId="8245" builtinId="9" hidden="1"/>
    <cellStyle name="Followed Hyperlink" xfId="8247" builtinId="9" hidden="1"/>
    <cellStyle name="Followed Hyperlink" xfId="8249" builtinId="9" hidden="1"/>
    <cellStyle name="Followed Hyperlink" xfId="8251" builtinId="9" hidden="1"/>
    <cellStyle name="Followed Hyperlink" xfId="8253" builtinId="9" hidden="1"/>
    <cellStyle name="Followed Hyperlink" xfId="8255" builtinId="9" hidden="1"/>
    <cellStyle name="Followed Hyperlink" xfId="8257" builtinId="9" hidden="1"/>
    <cellStyle name="Followed Hyperlink" xfId="8259" builtinId="9" hidden="1"/>
    <cellStyle name="Followed Hyperlink" xfId="8261" builtinId="9" hidden="1"/>
    <cellStyle name="Followed Hyperlink" xfId="8263" builtinId="9" hidden="1"/>
    <cellStyle name="Followed Hyperlink" xfId="8265" builtinId="9" hidden="1"/>
    <cellStyle name="Followed Hyperlink" xfId="8267" builtinId="9" hidden="1"/>
    <cellStyle name="Followed Hyperlink" xfId="8269" builtinId="9" hidden="1"/>
    <cellStyle name="Followed Hyperlink" xfId="8271" builtinId="9" hidden="1"/>
    <cellStyle name="Followed Hyperlink" xfId="8273" builtinId="9" hidden="1"/>
    <cellStyle name="Followed Hyperlink" xfId="8275" builtinId="9" hidden="1"/>
    <cellStyle name="Followed Hyperlink" xfId="8277" builtinId="9" hidden="1"/>
    <cellStyle name="Followed Hyperlink" xfId="8279" builtinId="9" hidden="1"/>
    <cellStyle name="Followed Hyperlink" xfId="8281" builtinId="9" hidden="1"/>
    <cellStyle name="Followed Hyperlink" xfId="8283" builtinId="9" hidden="1"/>
    <cellStyle name="Followed Hyperlink" xfId="8285" builtinId="9" hidden="1"/>
    <cellStyle name="Followed Hyperlink" xfId="8287" builtinId="9" hidden="1"/>
    <cellStyle name="Followed Hyperlink" xfId="8289" builtinId="9" hidden="1"/>
    <cellStyle name="Followed Hyperlink" xfId="8291" builtinId="9" hidden="1"/>
    <cellStyle name="Followed Hyperlink" xfId="8293" builtinId="9" hidden="1"/>
    <cellStyle name="Followed Hyperlink" xfId="8295" builtinId="9" hidden="1"/>
    <cellStyle name="Followed Hyperlink" xfId="8297" builtinId="9" hidden="1"/>
    <cellStyle name="Followed Hyperlink" xfId="8299" builtinId="9" hidden="1"/>
    <cellStyle name="Followed Hyperlink" xfId="8301" builtinId="9" hidden="1"/>
    <cellStyle name="Followed Hyperlink" xfId="8303" builtinId="9" hidden="1"/>
    <cellStyle name="Followed Hyperlink" xfId="8305" builtinId="9" hidden="1"/>
    <cellStyle name="Followed Hyperlink" xfId="8307" builtinId="9" hidden="1"/>
    <cellStyle name="Followed Hyperlink" xfId="8309" builtinId="9" hidden="1"/>
    <cellStyle name="Followed Hyperlink" xfId="8311" builtinId="9" hidden="1"/>
    <cellStyle name="Followed Hyperlink" xfId="8313" builtinId="9" hidden="1"/>
    <cellStyle name="Followed Hyperlink" xfId="8315" builtinId="9" hidden="1"/>
    <cellStyle name="Followed Hyperlink" xfId="8317" builtinId="9" hidden="1"/>
    <cellStyle name="Followed Hyperlink" xfId="8319" builtinId="9" hidden="1"/>
    <cellStyle name="Followed Hyperlink" xfId="8321" builtinId="9" hidden="1"/>
    <cellStyle name="Followed Hyperlink" xfId="8323" builtinId="9" hidden="1"/>
    <cellStyle name="Followed Hyperlink" xfId="8325" builtinId="9" hidden="1"/>
    <cellStyle name="Followed Hyperlink" xfId="8327" builtinId="9" hidden="1"/>
    <cellStyle name="Followed Hyperlink" xfId="8329" builtinId="9" hidden="1"/>
    <cellStyle name="Followed Hyperlink" xfId="8331" builtinId="9" hidden="1"/>
    <cellStyle name="Followed Hyperlink" xfId="8333" builtinId="9" hidden="1"/>
    <cellStyle name="Followed Hyperlink" xfId="8335" builtinId="9" hidden="1"/>
    <cellStyle name="Followed Hyperlink" xfId="8337" builtinId="9" hidden="1"/>
    <cellStyle name="Followed Hyperlink" xfId="8339" builtinId="9" hidden="1"/>
    <cellStyle name="Followed Hyperlink" xfId="8341" builtinId="9" hidden="1"/>
    <cellStyle name="Followed Hyperlink" xfId="8343" builtinId="9" hidden="1"/>
    <cellStyle name="Followed Hyperlink" xfId="8345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359" builtinId="9" hidden="1"/>
    <cellStyle name="Followed Hyperlink" xfId="8361" builtinId="9" hidden="1"/>
    <cellStyle name="Followed Hyperlink" xfId="8363" builtinId="9" hidden="1"/>
    <cellStyle name="Followed Hyperlink" xfId="8365" builtinId="9" hidden="1"/>
    <cellStyle name="Followed Hyperlink" xfId="8367" builtinId="9" hidden="1"/>
    <cellStyle name="Followed Hyperlink" xfId="8369" builtinId="9" hidden="1"/>
    <cellStyle name="Followed Hyperlink" xfId="8371" builtinId="9" hidden="1"/>
    <cellStyle name="Followed Hyperlink" xfId="8373" builtinId="9" hidden="1"/>
    <cellStyle name="Followed Hyperlink" xfId="8375" builtinId="9" hidden="1"/>
    <cellStyle name="Followed Hyperlink" xfId="8377" builtinId="9" hidden="1"/>
    <cellStyle name="Followed Hyperlink" xfId="8379" builtinId="9" hidden="1"/>
    <cellStyle name="Followed Hyperlink" xfId="8381" builtinId="9" hidden="1"/>
    <cellStyle name="Followed Hyperlink" xfId="8383" builtinId="9" hidden="1"/>
    <cellStyle name="Followed Hyperlink" xfId="8385" builtinId="9" hidden="1"/>
    <cellStyle name="Followed Hyperlink" xfId="8387" builtinId="9" hidden="1"/>
    <cellStyle name="Followed Hyperlink" xfId="8389" builtinId="9" hidden="1"/>
    <cellStyle name="Followed Hyperlink" xfId="8391" builtinId="9" hidden="1"/>
    <cellStyle name="Followed Hyperlink" xfId="8393" builtinId="9" hidden="1"/>
    <cellStyle name="Followed Hyperlink" xfId="8395" builtinId="9" hidden="1"/>
    <cellStyle name="Followed Hyperlink" xfId="8397" builtinId="9" hidden="1"/>
    <cellStyle name="Followed Hyperlink" xfId="8399" builtinId="9" hidden="1"/>
    <cellStyle name="Followed Hyperlink" xfId="8401" builtinId="9" hidden="1"/>
    <cellStyle name="Followed Hyperlink" xfId="8403" builtinId="9" hidden="1"/>
    <cellStyle name="Followed Hyperlink" xfId="8405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8511" builtinId="9" hidden="1"/>
    <cellStyle name="Followed Hyperlink" xfId="8513" builtinId="9" hidden="1"/>
    <cellStyle name="Followed Hyperlink" xfId="8515" builtinId="9" hidden="1"/>
    <cellStyle name="Followed Hyperlink" xfId="8517" builtinId="9" hidden="1"/>
    <cellStyle name="Followed Hyperlink" xfId="8519" builtinId="9" hidden="1"/>
    <cellStyle name="Followed Hyperlink" xfId="8521" builtinId="9" hidden="1"/>
    <cellStyle name="Followed Hyperlink" xfId="8523" builtinId="9" hidden="1"/>
    <cellStyle name="Followed Hyperlink" xfId="8525" builtinId="9" hidden="1"/>
    <cellStyle name="Followed Hyperlink" xfId="8527" builtinId="9" hidden="1"/>
    <cellStyle name="Followed Hyperlink" xfId="8529" builtinId="9" hidden="1"/>
    <cellStyle name="Followed Hyperlink" xfId="8531" builtinId="9" hidden="1"/>
    <cellStyle name="Followed Hyperlink" xfId="8533" builtinId="9" hidden="1"/>
    <cellStyle name="Followed Hyperlink" xfId="8535" builtinId="9" hidden="1"/>
    <cellStyle name="Followed Hyperlink" xfId="8537" builtinId="9" hidden="1"/>
    <cellStyle name="Followed Hyperlink" xfId="8539" builtinId="9" hidden="1"/>
    <cellStyle name="Followed Hyperlink" xfId="8541" builtinId="9" hidden="1"/>
    <cellStyle name="Followed Hyperlink" xfId="8543" builtinId="9" hidden="1"/>
    <cellStyle name="Followed Hyperlink" xfId="8545" builtinId="9" hidden="1"/>
    <cellStyle name="Followed Hyperlink" xfId="8547" builtinId="9" hidden="1"/>
    <cellStyle name="Followed Hyperlink" xfId="8549" builtinId="9" hidden="1"/>
    <cellStyle name="Followed Hyperlink" xfId="8551" builtinId="9" hidden="1"/>
    <cellStyle name="Followed Hyperlink" xfId="8553" builtinId="9" hidden="1"/>
    <cellStyle name="Followed Hyperlink" xfId="8555" builtinId="9" hidden="1"/>
    <cellStyle name="Followed Hyperlink" xfId="8557" builtinId="9" hidden="1"/>
    <cellStyle name="Followed Hyperlink" xfId="8559" builtinId="9" hidden="1"/>
    <cellStyle name="Followed Hyperlink" xfId="8561" builtinId="9" hidden="1"/>
    <cellStyle name="Followed Hyperlink" xfId="8563" builtinId="9" hidden="1"/>
    <cellStyle name="Followed Hyperlink" xfId="8565" builtinId="9" hidden="1"/>
    <cellStyle name="Followed Hyperlink" xfId="8567" builtinId="9" hidden="1"/>
    <cellStyle name="Followed Hyperlink" xfId="8569" builtinId="9" hidden="1"/>
    <cellStyle name="Followed Hyperlink" xfId="8571" builtinId="9" hidden="1"/>
    <cellStyle name="Followed Hyperlink" xfId="8573" builtinId="9" hidden="1"/>
    <cellStyle name="Followed Hyperlink" xfId="8575" builtinId="9" hidden="1"/>
    <cellStyle name="Followed Hyperlink" xfId="8577" builtinId="9" hidden="1"/>
    <cellStyle name="Followed Hyperlink" xfId="8579" builtinId="9" hidden="1"/>
    <cellStyle name="Followed Hyperlink" xfId="8581" builtinId="9" hidden="1"/>
    <cellStyle name="Followed Hyperlink" xfId="8583" builtinId="9" hidden="1"/>
    <cellStyle name="Followed Hyperlink" xfId="8585" builtinId="9" hidden="1"/>
    <cellStyle name="Followed Hyperlink" xfId="8587" builtinId="9" hidden="1"/>
    <cellStyle name="Followed Hyperlink" xfId="8589" builtinId="9" hidden="1"/>
    <cellStyle name="Followed Hyperlink" xfId="8591" builtinId="9" hidden="1"/>
    <cellStyle name="Followed Hyperlink" xfId="8593" builtinId="9" hidden="1"/>
    <cellStyle name="Followed Hyperlink" xfId="8595" builtinId="9" hidden="1"/>
    <cellStyle name="Followed Hyperlink" xfId="8597" builtinId="9" hidden="1"/>
    <cellStyle name="Followed Hyperlink" xfId="8599" builtinId="9" hidden="1"/>
    <cellStyle name="Followed Hyperlink" xfId="8601" builtinId="9" hidden="1"/>
    <cellStyle name="Followed Hyperlink" xfId="8603" builtinId="9" hidden="1"/>
    <cellStyle name="Followed Hyperlink" xfId="8605" builtinId="9" hidden="1"/>
    <cellStyle name="Followed Hyperlink" xfId="8607" builtinId="9" hidden="1"/>
    <cellStyle name="Followed Hyperlink" xfId="8609" builtinId="9" hidden="1"/>
    <cellStyle name="Followed Hyperlink" xfId="8611" builtinId="9" hidden="1"/>
    <cellStyle name="Followed Hyperlink" xfId="8613" builtinId="9" hidden="1"/>
    <cellStyle name="Followed Hyperlink" xfId="8615" builtinId="9" hidden="1"/>
    <cellStyle name="Followed Hyperlink" xfId="8617" builtinId="9" hidden="1"/>
    <cellStyle name="Followed Hyperlink" xfId="8619" builtinId="9" hidden="1"/>
    <cellStyle name="Followed Hyperlink" xfId="8621" builtinId="9" hidden="1"/>
    <cellStyle name="Followed Hyperlink" xfId="8623" builtinId="9" hidden="1"/>
    <cellStyle name="Followed Hyperlink" xfId="8625" builtinId="9" hidden="1"/>
    <cellStyle name="Followed Hyperlink" xfId="8627" builtinId="9" hidden="1"/>
    <cellStyle name="Followed Hyperlink" xfId="8629" builtinId="9" hidden="1"/>
    <cellStyle name="Followed Hyperlink" xfId="8631" builtinId="9" hidden="1"/>
    <cellStyle name="Followed Hyperlink" xfId="8633" builtinId="9" hidden="1"/>
    <cellStyle name="Followed Hyperlink" xfId="8635" builtinId="9" hidden="1"/>
    <cellStyle name="Followed Hyperlink" xfId="8637" builtinId="9" hidden="1"/>
    <cellStyle name="Followed Hyperlink" xfId="8639" builtinId="9" hidden="1"/>
    <cellStyle name="Followed Hyperlink" xfId="8641" builtinId="9" hidden="1"/>
    <cellStyle name="Followed Hyperlink" xfId="8643" builtinId="9" hidden="1"/>
    <cellStyle name="Followed Hyperlink" xfId="8645" builtinId="9" hidden="1"/>
    <cellStyle name="Followed Hyperlink" xfId="8647" builtinId="9" hidden="1"/>
    <cellStyle name="Followed Hyperlink" xfId="8649" builtinId="9" hidden="1"/>
    <cellStyle name="Followed Hyperlink" xfId="8651" builtinId="9" hidden="1"/>
    <cellStyle name="Followed Hyperlink" xfId="8653" builtinId="9" hidden="1"/>
    <cellStyle name="Followed Hyperlink" xfId="8655" builtinId="9" hidden="1"/>
    <cellStyle name="Followed Hyperlink" xfId="8657" builtinId="9" hidden="1"/>
    <cellStyle name="Followed Hyperlink" xfId="8659" builtinId="9" hidden="1"/>
    <cellStyle name="Followed Hyperlink" xfId="8661" builtinId="9" hidden="1"/>
    <cellStyle name="Followed Hyperlink" xfId="8663" builtinId="9" hidden="1"/>
    <cellStyle name="Followed Hyperlink" xfId="8665" builtinId="9" hidden="1"/>
    <cellStyle name="Followed Hyperlink" xfId="8667" builtinId="9" hidden="1"/>
    <cellStyle name="Followed Hyperlink" xfId="8669" builtinId="9" hidden="1"/>
    <cellStyle name="Followed Hyperlink" xfId="8671" builtinId="9" hidden="1"/>
    <cellStyle name="Followed Hyperlink" xfId="8673" builtinId="9" hidden="1"/>
    <cellStyle name="Followed Hyperlink" xfId="8675" builtinId="9" hidden="1"/>
    <cellStyle name="Followed Hyperlink" xfId="8677" builtinId="9" hidden="1"/>
    <cellStyle name="Followed Hyperlink" xfId="8679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693" builtinId="9" hidden="1"/>
    <cellStyle name="Followed Hyperlink" xfId="8695" builtinId="9" hidden="1"/>
    <cellStyle name="Followed Hyperlink" xfId="8697" builtinId="9" hidden="1"/>
    <cellStyle name="Followed Hyperlink" xfId="8699" builtinId="9" hidden="1"/>
    <cellStyle name="Followed Hyperlink" xfId="8701" builtinId="9" hidden="1"/>
    <cellStyle name="Followed Hyperlink" xfId="8703" builtinId="9" hidden="1"/>
    <cellStyle name="Followed Hyperlink" xfId="8705" builtinId="9" hidden="1"/>
    <cellStyle name="Followed Hyperlink" xfId="8707" builtinId="9" hidden="1"/>
    <cellStyle name="Followed Hyperlink" xfId="8709" builtinId="9" hidden="1"/>
    <cellStyle name="Followed Hyperlink" xfId="8711" builtinId="9" hidden="1"/>
    <cellStyle name="Followed Hyperlink" xfId="8713" builtinId="9" hidden="1"/>
    <cellStyle name="Followed Hyperlink" xfId="8715" builtinId="9" hidden="1"/>
    <cellStyle name="Followed Hyperlink" xfId="8717" builtinId="9" hidden="1"/>
    <cellStyle name="Followed Hyperlink" xfId="8719" builtinId="9" hidden="1"/>
    <cellStyle name="Followed Hyperlink" xfId="8721" builtinId="9" hidden="1"/>
    <cellStyle name="Followed Hyperlink" xfId="8723" builtinId="9" hidden="1"/>
    <cellStyle name="Followed Hyperlink" xfId="8725" builtinId="9" hidden="1"/>
    <cellStyle name="Followed Hyperlink" xfId="8727" builtinId="9" hidden="1"/>
    <cellStyle name="Followed Hyperlink" xfId="8729" builtinId="9" hidden="1"/>
    <cellStyle name="Followed Hyperlink" xfId="8731" builtinId="9" hidden="1"/>
    <cellStyle name="Followed Hyperlink" xfId="8733" builtinId="9" hidden="1"/>
    <cellStyle name="Followed Hyperlink" xfId="8735" builtinId="9" hidden="1"/>
    <cellStyle name="Followed Hyperlink" xfId="8737" builtinId="9" hidden="1"/>
    <cellStyle name="Followed Hyperlink" xfId="8739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8845" builtinId="9" hidden="1"/>
    <cellStyle name="Followed Hyperlink" xfId="8847" builtinId="9" hidden="1"/>
    <cellStyle name="Followed Hyperlink" xfId="8849" builtinId="9" hidden="1"/>
    <cellStyle name="Followed Hyperlink" xfId="8851" builtinId="9" hidden="1"/>
    <cellStyle name="Followed Hyperlink" xfId="8853" builtinId="9" hidden="1"/>
    <cellStyle name="Followed Hyperlink" xfId="8855" builtinId="9" hidden="1"/>
    <cellStyle name="Followed Hyperlink" xfId="8857" builtinId="9" hidden="1"/>
    <cellStyle name="Followed Hyperlink" xfId="8859" builtinId="9" hidden="1"/>
    <cellStyle name="Followed Hyperlink" xfId="8861" builtinId="9" hidden="1"/>
    <cellStyle name="Followed Hyperlink" xfId="8863" builtinId="9" hidden="1"/>
    <cellStyle name="Followed Hyperlink" xfId="8865" builtinId="9" hidden="1"/>
    <cellStyle name="Followed Hyperlink" xfId="8867" builtinId="9" hidden="1"/>
    <cellStyle name="Followed Hyperlink" xfId="8869" builtinId="9" hidden="1"/>
    <cellStyle name="Followed Hyperlink" xfId="8871" builtinId="9" hidden="1"/>
    <cellStyle name="Followed Hyperlink" xfId="8873" builtinId="9" hidden="1"/>
    <cellStyle name="Followed Hyperlink" xfId="8875" builtinId="9" hidden="1"/>
    <cellStyle name="Followed Hyperlink" xfId="8877" builtinId="9" hidden="1"/>
    <cellStyle name="Followed Hyperlink" xfId="8879" builtinId="9" hidden="1"/>
    <cellStyle name="Followed Hyperlink" xfId="8881" builtinId="9" hidden="1"/>
    <cellStyle name="Followed Hyperlink" xfId="8883" builtinId="9" hidden="1"/>
    <cellStyle name="Followed Hyperlink" xfId="8885" builtinId="9" hidden="1"/>
    <cellStyle name="Followed Hyperlink" xfId="8887" builtinId="9" hidden="1"/>
    <cellStyle name="Followed Hyperlink" xfId="8889" builtinId="9" hidden="1"/>
    <cellStyle name="Followed Hyperlink" xfId="8891" builtinId="9" hidden="1"/>
    <cellStyle name="Followed Hyperlink" xfId="8893" builtinId="9" hidden="1"/>
    <cellStyle name="Followed Hyperlink" xfId="8895" builtinId="9" hidden="1"/>
    <cellStyle name="Followed Hyperlink" xfId="8897" builtinId="9" hidden="1"/>
    <cellStyle name="Followed Hyperlink" xfId="8899" builtinId="9" hidden="1"/>
    <cellStyle name="Followed Hyperlink" xfId="8901" builtinId="9" hidden="1"/>
    <cellStyle name="Followed Hyperlink" xfId="8903" builtinId="9" hidden="1"/>
    <cellStyle name="Followed Hyperlink" xfId="8905" builtinId="9" hidden="1"/>
    <cellStyle name="Followed Hyperlink" xfId="8907" builtinId="9" hidden="1"/>
    <cellStyle name="Followed Hyperlink" xfId="8909" builtinId="9" hidden="1"/>
    <cellStyle name="Followed Hyperlink" xfId="8911" builtinId="9" hidden="1"/>
    <cellStyle name="Followed Hyperlink" xfId="8913" builtinId="9" hidden="1"/>
    <cellStyle name="Followed Hyperlink" xfId="8915" builtinId="9" hidden="1"/>
    <cellStyle name="Followed Hyperlink" xfId="8917" builtinId="9" hidden="1"/>
    <cellStyle name="Followed Hyperlink" xfId="8919" builtinId="9" hidden="1"/>
    <cellStyle name="Followed Hyperlink" xfId="8921" builtinId="9" hidden="1"/>
    <cellStyle name="Followed Hyperlink" xfId="8923" builtinId="9" hidden="1"/>
    <cellStyle name="Followed Hyperlink" xfId="8925" builtinId="9" hidden="1"/>
    <cellStyle name="Followed Hyperlink" xfId="8927" builtinId="9" hidden="1"/>
    <cellStyle name="Followed Hyperlink" xfId="8929" builtinId="9" hidden="1"/>
    <cellStyle name="Followed Hyperlink" xfId="8931" builtinId="9" hidden="1"/>
    <cellStyle name="Followed Hyperlink" xfId="8933" builtinId="9" hidden="1"/>
    <cellStyle name="Followed Hyperlink" xfId="8935" builtinId="9" hidden="1"/>
    <cellStyle name="Followed Hyperlink" xfId="8937" builtinId="9" hidden="1"/>
    <cellStyle name="Followed Hyperlink" xfId="8939" builtinId="9" hidden="1"/>
    <cellStyle name="Followed Hyperlink" xfId="8941" builtinId="9" hidden="1"/>
    <cellStyle name="Followed Hyperlink" xfId="8943" builtinId="9" hidden="1"/>
    <cellStyle name="Followed Hyperlink" xfId="8945" builtinId="9" hidden="1"/>
    <cellStyle name="Followed Hyperlink" xfId="8947" builtinId="9" hidden="1"/>
    <cellStyle name="Followed Hyperlink" xfId="8949" builtinId="9" hidden="1"/>
    <cellStyle name="Followed Hyperlink" xfId="8951" builtinId="9" hidden="1"/>
    <cellStyle name="Followed Hyperlink" xfId="8953" builtinId="9" hidden="1"/>
    <cellStyle name="Followed Hyperlink" xfId="8955" builtinId="9" hidden="1"/>
    <cellStyle name="Followed Hyperlink" xfId="8957" builtinId="9" hidden="1"/>
    <cellStyle name="Followed Hyperlink" xfId="8959" builtinId="9" hidden="1"/>
    <cellStyle name="Followed Hyperlink" xfId="8961" builtinId="9" hidden="1"/>
    <cellStyle name="Followed Hyperlink" xfId="8963" builtinId="9" hidden="1"/>
    <cellStyle name="Followed Hyperlink" xfId="8965" builtinId="9" hidden="1"/>
    <cellStyle name="Followed Hyperlink" xfId="8967" builtinId="9" hidden="1"/>
    <cellStyle name="Followed Hyperlink" xfId="8969" builtinId="9" hidden="1"/>
    <cellStyle name="Followed Hyperlink" xfId="8971" builtinId="9" hidden="1"/>
    <cellStyle name="Followed Hyperlink" xfId="8973" builtinId="9" hidden="1"/>
    <cellStyle name="Followed Hyperlink" xfId="8975" builtinId="9" hidden="1"/>
    <cellStyle name="Followed Hyperlink" xfId="8977" builtinId="9" hidden="1"/>
    <cellStyle name="Followed Hyperlink" xfId="8979" builtinId="9" hidden="1"/>
    <cellStyle name="Followed Hyperlink" xfId="8981" builtinId="9" hidden="1"/>
    <cellStyle name="Followed Hyperlink" xfId="8983" builtinId="9" hidden="1"/>
    <cellStyle name="Followed Hyperlink" xfId="8985" builtinId="9" hidden="1"/>
    <cellStyle name="Followed Hyperlink" xfId="8987" builtinId="9" hidden="1"/>
    <cellStyle name="Followed Hyperlink" xfId="8989" builtinId="9" hidden="1"/>
    <cellStyle name="Followed Hyperlink" xfId="8991" builtinId="9" hidden="1"/>
    <cellStyle name="Followed Hyperlink" xfId="8993" builtinId="9" hidden="1"/>
    <cellStyle name="Followed Hyperlink" xfId="8995" builtinId="9" hidden="1"/>
    <cellStyle name="Followed Hyperlink" xfId="8997" builtinId="9" hidden="1"/>
    <cellStyle name="Followed Hyperlink" xfId="8999" builtinId="9" hidden="1"/>
    <cellStyle name="Followed Hyperlink" xfId="9001" builtinId="9" hidden="1"/>
    <cellStyle name="Followed Hyperlink" xfId="9003" builtinId="9" hidden="1"/>
    <cellStyle name="Followed Hyperlink" xfId="9005" builtinId="9" hidden="1"/>
    <cellStyle name="Followed Hyperlink" xfId="9007" builtinId="9" hidden="1"/>
    <cellStyle name="Followed Hyperlink" xfId="9009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23" builtinId="9" hidden="1"/>
    <cellStyle name="Followed Hyperlink" xfId="9025" builtinId="9" hidden="1"/>
    <cellStyle name="Followed Hyperlink" xfId="9027" builtinId="9" hidden="1"/>
    <cellStyle name="Followed Hyperlink" xfId="9029" builtinId="9" hidden="1"/>
    <cellStyle name="Followed Hyperlink" xfId="9031" builtinId="9" hidden="1"/>
    <cellStyle name="Followed Hyperlink" xfId="9033" builtinId="9" hidden="1"/>
    <cellStyle name="Followed Hyperlink" xfId="9035" builtinId="9" hidden="1"/>
    <cellStyle name="Followed Hyperlink" xfId="9037" builtinId="9" hidden="1"/>
    <cellStyle name="Followed Hyperlink" xfId="9039" builtinId="9" hidden="1"/>
    <cellStyle name="Followed Hyperlink" xfId="9041" builtinId="9" hidden="1"/>
    <cellStyle name="Followed Hyperlink" xfId="9043" builtinId="9" hidden="1"/>
    <cellStyle name="Followed Hyperlink" xfId="9045" builtinId="9" hidden="1"/>
    <cellStyle name="Followed Hyperlink" xfId="9047" builtinId="9" hidden="1"/>
    <cellStyle name="Followed Hyperlink" xfId="9049" builtinId="9" hidden="1"/>
    <cellStyle name="Followed Hyperlink" xfId="9051" builtinId="9" hidden="1"/>
    <cellStyle name="Followed Hyperlink" xfId="9053" builtinId="9" hidden="1"/>
    <cellStyle name="Followed Hyperlink" xfId="9055" builtinId="9" hidden="1"/>
    <cellStyle name="Followed Hyperlink" xfId="9057" builtinId="9" hidden="1"/>
    <cellStyle name="Followed Hyperlink" xfId="9059" builtinId="9" hidden="1"/>
    <cellStyle name="Followed Hyperlink" xfId="9061" builtinId="9" hidden="1"/>
    <cellStyle name="Followed Hyperlink" xfId="9063" builtinId="9" hidden="1"/>
    <cellStyle name="Followed Hyperlink" xfId="9065" builtinId="9" hidden="1"/>
    <cellStyle name="Followed Hyperlink" xfId="9067" builtinId="9" hidden="1"/>
    <cellStyle name="Followed Hyperlink" xfId="9069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9175" builtinId="9" hidden="1"/>
    <cellStyle name="Followed Hyperlink" xfId="9177" builtinId="9" hidden="1"/>
    <cellStyle name="Followed Hyperlink" xfId="9179" builtinId="9" hidden="1"/>
    <cellStyle name="Followed Hyperlink" xfId="9181" builtinId="9" hidden="1"/>
    <cellStyle name="Followed Hyperlink" xfId="9183" builtinId="9" hidden="1"/>
    <cellStyle name="Followed Hyperlink" xfId="9185" builtinId="9" hidden="1"/>
    <cellStyle name="Followed Hyperlink" xfId="9187" builtinId="9" hidden="1"/>
    <cellStyle name="Followed Hyperlink" xfId="9189" builtinId="9" hidden="1"/>
    <cellStyle name="Followed Hyperlink" xfId="9191" builtinId="9" hidden="1"/>
    <cellStyle name="Followed Hyperlink" xfId="9193" builtinId="9" hidden="1"/>
    <cellStyle name="Followed Hyperlink" xfId="9195" builtinId="9" hidden="1"/>
    <cellStyle name="Followed Hyperlink" xfId="9197" builtinId="9" hidden="1"/>
    <cellStyle name="Followed Hyperlink" xfId="9199" builtinId="9" hidden="1"/>
    <cellStyle name="Followed Hyperlink" xfId="9201" builtinId="9" hidden="1"/>
    <cellStyle name="Followed Hyperlink" xfId="9203" builtinId="9" hidden="1"/>
    <cellStyle name="Followed Hyperlink" xfId="9205" builtinId="9" hidden="1"/>
    <cellStyle name="Followed Hyperlink" xfId="9207" builtinId="9" hidden="1"/>
    <cellStyle name="Followed Hyperlink" xfId="9209" builtinId="9" hidden="1"/>
    <cellStyle name="Followed Hyperlink" xfId="9211" builtinId="9" hidden="1"/>
    <cellStyle name="Followed Hyperlink" xfId="9213" builtinId="9" hidden="1"/>
    <cellStyle name="Followed Hyperlink" xfId="9215" builtinId="9" hidden="1"/>
    <cellStyle name="Followed Hyperlink" xfId="9217" builtinId="9" hidden="1"/>
    <cellStyle name="Followed Hyperlink" xfId="9219" builtinId="9" hidden="1"/>
    <cellStyle name="Followed Hyperlink" xfId="9221" builtinId="9" hidden="1"/>
    <cellStyle name="Followed Hyperlink" xfId="9223" builtinId="9" hidden="1"/>
    <cellStyle name="Followed Hyperlink" xfId="9225" builtinId="9" hidden="1"/>
    <cellStyle name="Followed Hyperlink" xfId="9227" builtinId="9" hidden="1"/>
    <cellStyle name="Followed Hyperlink" xfId="9229" builtinId="9" hidden="1"/>
    <cellStyle name="Followed Hyperlink" xfId="9231" builtinId="9" hidden="1"/>
    <cellStyle name="Followed Hyperlink" xfId="9233" builtinId="9" hidden="1"/>
    <cellStyle name="Followed Hyperlink" xfId="9235" builtinId="9" hidden="1"/>
    <cellStyle name="Followed Hyperlink" xfId="9237" builtinId="9" hidden="1"/>
    <cellStyle name="Followed Hyperlink" xfId="9239" builtinId="9" hidden="1"/>
    <cellStyle name="Followed Hyperlink" xfId="9241" builtinId="9" hidden="1"/>
    <cellStyle name="Followed Hyperlink" xfId="9243" builtinId="9" hidden="1"/>
    <cellStyle name="Followed Hyperlink" xfId="9245" builtinId="9" hidden="1"/>
    <cellStyle name="Followed Hyperlink" xfId="9247" builtinId="9" hidden="1"/>
    <cellStyle name="Followed Hyperlink" xfId="9249" builtinId="9" hidden="1"/>
    <cellStyle name="Followed Hyperlink" xfId="9251" builtinId="9" hidden="1"/>
    <cellStyle name="Followed Hyperlink" xfId="9253" builtinId="9" hidden="1"/>
    <cellStyle name="Followed Hyperlink" xfId="9255" builtinId="9" hidden="1"/>
    <cellStyle name="Followed Hyperlink" xfId="9257" builtinId="9" hidden="1"/>
    <cellStyle name="Followed Hyperlink" xfId="9259" builtinId="9" hidden="1"/>
    <cellStyle name="Followed Hyperlink" xfId="9261" builtinId="9" hidden="1"/>
    <cellStyle name="Followed Hyperlink" xfId="9263" builtinId="9" hidden="1"/>
    <cellStyle name="Followed Hyperlink" xfId="9265" builtinId="9" hidden="1"/>
    <cellStyle name="Followed Hyperlink" xfId="9267" builtinId="9" hidden="1"/>
    <cellStyle name="Followed Hyperlink" xfId="9269" builtinId="9" hidden="1"/>
    <cellStyle name="Followed Hyperlink" xfId="9271" builtinId="9" hidden="1"/>
    <cellStyle name="Followed Hyperlink" xfId="9273" builtinId="9" hidden="1"/>
    <cellStyle name="Followed Hyperlink" xfId="9275" builtinId="9" hidden="1"/>
    <cellStyle name="Followed Hyperlink" xfId="9277" builtinId="9" hidden="1"/>
    <cellStyle name="Followed Hyperlink" xfId="9279" builtinId="9" hidden="1"/>
    <cellStyle name="Followed Hyperlink" xfId="9281" builtinId="9" hidden="1"/>
    <cellStyle name="Followed Hyperlink" xfId="9283" builtinId="9" hidden="1"/>
    <cellStyle name="Followed Hyperlink" xfId="9285" builtinId="9" hidden="1"/>
    <cellStyle name="Followed Hyperlink" xfId="9287" builtinId="9" hidden="1"/>
    <cellStyle name="Followed Hyperlink" xfId="9289" builtinId="9" hidden="1"/>
    <cellStyle name="Followed Hyperlink" xfId="9291" builtinId="9" hidden="1"/>
    <cellStyle name="Followed Hyperlink" xfId="9293" builtinId="9" hidden="1"/>
    <cellStyle name="Followed Hyperlink" xfId="9295" builtinId="9" hidden="1"/>
    <cellStyle name="Followed Hyperlink" xfId="9297" builtinId="9" hidden="1"/>
    <cellStyle name="Followed Hyperlink" xfId="9299" builtinId="9" hidden="1"/>
    <cellStyle name="Followed Hyperlink" xfId="9301" builtinId="9" hidden="1"/>
    <cellStyle name="Followed Hyperlink" xfId="9303" builtinId="9" hidden="1"/>
    <cellStyle name="Followed Hyperlink" xfId="9305" builtinId="9" hidden="1"/>
    <cellStyle name="Followed Hyperlink" xfId="9307" builtinId="9" hidden="1"/>
    <cellStyle name="Followed Hyperlink" xfId="9309" builtinId="9" hidden="1"/>
    <cellStyle name="Followed Hyperlink" xfId="9311" builtinId="9" hidden="1"/>
    <cellStyle name="Followed Hyperlink" xfId="9313" builtinId="9" hidden="1"/>
    <cellStyle name="Followed Hyperlink" xfId="9315" builtinId="9" hidden="1"/>
    <cellStyle name="Followed Hyperlink" xfId="9317" builtinId="9" hidden="1"/>
    <cellStyle name="Followed Hyperlink" xfId="9319" builtinId="9" hidden="1"/>
    <cellStyle name="Followed Hyperlink" xfId="9321" builtinId="9" hidden="1"/>
    <cellStyle name="Followed Hyperlink" xfId="9323" builtinId="9" hidden="1"/>
    <cellStyle name="Followed Hyperlink" xfId="9325" builtinId="9" hidden="1"/>
    <cellStyle name="Followed Hyperlink" xfId="9327" builtinId="9" hidden="1"/>
    <cellStyle name="Followed Hyperlink" xfId="9329" builtinId="9" hidden="1"/>
    <cellStyle name="Followed Hyperlink" xfId="9331" builtinId="9" hidden="1"/>
    <cellStyle name="Followed Hyperlink" xfId="9333" builtinId="9" hidden="1"/>
    <cellStyle name="Followed Hyperlink" xfId="9335" builtinId="9" hidden="1"/>
    <cellStyle name="Followed Hyperlink" xfId="9337" builtinId="9" hidden="1"/>
    <cellStyle name="Followed Hyperlink" xfId="9339" builtinId="9" hidden="1"/>
    <cellStyle name="Followed Hyperlink" xfId="9341" builtinId="9" hidden="1"/>
    <cellStyle name="Followed Hyperlink" xfId="9343" builtinId="9" hidden="1"/>
    <cellStyle name="Followed Hyperlink" xfId="9345" builtinId="9" hidden="1"/>
    <cellStyle name="Followed Hyperlink" xfId="9347" builtinId="9" hidden="1"/>
    <cellStyle name="Followed Hyperlink" xfId="9349" builtinId="9" hidden="1"/>
    <cellStyle name="Followed Hyperlink" xfId="9351" builtinId="9" hidden="1"/>
    <cellStyle name="Followed Hyperlink" xfId="9353" builtinId="9" hidden="1"/>
    <cellStyle name="Followed Hyperlink" xfId="9355" builtinId="9" hidden="1"/>
    <cellStyle name="Followed Hyperlink" xfId="9357" builtinId="9" hidden="1"/>
    <cellStyle name="Followed Hyperlink" xfId="9359" builtinId="9" hidden="1"/>
    <cellStyle name="Followed Hyperlink" xfId="9361" builtinId="9" hidden="1"/>
    <cellStyle name="Followed Hyperlink" xfId="9363" builtinId="9" hidden="1"/>
    <cellStyle name="Followed Hyperlink" xfId="9365" builtinId="9" hidden="1"/>
    <cellStyle name="Followed Hyperlink" xfId="9367" builtinId="9" hidden="1"/>
    <cellStyle name="Followed Hyperlink" xfId="9369" builtinId="9" hidden="1"/>
    <cellStyle name="Followed Hyperlink" xfId="9371" builtinId="9" hidden="1"/>
    <cellStyle name="Followed Hyperlink" xfId="9373" builtinId="9" hidden="1"/>
    <cellStyle name="Followed Hyperlink" xfId="9375" builtinId="9" hidden="1"/>
    <cellStyle name="Followed Hyperlink" xfId="9377" builtinId="9" hidden="1"/>
    <cellStyle name="Followed Hyperlink" xfId="9379" builtinId="9" hidden="1"/>
    <cellStyle name="Followed Hyperlink" xfId="9381" builtinId="9" hidden="1"/>
    <cellStyle name="Followed Hyperlink" xfId="9383" builtinId="9" hidden="1"/>
    <cellStyle name="Followed Hyperlink" xfId="9385" builtinId="9" hidden="1"/>
    <cellStyle name="Followed Hyperlink" xfId="9387" builtinId="9" hidden="1"/>
    <cellStyle name="Followed Hyperlink" xfId="9389" builtinId="9" hidden="1"/>
    <cellStyle name="Followed Hyperlink" xfId="9391" builtinId="9" hidden="1"/>
    <cellStyle name="Followed Hyperlink" xfId="9393" builtinId="9" hidden="1"/>
    <cellStyle name="Followed Hyperlink" xfId="9395" builtinId="9" hidden="1"/>
    <cellStyle name="Followed Hyperlink" xfId="9397" builtinId="9" hidden="1"/>
    <cellStyle name="Followed Hyperlink" xfId="9399" builtinId="9" hidden="1"/>
    <cellStyle name="Followed Hyperlink" xfId="9401" builtinId="9" hidden="1"/>
    <cellStyle name="Followed Hyperlink" xfId="9403" builtinId="9" hidden="1"/>
    <cellStyle name="Followed Hyperlink" xfId="9405" builtinId="9" hidden="1"/>
    <cellStyle name="Followed Hyperlink" xfId="9407" builtinId="9" hidden="1"/>
    <cellStyle name="Followed Hyperlink" xfId="9409" builtinId="9" hidden="1"/>
    <cellStyle name="Followed Hyperlink" xfId="9411" builtinId="9" hidden="1"/>
    <cellStyle name="Followed Hyperlink" xfId="9413" builtinId="9" hidden="1"/>
    <cellStyle name="Followed Hyperlink" xfId="9415" builtinId="9" hidden="1"/>
    <cellStyle name="Followed Hyperlink" xfId="9417" builtinId="9" hidden="1"/>
    <cellStyle name="Followed Hyperlink" xfId="9419" builtinId="9" hidden="1"/>
    <cellStyle name="Followed Hyperlink" xfId="9421" builtinId="9" hidden="1"/>
    <cellStyle name="Followed Hyperlink" xfId="9423" builtinId="9" hidden="1"/>
    <cellStyle name="Followed Hyperlink" xfId="9425" builtinId="9" hidden="1"/>
    <cellStyle name="Followed Hyperlink" xfId="9427" builtinId="9" hidden="1"/>
    <cellStyle name="Followed Hyperlink" xfId="9429" builtinId="9" hidden="1"/>
    <cellStyle name="Followed Hyperlink" xfId="9431" builtinId="9" hidden="1"/>
    <cellStyle name="Followed Hyperlink" xfId="9433" builtinId="9" hidden="1"/>
    <cellStyle name="Followed Hyperlink" xfId="9435" builtinId="9" hidden="1"/>
    <cellStyle name="Followed Hyperlink" xfId="9437" builtinId="9" hidden="1"/>
    <cellStyle name="Followed Hyperlink" xfId="9439" builtinId="9" hidden="1"/>
    <cellStyle name="Followed Hyperlink" xfId="9441" builtinId="9" hidden="1"/>
    <cellStyle name="Followed Hyperlink" xfId="9443" builtinId="9" hidden="1"/>
    <cellStyle name="Followed Hyperlink" xfId="9445" builtinId="9" hidden="1"/>
    <cellStyle name="Followed Hyperlink" xfId="9447" builtinId="9" hidden="1"/>
    <cellStyle name="Followed Hyperlink" xfId="9449" builtinId="9" hidden="1"/>
    <cellStyle name="Followed Hyperlink" xfId="9451" builtinId="9" hidden="1"/>
    <cellStyle name="Followed Hyperlink" xfId="9453" builtinId="9" hidden="1"/>
    <cellStyle name="Followed Hyperlink" xfId="9455" builtinId="9" hidden="1"/>
    <cellStyle name="Followed Hyperlink" xfId="9457" builtinId="9" hidden="1"/>
    <cellStyle name="Followed Hyperlink" xfId="9459" builtinId="9" hidden="1"/>
    <cellStyle name="Followed Hyperlink" xfId="9461" builtinId="9" hidden="1"/>
    <cellStyle name="Followed Hyperlink" xfId="9463" builtinId="9" hidden="1"/>
    <cellStyle name="Followed Hyperlink" xfId="9465" builtinId="9" hidden="1"/>
    <cellStyle name="Followed Hyperlink" xfId="9467" builtinId="9" hidden="1"/>
    <cellStyle name="Followed Hyperlink" xfId="9469" builtinId="9" hidden="1"/>
    <cellStyle name="Followed Hyperlink" xfId="9471" builtinId="9" hidden="1"/>
    <cellStyle name="Followed Hyperlink" xfId="9473" builtinId="9" hidden="1"/>
    <cellStyle name="Followed Hyperlink" xfId="9475" builtinId="9" hidden="1"/>
    <cellStyle name="Followed Hyperlink" xfId="9477" builtinId="9" hidden="1"/>
    <cellStyle name="Followed Hyperlink" xfId="9479" builtinId="9" hidden="1"/>
    <cellStyle name="Followed Hyperlink" xfId="9481" builtinId="9" hidden="1"/>
    <cellStyle name="Followed Hyperlink" xfId="9483" builtinId="9" hidden="1"/>
    <cellStyle name="Followed Hyperlink" xfId="9485" builtinId="9" hidden="1"/>
    <cellStyle name="Followed Hyperlink" xfId="9487" builtinId="9" hidden="1"/>
    <cellStyle name="Followed Hyperlink" xfId="9489" builtinId="9" hidden="1"/>
    <cellStyle name="Followed Hyperlink" xfId="9491" builtinId="9" hidden="1"/>
    <cellStyle name="Followed Hyperlink" xfId="9493" builtinId="9" hidden="1"/>
    <cellStyle name="Followed Hyperlink" xfId="9495" builtinId="9" hidden="1"/>
    <cellStyle name="Followed Hyperlink" xfId="9497" builtinId="9" hidden="1"/>
    <cellStyle name="Followed Hyperlink" xfId="9499" builtinId="9" hidden="1"/>
    <cellStyle name="Followed Hyperlink" xfId="9501" builtinId="9" hidden="1"/>
    <cellStyle name="Followed Hyperlink" xfId="9503" builtinId="9" hidden="1"/>
    <cellStyle name="Followed Hyperlink" xfId="9505" builtinId="9" hidden="1"/>
    <cellStyle name="Followed Hyperlink" xfId="9507" builtinId="9" hidden="1"/>
    <cellStyle name="Followed Hyperlink" xfId="9509" builtinId="9" hidden="1"/>
    <cellStyle name="Followed Hyperlink" xfId="9511" builtinId="9" hidden="1"/>
    <cellStyle name="Followed Hyperlink" xfId="9513" builtinId="9" hidden="1"/>
    <cellStyle name="Followed Hyperlink" xfId="9515" builtinId="9" hidden="1"/>
    <cellStyle name="Followed Hyperlink" xfId="9517" builtinId="9" hidden="1"/>
    <cellStyle name="Followed Hyperlink" xfId="9519" builtinId="9" hidden="1"/>
    <cellStyle name="Followed Hyperlink" xfId="9521" builtinId="9" hidden="1"/>
    <cellStyle name="Followed Hyperlink" xfId="9523" builtinId="9" hidden="1"/>
    <cellStyle name="Followed Hyperlink" xfId="9525" builtinId="9" hidden="1"/>
    <cellStyle name="Followed Hyperlink" xfId="9527" builtinId="9" hidden="1"/>
    <cellStyle name="Followed Hyperlink" xfId="9529" builtinId="9" hidden="1"/>
    <cellStyle name="Followed Hyperlink" xfId="9531" builtinId="9" hidden="1"/>
    <cellStyle name="Followed Hyperlink" xfId="9533" builtinId="9" hidden="1"/>
    <cellStyle name="Followed Hyperlink" xfId="9535" builtinId="9" hidden="1"/>
    <cellStyle name="Followed Hyperlink" xfId="9537" builtinId="9" hidden="1"/>
    <cellStyle name="Followed Hyperlink" xfId="9539" builtinId="9" hidden="1"/>
    <cellStyle name="Followed Hyperlink" xfId="9541" builtinId="9" hidden="1"/>
    <cellStyle name="Followed Hyperlink" xfId="9543" builtinId="9" hidden="1"/>
    <cellStyle name="Followed Hyperlink" xfId="9545" builtinId="9" hidden="1"/>
    <cellStyle name="Followed Hyperlink" xfId="9547" builtinId="9" hidden="1"/>
    <cellStyle name="Followed Hyperlink" xfId="9549" builtinId="9" hidden="1"/>
    <cellStyle name="Followed Hyperlink" xfId="9551" builtinId="9" hidden="1"/>
    <cellStyle name="Followed Hyperlink" xfId="9553" builtinId="9" hidden="1"/>
    <cellStyle name="Followed Hyperlink" xfId="9555" builtinId="9" hidden="1"/>
    <cellStyle name="Followed Hyperlink" xfId="9557" builtinId="9" hidden="1"/>
    <cellStyle name="Followed Hyperlink" xfId="9559" builtinId="9" hidden="1"/>
    <cellStyle name="Followed Hyperlink" xfId="9561" builtinId="9" hidden="1"/>
    <cellStyle name="Followed Hyperlink" xfId="9563" builtinId="9" hidden="1"/>
    <cellStyle name="Followed Hyperlink" xfId="9565" builtinId="9" hidden="1"/>
    <cellStyle name="Followed Hyperlink" xfId="9567" builtinId="9" hidden="1"/>
    <cellStyle name="Followed Hyperlink" xfId="9569" builtinId="9" hidden="1"/>
    <cellStyle name="Followed Hyperlink" xfId="9571" builtinId="9" hidden="1"/>
    <cellStyle name="Followed Hyperlink" xfId="9573" builtinId="9" hidden="1"/>
    <cellStyle name="Followed Hyperlink" xfId="9575" builtinId="9" hidden="1"/>
    <cellStyle name="Followed Hyperlink" xfId="9577" builtinId="9" hidden="1"/>
    <cellStyle name="Followed Hyperlink" xfId="9579" builtinId="9" hidden="1"/>
    <cellStyle name="Followed Hyperlink" xfId="9581" builtinId="9" hidden="1"/>
    <cellStyle name="Followed Hyperlink" xfId="9583" builtinId="9" hidden="1"/>
    <cellStyle name="Followed Hyperlink" xfId="9585" builtinId="9" hidden="1"/>
    <cellStyle name="Followed Hyperlink" xfId="9587" builtinId="9" hidden="1"/>
    <cellStyle name="Followed Hyperlink" xfId="9589" builtinId="9" hidden="1"/>
    <cellStyle name="Followed Hyperlink" xfId="9591" builtinId="9" hidden="1"/>
    <cellStyle name="Followed Hyperlink" xfId="9593" builtinId="9" hidden="1"/>
    <cellStyle name="Followed Hyperlink" xfId="9595" builtinId="9" hidden="1"/>
    <cellStyle name="Followed Hyperlink" xfId="9597" builtinId="9" hidden="1"/>
    <cellStyle name="Followed Hyperlink" xfId="9599" builtinId="9" hidden="1"/>
    <cellStyle name="Followed Hyperlink" xfId="9601" builtinId="9" hidden="1"/>
    <cellStyle name="Followed Hyperlink" xfId="9603" builtinId="9" hidden="1"/>
    <cellStyle name="Followed Hyperlink" xfId="9605" builtinId="9" hidden="1"/>
    <cellStyle name="Followed Hyperlink" xfId="9607" builtinId="9" hidden="1"/>
    <cellStyle name="Followed Hyperlink" xfId="9609" builtinId="9" hidden="1"/>
    <cellStyle name="Followed Hyperlink" xfId="9611" builtinId="9" hidden="1"/>
    <cellStyle name="Followed Hyperlink" xfId="9613" builtinId="9" hidden="1"/>
    <cellStyle name="Followed Hyperlink" xfId="9615" builtinId="9" hidden="1"/>
    <cellStyle name="Followed Hyperlink" xfId="9617" builtinId="9" hidden="1"/>
    <cellStyle name="Followed Hyperlink" xfId="9619" builtinId="9" hidden="1"/>
    <cellStyle name="Followed Hyperlink" xfId="9621" builtinId="9" hidden="1"/>
    <cellStyle name="Followed Hyperlink" xfId="9623" builtinId="9" hidden="1"/>
    <cellStyle name="Followed Hyperlink" xfId="9625" builtinId="9" hidden="1"/>
    <cellStyle name="Followed Hyperlink" xfId="9627" builtinId="9" hidden="1"/>
    <cellStyle name="Followed Hyperlink" xfId="9629" builtinId="9" hidden="1"/>
    <cellStyle name="Followed Hyperlink" xfId="9631" builtinId="9" hidden="1"/>
    <cellStyle name="Followed Hyperlink" xfId="9633" builtinId="9" hidden="1"/>
    <cellStyle name="Followed Hyperlink" xfId="9635" builtinId="9" hidden="1"/>
    <cellStyle name="Followed Hyperlink" xfId="9637" builtinId="9" hidden="1"/>
    <cellStyle name="Followed Hyperlink" xfId="9639" builtinId="9" hidden="1"/>
    <cellStyle name="Followed Hyperlink" xfId="9641" builtinId="9" hidden="1"/>
    <cellStyle name="Followed Hyperlink" xfId="9643" builtinId="9" hidden="1"/>
    <cellStyle name="Followed Hyperlink" xfId="9645" builtinId="9" hidden="1"/>
    <cellStyle name="Followed Hyperlink" xfId="9647" builtinId="9" hidden="1"/>
    <cellStyle name="Followed Hyperlink" xfId="9649" builtinId="9" hidden="1"/>
    <cellStyle name="Followed Hyperlink" xfId="9651" builtinId="9" hidden="1"/>
    <cellStyle name="Followed Hyperlink" xfId="9653" builtinId="9" hidden="1"/>
    <cellStyle name="Followed Hyperlink" xfId="9655" builtinId="9" hidden="1"/>
    <cellStyle name="Followed Hyperlink" xfId="9657" builtinId="9" hidden="1"/>
    <cellStyle name="Followed Hyperlink" xfId="9659" builtinId="9" hidden="1"/>
    <cellStyle name="Followed Hyperlink" xfId="9661" builtinId="9" hidden="1"/>
    <cellStyle name="Followed Hyperlink" xfId="9663" builtinId="9" hidden="1"/>
    <cellStyle name="Followed Hyperlink" xfId="9665" builtinId="9" hidden="1"/>
    <cellStyle name="Followed Hyperlink" xfId="9667" builtinId="9" hidden="1"/>
    <cellStyle name="Followed Hyperlink" xfId="9669" builtinId="9" hidden="1"/>
    <cellStyle name="Followed Hyperlink" xfId="9671" builtinId="9" hidden="1"/>
    <cellStyle name="Followed Hyperlink" xfId="9673" builtinId="9" hidden="1"/>
    <cellStyle name="Followed Hyperlink" xfId="9675" builtinId="9" hidden="1"/>
    <cellStyle name="Followed Hyperlink" xfId="9677" builtinId="9" hidden="1"/>
    <cellStyle name="Followed Hyperlink" xfId="9679" builtinId="9" hidden="1"/>
    <cellStyle name="Followed Hyperlink" xfId="9681" builtinId="9" hidden="1"/>
    <cellStyle name="Followed Hyperlink" xfId="9683" builtinId="9" hidden="1"/>
    <cellStyle name="Followed Hyperlink" xfId="9685" builtinId="9" hidden="1"/>
    <cellStyle name="Followed Hyperlink" xfId="9687" builtinId="9" hidden="1"/>
    <cellStyle name="Followed Hyperlink" xfId="9689" builtinId="9" hidden="1"/>
    <cellStyle name="Followed Hyperlink" xfId="9691" builtinId="9" hidden="1"/>
    <cellStyle name="Followed Hyperlink" xfId="9693" builtinId="9" hidden="1"/>
    <cellStyle name="Followed Hyperlink" xfId="9695" builtinId="9" hidden="1"/>
    <cellStyle name="Followed Hyperlink" xfId="9697" builtinId="9" hidden="1"/>
    <cellStyle name="Followed Hyperlink" xfId="9699" builtinId="9" hidden="1"/>
    <cellStyle name="Followed Hyperlink" xfId="9701" builtinId="9" hidden="1"/>
    <cellStyle name="Followed Hyperlink" xfId="9703" builtinId="9" hidden="1"/>
    <cellStyle name="Followed Hyperlink" xfId="9705" builtinId="9" hidden="1"/>
    <cellStyle name="Followed Hyperlink" xfId="9707" builtinId="9" hidden="1"/>
    <cellStyle name="Followed Hyperlink" xfId="9709" builtinId="9" hidden="1"/>
    <cellStyle name="Followed Hyperlink" xfId="9711" builtinId="9" hidden="1"/>
    <cellStyle name="Followed Hyperlink" xfId="9713" builtinId="9" hidden="1"/>
    <cellStyle name="Followed Hyperlink" xfId="9715" builtinId="9" hidden="1"/>
    <cellStyle name="Followed Hyperlink" xfId="9717" builtinId="9" hidden="1"/>
    <cellStyle name="Followed Hyperlink" xfId="9719" builtinId="9" hidden="1"/>
    <cellStyle name="Followed Hyperlink" xfId="9721" builtinId="9" hidden="1"/>
    <cellStyle name="Followed Hyperlink" xfId="9723" builtinId="9" hidden="1"/>
    <cellStyle name="Followed Hyperlink" xfId="9725" builtinId="9" hidden="1"/>
    <cellStyle name="Followed Hyperlink" xfId="9727" builtinId="9" hidden="1"/>
    <cellStyle name="Followed Hyperlink" xfId="9729" builtinId="9" hidden="1"/>
    <cellStyle name="Followed Hyperlink" xfId="9731" builtinId="9" hidden="1"/>
    <cellStyle name="Followed Hyperlink" xfId="9733" builtinId="9" hidden="1"/>
    <cellStyle name="Followed Hyperlink" xfId="9735" builtinId="9" hidden="1"/>
    <cellStyle name="Followed Hyperlink" xfId="9737" builtinId="9" hidden="1"/>
    <cellStyle name="Followed Hyperlink" xfId="9739" builtinId="9" hidden="1"/>
    <cellStyle name="Followed Hyperlink" xfId="9741" builtinId="9" hidden="1"/>
    <cellStyle name="Followed Hyperlink" xfId="9743" builtinId="9" hidden="1"/>
    <cellStyle name="Followed Hyperlink" xfId="9745" builtinId="9" hidden="1"/>
    <cellStyle name="Followed Hyperlink" xfId="9747" builtinId="9" hidden="1"/>
    <cellStyle name="Followed Hyperlink" xfId="9749" builtinId="9" hidden="1"/>
    <cellStyle name="Followed Hyperlink" xfId="9751" builtinId="9" hidden="1"/>
    <cellStyle name="Followed Hyperlink" xfId="9753" builtinId="9" hidden="1"/>
    <cellStyle name="Followed Hyperlink" xfId="9755" builtinId="9" hidden="1"/>
    <cellStyle name="Followed Hyperlink" xfId="9757" builtinId="9" hidden="1"/>
    <cellStyle name="Followed Hyperlink" xfId="9759" builtinId="9" hidden="1"/>
    <cellStyle name="Followed Hyperlink" xfId="9761" builtinId="9" hidden="1"/>
    <cellStyle name="Followed Hyperlink" xfId="9763" builtinId="9" hidden="1"/>
    <cellStyle name="Followed Hyperlink" xfId="9765" builtinId="9" hidden="1"/>
    <cellStyle name="Followed Hyperlink" xfId="9767" builtinId="9" hidden="1"/>
    <cellStyle name="Followed Hyperlink" xfId="9769" builtinId="9" hidden="1"/>
    <cellStyle name="Followed Hyperlink" xfId="9771" builtinId="9" hidden="1"/>
    <cellStyle name="Followed Hyperlink" xfId="9773" builtinId="9" hidden="1"/>
    <cellStyle name="Followed Hyperlink" xfId="9775" builtinId="9" hidden="1"/>
    <cellStyle name="Followed Hyperlink" xfId="9777" builtinId="9" hidden="1"/>
    <cellStyle name="Followed Hyperlink" xfId="9779" builtinId="9" hidden="1"/>
    <cellStyle name="Followed Hyperlink" xfId="9781" builtinId="9" hidden="1"/>
    <cellStyle name="Followed Hyperlink" xfId="9783" builtinId="9" hidden="1"/>
    <cellStyle name="Followed Hyperlink" xfId="9785" builtinId="9" hidden="1"/>
    <cellStyle name="Followed Hyperlink" xfId="9787" builtinId="9" hidden="1"/>
    <cellStyle name="Followed Hyperlink" xfId="9789" builtinId="9" hidden="1"/>
    <cellStyle name="Followed Hyperlink" xfId="9791" builtinId="9" hidden="1"/>
    <cellStyle name="Followed Hyperlink" xfId="9793" builtinId="9" hidden="1"/>
    <cellStyle name="Followed Hyperlink" xfId="9795" builtinId="9" hidden="1"/>
    <cellStyle name="Followed Hyperlink" xfId="9797" builtinId="9" hidden="1"/>
    <cellStyle name="Followed Hyperlink" xfId="9799" builtinId="9" hidden="1"/>
    <cellStyle name="Followed Hyperlink" xfId="9801" builtinId="9" hidden="1"/>
    <cellStyle name="Followed Hyperlink" xfId="9803" builtinId="9" hidden="1"/>
    <cellStyle name="Followed Hyperlink" xfId="9805" builtinId="9" hidden="1"/>
    <cellStyle name="Followed Hyperlink" xfId="9807" builtinId="9" hidden="1"/>
    <cellStyle name="Followed Hyperlink" xfId="9809" builtinId="9" hidden="1"/>
    <cellStyle name="Followed Hyperlink" xfId="9811" builtinId="9" hidden="1"/>
    <cellStyle name="Followed Hyperlink" xfId="9813" builtinId="9" hidden="1"/>
    <cellStyle name="Followed Hyperlink" xfId="9815" builtinId="9" hidden="1"/>
    <cellStyle name="Followed Hyperlink" xfId="9817" builtinId="9" hidden="1"/>
    <cellStyle name="Followed Hyperlink" xfId="9819" builtinId="9" hidden="1"/>
    <cellStyle name="Followed Hyperlink" xfId="9821" builtinId="9" hidden="1"/>
    <cellStyle name="Followed Hyperlink" xfId="9823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37" builtinId="9" hidden="1"/>
    <cellStyle name="Followed Hyperlink" xfId="9839" builtinId="9" hidden="1"/>
    <cellStyle name="Followed Hyperlink" xfId="9841" builtinId="9" hidden="1"/>
    <cellStyle name="Followed Hyperlink" xfId="9843" builtinId="9" hidden="1"/>
    <cellStyle name="Followed Hyperlink" xfId="9845" builtinId="9" hidden="1"/>
    <cellStyle name="Followed Hyperlink" xfId="9847" builtinId="9" hidden="1"/>
    <cellStyle name="Followed Hyperlink" xfId="9849" builtinId="9" hidden="1"/>
    <cellStyle name="Followed Hyperlink" xfId="9851" builtinId="9" hidden="1"/>
    <cellStyle name="Followed Hyperlink" xfId="9853" builtinId="9" hidden="1"/>
    <cellStyle name="Followed Hyperlink" xfId="9855" builtinId="9" hidden="1"/>
    <cellStyle name="Followed Hyperlink" xfId="9857" builtinId="9" hidden="1"/>
    <cellStyle name="Followed Hyperlink" xfId="9859" builtinId="9" hidden="1"/>
    <cellStyle name="Followed Hyperlink" xfId="9861" builtinId="9" hidden="1"/>
    <cellStyle name="Followed Hyperlink" xfId="9863" builtinId="9" hidden="1"/>
    <cellStyle name="Followed Hyperlink" xfId="9865" builtinId="9" hidden="1"/>
    <cellStyle name="Followed Hyperlink" xfId="9867" builtinId="9" hidden="1"/>
    <cellStyle name="Followed Hyperlink" xfId="9869" builtinId="9" hidden="1"/>
    <cellStyle name="Followed Hyperlink" xfId="9871" builtinId="9" hidden="1"/>
    <cellStyle name="Followed Hyperlink" xfId="9873" builtinId="9" hidden="1"/>
    <cellStyle name="Followed Hyperlink" xfId="9875" builtinId="9" hidden="1"/>
    <cellStyle name="Followed Hyperlink" xfId="9877" builtinId="9" hidden="1"/>
    <cellStyle name="Followed Hyperlink" xfId="9879" builtinId="9" hidden="1"/>
    <cellStyle name="Followed Hyperlink" xfId="9881" builtinId="9" hidden="1"/>
    <cellStyle name="Followed Hyperlink" xfId="9883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989" builtinId="9" hidden="1"/>
    <cellStyle name="Followed Hyperlink" xfId="9991" builtinId="9" hidden="1"/>
    <cellStyle name="Followed Hyperlink" xfId="9993" builtinId="9" hidden="1"/>
    <cellStyle name="Followed Hyperlink" xfId="9995" builtinId="9" hidden="1"/>
    <cellStyle name="Followed Hyperlink" xfId="9997" builtinId="9" hidden="1"/>
    <cellStyle name="Followed Hyperlink" xfId="9999" builtinId="9" hidden="1"/>
    <cellStyle name="Followed Hyperlink" xfId="10001" builtinId="9" hidden="1"/>
    <cellStyle name="Followed Hyperlink" xfId="10003" builtinId="9" hidden="1"/>
    <cellStyle name="Followed Hyperlink" xfId="10005" builtinId="9" hidden="1"/>
    <cellStyle name="Followed Hyperlink" xfId="10007" builtinId="9" hidden="1"/>
    <cellStyle name="Followed Hyperlink" xfId="10009" builtinId="9" hidden="1"/>
    <cellStyle name="Followed Hyperlink" xfId="10011" builtinId="9" hidden="1"/>
    <cellStyle name="Followed Hyperlink" xfId="10013" builtinId="9" hidden="1"/>
    <cellStyle name="Followed Hyperlink" xfId="10015" builtinId="9" hidden="1"/>
    <cellStyle name="Followed Hyperlink" xfId="10017" builtinId="9" hidden="1"/>
    <cellStyle name="Followed Hyperlink" xfId="10019" builtinId="9" hidden="1"/>
    <cellStyle name="Followed Hyperlink" xfId="10021" builtinId="9" hidden="1"/>
    <cellStyle name="Followed Hyperlink" xfId="10023" builtinId="9" hidden="1"/>
    <cellStyle name="Followed Hyperlink" xfId="10025" builtinId="9" hidden="1"/>
    <cellStyle name="Followed Hyperlink" xfId="10027" builtinId="9" hidden="1"/>
    <cellStyle name="Followed Hyperlink" xfId="10029" builtinId="9" hidden="1"/>
    <cellStyle name="Followed Hyperlink" xfId="10031" builtinId="9" hidden="1"/>
    <cellStyle name="Followed Hyperlink" xfId="10033" builtinId="9" hidden="1"/>
    <cellStyle name="Followed Hyperlink" xfId="10035" builtinId="9" hidden="1"/>
    <cellStyle name="Followed Hyperlink" xfId="10037" builtinId="9" hidden="1"/>
    <cellStyle name="Followed Hyperlink" xfId="10039" builtinId="9" hidden="1"/>
    <cellStyle name="Followed Hyperlink" xfId="10041" builtinId="9" hidden="1"/>
    <cellStyle name="Followed Hyperlink" xfId="10043" builtinId="9" hidden="1"/>
    <cellStyle name="Followed Hyperlink" xfId="10045" builtinId="9" hidden="1"/>
    <cellStyle name="Followed Hyperlink" xfId="10047" builtinId="9" hidden="1"/>
    <cellStyle name="Followed Hyperlink" xfId="10049" builtinId="9" hidden="1"/>
    <cellStyle name="Followed Hyperlink" xfId="10051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10157" builtinId="9" hidden="1"/>
    <cellStyle name="Followed Hyperlink" xfId="10159" builtinId="9" hidden="1"/>
    <cellStyle name="Followed Hyperlink" xfId="10161" builtinId="9" hidden="1"/>
    <cellStyle name="Followed Hyperlink" xfId="10163" builtinId="9" hidden="1"/>
    <cellStyle name="Followed Hyperlink" xfId="10165" builtinId="9" hidden="1"/>
    <cellStyle name="Followed Hyperlink" xfId="10167" builtinId="9" hidden="1"/>
    <cellStyle name="Followed Hyperlink" xfId="10169" builtinId="9" hidden="1"/>
    <cellStyle name="Followed Hyperlink" xfId="10171" builtinId="9" hidden="1"/>
    <cellStyle name="Followed Hyperlink" xfId="10173" builtinId="9" hidden="1"/>
    <cellStyle name="Followed Hyperlink" xfId="10175" builtinId="9" hidden="1"/>
    <cellStyle name="Followed Hyperlink" xfId="10177" builtinId="9" hidden="1"/>
    <cellStyle name="Followed Hyperlink" xfId="10179" builtinId="9" hidden="1"/>
    <cellStyle name="Followed Hyperlink" xfId="10181" builtinId="9" hidden="1"/>
    <cellStyle name="Followed Hyperlink" xfId="10183" builtinId="9" hidden="1"/>
    <cellStyle name="Followed Hyperlink" xfId="10185" builtinId="9" hidden="1"/>
    <cellStyle name="Followed Hyperlink" xfId="10187" builtinId="9" hidden="1"/>
    <cellStyle name="Followed Hyperlink" xfId="10189" builtinId="9" hidden="1"/>
    <cellStyle name="Followed Hyperlink" xfId="10191" builtinId="9" hidden="1"/>
    <cellStyle name="Followed Hyperlink" xfId="10193" builtinId="9" hidden="1"/>
    <cellStyle name="Followed Hyperlink" xfId="10195" builtinId="9" hidden="1"/>
    <cellStyle name="Followed Hyperlink" xfId="10197" builtinId="9" hidden="1"/>
    <cellStyle name="Followed Hyperlink" xfId="10199" builtinId="9" hidden="1"/>
    <cellStyle name="Followed Hyperlink" xfId="10201" builtinId="9" hidden="1"/>
    <cellStyle name="Followed Hyperlink" xfId="10203" builtinId="9" hidden="1"/>
    <cellStyle name="Followed Hyperlink" xfId="10205" builtinId="9" hidden="1"/>
    <cellStyle name="Followed Hyperlink" xfId="10207" builtinId="9" hidden="1"/>
    <cellStyle name="Followed Hyperlink" xfId="10209" builtinId="9" hidden="1"/>
    <cellStyle name="Followed Hyperlink" xfId="10211" builtinId="9" hidden="1"/>
    <cellStyle name="Followed Hyperlink" xfId="10213" builtinId="9" hidden="1"/>
    <cellStyle name="Followed Hyperlink" xfId="10215" builtinId="9" hidden="1"/>
    <cellStyle name="Followed Hyperlink" xfId="10217" builtinId="9" hidden="1"/>
    <cellStyle name="Followed Hyperlink" xfId="10219" builtinId="9" hidden="1"/>
    <cellStyle name="Followed Hyperlink" xfId="10221" builtinId="9" hidden="1"/>
    <cellStyle name="Followed Hyperlink" xfId="10223" builtinId="9" hidden="1"/>
    <cellStyle name="Followed Hyperlink" xfId="10225" builtinId="9" hidden="1"/>
    <cellStyle name="Followed Hyperlink" xfId="10227" builtinId="9" hidden="1"/>
    <cellStyle name="Followed Hyperlink" xfId="10229" builtinId="9" hidden="1"/>
    <cellStyle name="Followed Hyperlink" xfId="10231" builtinId="9" hidden="1"/>
    <cellStyle name="Followed Hyperlink" xfId="10233" builtinId="9" hidden="1"/>
    <cellStyle name="Followed Hyperlink" xfId="10235" builtinId="9" hidden="1"/>
    <cellStyle name="Followed Hyperlink" xfId="10237" builtinId="9" hidden="1"/>
    <cellStyle name="Followed Hyperlink" xfId="10239" builtinId="9" hidden="1"/>
    <cellStyle name="Followed Hyperlink" xfId="10241" builtinId="9" hidden="1"/>
    <cellStyle name="Followed Hyperlink" xfId="10243" builtinId="9" hidden="1"/>
    <cellStyle name="Followed Hyperlink" xfId="10245" builtinId="9" hidden="1"/>
    <cellStyle name="Followed Hyperlink" xfId="10247" builtinId="9" hidden="1"/>
    <cellStyle name="Followed Hyperlink" xfId="10249" builtinId="9" hidden="1"/>
    <cellStyle name="Followed Hyperlink" xfId="10251" builtinId="9" hidden="1"/>
    <cellStyle name="Followed Hyperlink" xfId="10253" builtinId="9" hidden="1"/>
    <cellStyle name="Followed Hyperlink" xfId="10255" builtinId="9" hidden="1"/>
    <cellStyle name="Followed Hyperlink" xfId="10257" builtinId="9" hidden="1"/>
    <cellStyle name="Followed Hyperlink" xfId="10259" builtinId="9" hidden="1"/>
    <cellStyle name="Followed Hyperlink" xfId="10261" builtinId="9" hidden="1"/>
    <cellStyle name="Followed Hyperlink" xfId="10263" builtinId="9" hidden="1"/>
    <cellStyle name="Followed Hyperlink" xfId="10265" builtinId="9" hidden="1"/>
    <cellStyle name="Followed Hyperlink" xfId="10267" builtinId="9" hidden="1"/>
    <cellStyle name="Followed Hyperlink" xfId="10269" builtinId="9" hidden="1"/>
    <cellStyle name="Followed Hyperlink" xfId="10271" builtinId="9" hidden="1"/>
    <cellStyle name="Followed Hyperlink" xfId="10273" builtinId="9" hidden="1"/>
    <cellStyle name="Followed Hyperlink" xfId="10275" builtinId="9" hidden="1"/>
    <cellStyle name="Followed Hyperlink" xfId="10277" builtinId="9" hidden="1"/>
    <cellStyle name="Followed Hyperlink" xfId="10279" builtinId="9" hidden="1"/>
    <cellStyle name="Followed Hyperlink" xfId="10281" builtinId="9" hidden="1"/>
    <cellStyle name="Followed Hyperlink" xfId="10283" builtinId="9" hidden="1"/>
    <cellStyle name="Followed Hyperlink" xfId="10285" builtinId="9" hidden="1"/>
    <cellStyle name="Followed Hyperlink" xfId="10287" builtinId="9" hidden="1"/>
    <cellStyle name="Followed Hyperlink" xfId="10289" builtinId="9" hidden="1"/>
    <cellStyle name="Followed Hyperlink" xfId="10291" builtinId="9" hidden="1"/>
    <cellStyle name="Followed Hyperlink" xfId="10293" builtinId="9" hidden="1"/>
    <cellStyle name="Followed Hyperlink" xfId="10295" builtinId="9" hidden="1"/>
    <cellStyle name="Followed Hyperlink" xfId="10297" builtinId="9" hidden="1"/>
    <cellStyle name="Followed Hyperlink" xfId="10299" builtinId="9" hidden="1"/>
    <cellStyle name="Followed Hyperlink" xfId="10301" builtinId="9" hidden="1"/>
    <cellStyle name="Followed Hyperlink" xfId="10303" builtinId="9" hidden="1"/>
    <cellStyle name="Followed Hyperlink" xfId="10305" builtinId="9" hidden="1"/>
    <cellStyle name="Followed Hyperlink" xfId="10307" builtinId="9" hidden="1"/>
    <cellStyle name="Followed Hyperlink" xfId="10309" builtinId="9" hidden="1"/>
    <cellStyle name="Followed Hyperlink" xfId="10311" builtinId="9" hidden="1"/>
    <cellStyle name="Followed Hyperlink" xfId="10313" builtinId="9" hidden="1"/>
    <cellStyle name="Followed Hyperlink" xfId="10315" builtinId="9" hidden="1"/>
    <cellStyle name="Followed Hyperlink" xfId="10317" builtinId="9" hidden="1"/>
    <cellStyle name="Followed Hyperlink" xfId="10319" builtinId="9" hidden="1"/>
    <cellStyle name="Followed Hyperlink" xfId="10321" builtinId="9" hidden="1"/>
    <cellStyle name="Followed Hyperlink" xfId="10323" builtinId="9" hidden="1"/>
    <cellStyle name="Followed Hyperlink" xfId="10325" builtinId="9" hidden="1"/>
    <cellStyle name="Followed Hyperlink" xfId="10327" builtinId="9" hidden="1"/>
    <cellStyle name="Followed Hyperlink" xfId="10329" builtinId="9" hidden="1"/>
    <cellStyle name="Followed Hyperlink" xfId="10331" builtinId="9" hidden="1"/>
    <cellStyle name="Followed Hyperlink" xfId="10333" builtinId="9" hidden="1"/>
    <cellStyle name="Followed Hyperlink" xfId="10335" builtinId="9" hidden="1"/>
    <cellStyle name="Followed Hyperlink" xfId="10337" builtinId="9" hidden="1"/>
    <cellStyle name="Followed Hyperlink" xfId="10339" builtinId="9" hidden="1"/>
    <cellStyle name="Followed Hyperlink" xfId="10341" builtinId="9" hidden="1"/>
    <cellStyle name="Followed Hyperlink" xfId="10343" builtinId="9" hidden="1"/>
    <cellStyle name="Followed Hyperlink" xfId="10345" builtinId="9" hidden="1"/>
    <cellStyle name="Followed Hyperlink" xfId="10347" builtinId="9" hidden="1"/>
    <cellStyle name="Followed Hyperlink" xfId="10349" builtinId="9" hidden="1"/>
    <cellStyle name="Followed Hyperlink" xfId="10351" builtinId="9" hidden="1"/>
    <cellStyle name="Followed Hyperlink" xfId="10353" builtinId="9" hidden="1"/>
    <cellStyle name="Followed Hyperlink" xfId="10355" builtinId="9" hidden="1"/>
    <cellStyle name="Followed Hyperlink" xfId="10357" builtinId="9" hidden="1"/>
    <cellStyle name="Followed Hyperlink" xfId="10359" builtinId="9" hidden="1"/>
    <cellStyle name="Followed Hyperlink" xfId="10361" builtinId="9" hidden="1"/>
    <cellStyle name="Followed Hyperlink" xfId="10363" builtinId="9" hidden="1"/>
    <cellStyle name="Followed Hyperlink" xfId="10365" builtinId="9" hidden="1"/>
    <cellStyle name="Followed Hyperlink" xfId="10367" builtinId="9" hidden="1"/>
    <cellStyle name="Followed Hyperlink" xfId="10369" builtinId="9" hidden="1"/>
    <cellStyle name="Followed Hyperlink" xfId="10371" builtinId="9" hidden="1"/>
    <cellStyle name="Followed Hyperlink" xfId="10373" builtinId="9" hidden="1"/>
    <cellStyle name="Followed Hyperlink" xfId="10375" builtinId="9" hidden="1"/>
    <cellStyle name="Followed Hyperlink" xfId="10377" builtinId="9" hidden="1"/>
    <cellStyle name="Followed Hyperlink" xfId="10379" builtinId="9" hidden="1"/>
    <cellStyle name="Followed Hyperlink" xfId="10381" builtinId="9" hidden="1"/>
    <cellStyle name="Followed Hyperlink" xfId="10383" builtinId="9" hidden="1"/>
    <cellStyle name="Followed Hyperlink" xfId="10385" builtinId="9" hidden="1"/>
    <cellStyle name="Followed Hyperlink" xfId="10387" builtinId="9" hidden="1"/>
    <cellStyle name="Followed Hyperlink" xfId="10389" builtinId="9" hidden="1"/>
    <cellStyle name="Followed Hyperlink" xfId="10391" builtinId="9" hidden="1"/>
    <cellStyle name="Followed Hyperlink" xfId="10393" builtinId="9" hidden="1"/>
    <cellStyle name="Followed Hyperlink" xfId="10395" builtinId="9" hidden="1"/>
    <cellStyle name="Followed Hyperlink" xfId="10397" builtinId="9" hidden="1"/>
    <cellStyle name="Followed Hyperlink" xfId="10399" builtinId="9" hidden="1"/>
    <cellStyle name="Followed Hyperlink" xfId="10401" builtinId="9" hidden="1"/>
    <cellStyle name="Followed Hyperlink" xfId="10403" builtinId="9" hidden="1"/>
    <cellStyle name="Followed Hyperlink" xfId="10405" builtinId="9" hidden="1"/>
    <cellStyle name="Followed Hyperlink" xfId="10407" builtinId="9" hidden="1"/>
    <cellStyle name="Followed Hyperlink" xfId="10409" builtinId="9" hidden="1"/>
    <cellStyle name="Followed Hyperlink" xfId="10411" builtinId="9" hidden="1"/>
    <cellStyle name="Followed Hyperlink" xfId="10413" builtinId="9" hidden="1"/>
    <cellStyle name="Followed Hyperlink" xfId="10415" builtinId="9" hidden="1"/>
    <cellStyle name="Followed Hyperlink" xfId="10417" builtinId="9" hidden="1"/>
    <cellStyle name="Followed Hyperlink" xfId="10419" builtinId="9" hidden="1"/>
    <cellStyle name="Followed Hyperlink" xfId="10421" builtinId="9" hidden="1"/>
    <cellStyle name="Followed Hyperlink" xfId="10423" builtinId="9" hidden="1"/>
    <cellStyle name="Followed Hyperlink" xfId="10425" builtinId="9" hidden="1"/>
    <cellStyle name="Followed Hyperlink" xfId="10427" builtinId="9" hidden="1"/>
    <cellStyle name="Followed Hyperlink" xfId="10429" builtinId="9" hidden="1"/>
    <cellStyle name="Followed Hyperlink" xfId="10431" builtinId="9" hidden="1"/>
    <cellStyle name="Followed Hyperlink" xfId="10433" builtinId="9" hidden="1"/>
    <cellStyle name="Followed Hyperlink" xfId="10435" builtinId="9" hidden="1"/>
    <cellStyle name="Followed Hyperlink" xfId="10437" builtinId="9" hidden="1"/>
    <cellStyle name="Followed Hyperlink" xfId="10439" builtinId="9" hidden="1"/>
    <cellStyle name="Followed Hyperlink" xfId="10441" builtinId="9" hidden="1"/>
    <cellStyle name="Followed Hyperlink" xfId="10443" builtinId="9" hidden="1"/>
    <cellStyle name="Followed Hyperlink" xfId="10445" builtinId="9" hidden="1"/>
    <cellStyle name="Followed Hyperlink" xfId="10447" builtinId="9" hidden="1"/>
    <cellStyle name="Followed Hyperlink" xfId="10449" builtinId="9" hidden="1"/>
    <cellStyle name="Followed Hyperlink" xfId="10451" builtinId="9" hidden="1"/>
    <cellStyle name="Followed Hyperlink" xfId="10453" builtinId="9" hidden="1"/>
    <cellStyle name="Followed Hyperlink" xfId="10455" builtinId="9" hidden="1"/>
    <cellStyle name="Followed Hyperlink" xfId="10457" builtinId="9" hidden="1"/>
    <cellStyle name="Followed Hyperlink" xfId="10459" builtinId="9" hidden="1"/>
    <cellStyle name="Followed Hyperlink" xfId="10461" builtinId="9" hidden="1"/>
    <cellStyle name="Followed Hyperlink" xfId="10463" builtinId="9" hidden="1"/>
    <cellStyle name="Followed Hyperlink" xfId="10465" builtinId="9" hidden="1"/>
    <cellStyle name="Followed Hyperlink" xfId="10467" builtinId="9" hidden="1"/>
    <cellStyle name="Followed Hyperlink" xfId="10469" builtinId="9" hidden="1"/>
    <cellStyle name="Followed Hyperlink" xfId="10471" builtinId="9" hidden="1"/>
    <cellStyle name="Followed Hyperlink" xfId="10473" builtinId="9" hidden="1"/>
    <cellStyle name="Followed Hyperlink" xfId="10475" builtinId="9" hidden="1"/>
    <cellStyle name="Followed Hyperlink" xfId="10477" builtinId="9" hidden="1"/>
    <cellStyle name="Followed Hyperlink" xfId="10479" builtinId="9" hidden="1"/>
    <cellStyle name="Followed Hyperlink" xfId="10481" builtinId="9" hidden="1"/>
    <cellStyle name="Followed Hyperlink" xfId="10483" builtinId="9" hidden="1"/>
    <cellStyle name="Followed Hyperlink" xfId="10485" builtinId="9" hidden="1"/>
    <cellStyle name="Followed Hyperlink" xfId="10487" builtinId="9" hidden="1"/>
    <cellStyle name="Followed Hyperlink" xfId="10489" builtinId="9" hidden="1"/>
    <cellStyle name="Followed Hyperlink" xfId="10491" builtinId="9" hidden="1"/>
    <cellStyle name="Followed Hyperlink" xfId="10493" builtinId="9" hidden="1"/>
    <cellStyle name="Followed Hyperlink" xfId="10495" builtinId="9" hidden="1"/>
    <cellStyle name="Followed Hyperlink" xfId="10497" builtinId="9" hidden="1"/>
    <cellStyle name="Followed Hyperlink" xfId="10499" builtinId="9" hidden="1"/>
    <cellStyle name="Followed Hyperlink" xfId="10501" builtinId="9" hidden="1"/>
    <cellStyle name="Followed Hyperlink" xfId="10503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17" builtinId="9" hidden="1"/>
    <cellStyle name="Followed Hyperlink" xfId="10519" builtinId="9" hidden="1"/>
    <cellStyle name="Followed Hyperlink" xfId="10521" builtinId="9" hidden="1"/>
    <cellStyle name="Followed Hyperlink" xfId="10523" builtinId="9" hidden="1"/>
    <cellStyle name="Followed Hyperlink" xfId="10525" builtinId="9" hidden="1"/>
    <cellStyle name="Followed Hyperlink" xfId="10527" builtinId="9" hidden="1"/>
    <cellStyle name="Followed Hyperlink" xfId="10529" builtinId="9" hidden="1"/>
    <cellStyle name="Followed Hyperlink" xfId="10531" builtinId="9" hidden="1"/>
    <cellStyle name="Followed Hyperlink" xfId="10533" builtinId="9" hidden="1"/>
    <cellStyle name="Followed Hyperlink" xfId="10535" builtinId="9" hidden="1"/>
    <cellStyle name="Followed Hyperlink" xfId="10537" builtinId="9" hidden="1"/>
    <cellStyle name="Followed Hyperlink" xfId="10539" builtinId="9" hidden="1"/>
    <cellStyle name="Followed Hyperlink" xfId="10541" builtinId="9" hidden="1"/>
    <cellStyle name="Followed Hyperlink" xfId="10543" builtinId="9" hidden="1"/>
    <cellStyle name="Followed Hyperlink" xfId="10545" builtinId="9" hidden="1"/>
    <cellStyle name="Followed Hyperlink" xfId="10547" builtinId="9" hidden="1"/>
    <cellStyle name="Followed Hyperlink" xfId="10549" builtinId="9" hidden="1"/>
    <cellStyle name="Followed Hyperlink" xfId="10551" builtinId="9" hidden="1"/>
    <cellStyle name="Followed Hyperlink" xfId="10553" builtinId="9" hidden="1"/>
    <cellStyle name="Followed Hyperlink" xfId="10555" builtinId="9" hidden="1"/>
    <cellStyle name="Followed Hyperlink" xfId="10557" builtinId="9" hidden="1"/>
    <cellStyle name="Followed Hyperlink" xfId="10559" builtinId="9" hidden="1"/>
    <cellStyle name="Followed Hyperlink" xfId="10561" builtinId="9" hidden="1"/>
    <cellStyle name="Followed Hyperlink" xfId="10563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10669" builtinId="9" hidden="1"/>
    <cellStyle name="Followed Hyperlink" xfId="10671" builtinId="9" hidden="1"/>
    <cellStyle name="Followed Hyperlink" xfId="10673" builtinId="9" hidden="1"/>
    <cellStyle name="Followed Hyperlink" xfId="10675" builtinId="9" hidden="1"/>
    <cellStyle name="Followed Hyperlink" xfId="10677" builtinId="9" hidden="1"/>
    <cellStyle name="Followed Hyperlink" xfId="10679" builtinId="9" hidden="1"/>
    <cellStyle name="Followed Hyperlink" xfId="10681" builtinId="9" hidden="1"/>
    <cellStyle name="Followed Hyperlink" xfId="10683" builtinId="9" hidden="1"/>
    <cellStyle name="Followed Hyperlink" xfId="10685" builtinId="9" hidden="1"/>
    <cellStyle name="Followed Hyperlink" xfId="10687" builtinId="9" hidden="1"/>
    <cellStyle name="Followed Hyperlink" xfId="10689" builtinId="9" hidden="1"/>
    <cellStyle name="Followed Hyperlink" xfId="10691" builtinId="9" hidden="1"/>
    <cellStyle name="Followed Hyperlink" xfId="10693" builtinId="9" hidden="1"/>
    <cellStyle name="Followed Hyperlink" xfId="10695" builtinId="9" hidden="1"/>
    <cellStyle name="Followed Hyperlink" xfId="10697" builtinId="9" hidden="1"/>
    <cellStyle name="Followed Hyperlink" xfId="10699" builtinId="9" hidden="1"/>
    <cellStyle name="Followed Hyperlink" xfId="10701" builtinId="9" hidden="1"/>
    <cellStyle name="Followed Hyperlink" xfId="10703" builtinId="9" hidden="1"/>
    <cellStyle name="Followed Hyperlink" xfId="10705" builtinId="9" hidden="1"/>
    <cellStyle name="Followed Hyperlink" xfId="10707" builtinId="9" hidden="1"/>
    <cellStyle name="Followed Hyperlink" xfId="10709" builtinId="9" hidden="1"/>
    <cellStyle name="Followed Hyperlink" xfId="10711" builtinId="9" hidden="1"/>
    <cellStyle name="Followed Hyperlink" xfId="10713" builtinId="9" hidden="1"/>
    <cellStyle name="Followed Hyperlink" xfId="10715" builtinId="9" hidden="1"/>
    <cellStyle name="Followed Hyperlink" xfId="10717" builtinId="9" hidden="1"/>
    <cellStyle name="Followed Hyperlink" xfId="10719" builtinId="9" hidden="1"/>
    <cellStyle name="Followed Hyperlink" xfId="10721" builtinId="9" hidden="1"/>
    <cellStyle name="Followed Hyperlink" xfId="10723" builtinId="9" hidden="1"/>
    <cellStyle name="Followed Hyperlink" xfId="10725" builtinId="9" hidden="1"/>
    <cellStyle name="Followed Hyperlink" xfId="10727" builtinId="9" hidden="1"/>
    <cellStyle name="Followed Hyperlink" xfId="10729" builtinId="9" hidden="1"/>
    <cellStyle name="Followed Hyperlink" xfId="10731" builtinId="9" hidden="1"/>
    <cellStyle name="Followed Hyperlink" xfId="10733" builtinId="9" hidden="1"/>
    <cellStyle name="Followed Hyperlink" xfId="10735" builtinId="9" hidden="1"/>
    <cellStyle name="Followed Hyperlink" xfId="10737" builtinId="9" hidden="1"/>
    <cellStyle name="Followed Hyperlink" xfId="10739" builtinId="9" hidden="1"/>
    <cellStyle name="Followed Hyperlink" xfId="10741" builtinId="9" hidden="1"/>
    <cellStyle name="Followed Hyperlink" xfId="10743" builtinId="9" hidden="1"/>
    <cellStyle name="Followed Hyperlink" xfId="10745" builtinId="9" hidden="1"/>
    <cellStyle name="Followed Hyperlink" xfId="10747" builtinId="9" hidden="1"/>
    <cellStyle name="Followed Hyperlink" xfId="10749" builtinId="9" hidden="1"/>
    <cellStyle name="Followed Hyperlink" xfId="10751" builtinId="9" hidden="1"/>
    <cellStyle name="Followed Hyperlink" xfId="10753" builtinId="9" hidden="1"/>
    <cellStyle name="Followed Hyperlink" xfId="10755" builtinId="9" hidden="1"/>
    <cellStyle name="Followed Hyperlink" xfId="10757" builtinId="9" hidden="1"/>
    <cellStyle name="Followed Hyperlink" xfId="10759" builtinId="9" hidden="1"/>
    <cellStyle name="Followed Hyperlink" xfId="10761" builtinId="9" hidden="1"/>
    <cellStyle name="Followed Hyperlink" xfId="10763" builtinId="9" hidden="1"/>
    <cellStyle name="Followed Hyperlink" xfId="10765" builtinId="9" hidden="1"/>
    <cellStyle name="Followed Hyperlink" xfId="10767" builtinId="9" hidden="1"/>
    <cellStyle name="Followed Hyperlink" xfId="10769" builtinId="9" hidden="1"/>
    <cellStyle name="Followed Hyperlink" xfId="10771" builtinId="9" hidden="1"/>
    <cellStyle name="Followed Hyperlink" xfId="10773" builtinId="9" hidden="1"/>
    <cellStyle name="Followed Hyperlink" xfId="10775" builtinId="9" hidden="1"/>
    <cellStyle name="Followed Hyperlink" xfId="10777" builtinId="9" hidden="1"/>
    <cellStyle name="Followed Hyperlink" xfId="10779" builtinId="9" hidden="1"/>
    <cellStyle name="Followed Hyperlink" xfId="10781" builtinId="9" hidden="1"/>
    <cellStyle name="Followed Hyperlink" xfId="10783" builtinId="9" hidden="1"/>
    <cellStyle name="Followed Hyperlink" xfId="10785" builtinId="9" hidden="1"/>
    <cellStyle name="Followed Hyperlink" xfId="10787" builtinId="9" hidden="1"/>
    <cellStyle name="Followed Hyperlink" xfId="10789" builtinId="9" hidden="1"/>
    <cellStyle name="Followed Hyperlink" xfId="10791" builtinId="9" hidden="1"/>
    <cellStyle name="Followed Hyperlink" xfId="10793" builtinId="9" hidden="1"/>
    <cellStyle name="Followed Hyperlink" xfId="10795" builtinId="9" hidden="1"/>
    <cellStyle name="Followed Hyperlink" xfId="10797" builtinId="9" hidden="1"/>
    <cellStyle name="Followed Hyperlink" xfId="10799" builtinId="9" hidden="1"/>
    <cellStyle name="Followed Hyperlink" xfId="10801" builtinId="9" hidden="1"/>
    <cellStyle name="Followed Hyperlink" xfId="10803" builtinId="9" hidden="1"/>
    <cellStyle name="Followed Hyperlink" xfId="10805" builtinId="9" hidden="1"/>
    <cellStyle name="Followed Hyperlink" xfId="10807" builtinId="9" hidden="1"/>
    <cellStyle name="Followed Hyperlink" xfId="10809" builtinId="9" hidden="1"/>
    <cellStyle name="Followed Hyperlink" xfId="10811" builtinId="9" hidden="1"/>
    <cellStyle name="Followed Hyperlink" xfId="10813" builtinId="9" hidden="1"/>
    <cellStyle name="Followed Hyperlink" xfId="10815" builtinId="9" hidden="1"/>
    <cellStyle name="Followed Hyperlink" xfId="10817" builtinId="9" hidden="1"/>
    <cellStyle name="Followed Hyperlink" xfId="10819" builtinId="9" hidden="1"/>
    <cellStyle name="Followed Hyperlink" xfId="10821" builtinId="9" hidden="1"/>
    <cellStyle name="Followed Hyperlink" xfId="10823" builtinId="9" hidden="1"/>
    <cellStyle name="Followed Hyperlink" xfId="10825" builtinId="9" hidden="1"/>
    <cellStyle name="Followed Hyperlink" xfId="10827" builtinId="9" hidden="1"/>
    <cellStyle name="Followed Hyperlink" xfId="10829" builtinId="9" hidden="1"/>
    <cellStyle name="Followed Hyperlink" xfId="10831" builtinId="9" hidden="1"/>
    <cellStyle name="Followed Hyperlink" xfId="10833" builtinId="9" hidden="1"/>
    <cellStyle name="Followed Hyperlink" xfId="10835" builtinId="9" hidden="1"/>
    <cellStyle name="Followed Hyperlink" xfId="10837" builtinId="9" hidden="1"/>
    <cellStyle name="Followed Hyperlink" xfId="10839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853" builtinId="9" hidden="1"/>
    <cellStyle name="Followed Hyperlink" xfId="10855" builtinId="9" hidden="1"/>
    <cellStyle name="Followed Hyperlink" xfId="10857" builtinId="9" hidden="1"/>
    <cellStyle name="Followed Hyperlink" xfId="10859" builtinId="9" hidden="1"/>
    <cellStyle name="Followed Hyperlink" xfId="10861" builtinId="9" hidden="1"/>
    <cellStyle name="Followed Hyperlink" xfId="10863" builtinId="9" hidden="1"/>
    <cellStyle name="Followed Hyperlink" xfId="10865" builtinId="9" hidden="1"/>
    <cellStyle name="Followed Hyperlink" xfId="10867" builtinId="9" hidden="1"/>
    <cellStyle name="Followed Hyperlink" xfId="10869" builtinId="9" hidden="1"/>
    <cellStyle name="Followed Hyperlink" xfId="10871" builtinId="9" hidden="1"/>
    <cellStyle name="Followed Hyperlink" xfId="10873" builtinId="9" hidden="1"/>
    <cellStyle name="Followed Hyperlink" xfId="10875" builtinId="9" hidden="1"/>
    <cellStyle name="Followed Hyperlink" xfId="10877" builtinId="9" hidden="1"/>
    <cellStyle name="Followed Hyperlink" xfId="10879" builtinId="9" hidden="1"/>
    <cellStyle name="Followed Hyperlink" xfId="10881" builtinId="9" hidden="1"/>
    <cellStyle name="Followed Hyperlink" xfId="10883" builtinId="9" hidden="1"/>
    <cellStyle name="Followed Hyperlink" xfId="10885" builtinId="9" hidden="1"/>
    <cellStyle name="Followed Hyperlink" xfId="10887" builtinId="9" hidden="1"/>
    <cellStyle name="Followed Hyperlink" xfId="10889" builtinId="9" hidden="1"/>
    <cellStyle name="Followed Hyperlink" xfId="10891" builtinId="9" hidden="1"/>
    <cellStyle name="Followed Hyperlink" xfId="10893" builtinId="9" hidden="1"/>
    <cellStyle name="Followed Hyperlink" xfId="10895" builtinId="9" hidden="1"/>
    <cellStyle name="Followed Hyperlink" xfId="10897" builtinId="9" hidden="1"/>
    <cellStyle name="Followed Hyperlink" xfId="10899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11005" builtinId="9" hidden="1"/>
    <cellStyle name="Followed Hyperlink" xfId="11007" builtinId="9" hidden="1"/>
    <cellStyle name="Followed Hyperlink" xfId="11009" builtinId="9" hidden="1"/>
    <cellStyle name="Followed Hyperlink" xfId="11011" builtinId="9" hidden="1"/>
    <cellStyle name="Followed Hyperlink" xfId="11013" builtinId="9" hidden="1"/>
    <cellStyle name="Followed Hyperlink" xfId="11015" builtinId="9" hidden="1"/>
    <cellStyle name="Followed Hyperlink" xfId="11017" builtinId="9" hidden="1"/>
    <cellStyle name="Followed Hyperlink" xfId="11019" builtinId="9" hidden="1"/>
    <cellStyle name="Followed Hyperlink" xfId="11021" builtinId="9" hidden="1"/>
    <cellStyle name="Followed Hyperlink" xfId="11023" builtinId="9" hidden="1"/>
    <cellStyle name="Followed Hyperlink" xfId="11025" builtinId="9" hidden="1"/>
    <cellStyle name="Followed Hyperlink" xfId="11027" builtinId="9" hidden="1"/>
    <cellStyle name="Followed Hyperlink" xfId="11029" builtinId="9" hidden="1"/>
    <cellStyle name="Followed Hyperlink" xfId="11031" builtinId="9" hidden="1"/>
    <cellStyle name="Followed Hyperlink" xfId="11033" builtinId="9" hidden="1"/>
    <cellStyle name="Followed Hyperlink" xfId="11035" builtinId="9" hidden="1"/>
    <cellStyle name="Followed Hyperlink" xfId="11037" builtinId="9" hidden="1"/>
    <cellStyle name="Followed Hyperlink" xfId="11039" builtinId="9" hidden="1"/>
    <cellStyle name="Followed Hyperlink" xfId="11041" builtinId="9" hidden="1"/>
    <cellStyle name="Followed Hyperlink" xfId="11043" builtinId="9" hidden="1"/>
    <cellStyle name="Followed Hyperlink" xfId="11045" builtinId="9" hidden="1"/>
    <cellStyle name="Followed Hyperlink" xfId="11047" builtinId="9" hidden="1"/>
    <cellStyle name="Followed Hyperlink" xfId="11049" builtinId="9" hidden="1"/>
    <cellStyle name="Followed Hyperlink" xfId="11051" builtinId="9" hidden="1"/>
    <cellStyle name="Followed Hyperlink" xfId="11053" builtinId="9" hidden="1"/>
    <cellStyle name="Followed Hyperlink" xfId="11055" builtinId="9" hidden="1"/>
    <cellStyle name="Followed Hyperlink" xfId="11057" builtinId="9" hidden="1"/>
    <cellStyle name="Followed Hyperlink" xfId="11059" builtinId="9" hidden="1"/>
    <cellStyle name="Followed Hyperlink" xfId="11061" builtinId="9" hidden="1"/>
    <cellStyle name="Followed Hyperlink" xfId="11063" builtinId="9" hidden="1"/>
    <cellStyle name="Followed Hyperlink" xfId="11065" builtinId="9" hidden="1"/>
    <cellStyle name="Followed Hyperlink" xfId="11067" builtinId="9" hidden="1"/>
    <cellStyle name="Followed Hyperlink" xfId="11069" builtinId="9" hidden="1"/>
    <cellStyle name="Followed Hyperlink" xfId="11071" builtinId="9" hidden="1"/>
    <cellStyle name="Followed Hyperlink" xfId="11073" builtinId="9" hidden="1"/>
    <cellStyle name="Followed Hyperlink" xfId="11075" builtinId="9" hidden="1"/>
    <cellStyle name="Followed Hyperlink" xfId="11077" builtinId="9" hidden="1"/>
    <cellStyle name="Followed Hyperlink" xfId="11079" builtinId="9" hidden="1"/>
    <cellStyle name="Followed Hyperlink" xfId="11081" builtinId="9" hidden="1"/>
    <cellStyle name="Followed Hyperlink" xfId="11083" builtinId="9" hidden="1"/>
    <cellStyle name="Followed Hyperlink" xfId="11085" builtinId="9" hidden="1"/>
    <cellStyle name="Followed Hyperlink" xfId="11087" builtinId="9" hidden="1"/>
    <cellStyle name="Followed Hyperlink" xfId="11089" builtinId="9" hidden="1"/>
    <cellStyle name="Followed Hyperlink" xfId="11091" builtinId="9" hidden="1"/>
    <cellStyle name="Followed Hyperlink" xfId="11093" builtinId="9" hidden="1"/>
    <cellStyle name="Followed Hyperlink" xfId="11095" builtinId="9" hidden="1"/>
    <cellStyle name="Followed Hyperlink" xfId="11097" builtinId="9" hidden="1"/>
    <cellStyle name="Followed Hyperlink" xfId="11099" builtinId="9" hidden="1"/>
    <cellStyle name="Followed Hyperlink" xfId="11101" builtinId="9" hidden="1"/>
    <cellStyle name="Followed Hyperlink" xfId="11103" builtinId="9" hidden="1"/>
    <cellStyle name="Followed Hyperlink" xfId="11105" builtinId="9" hidden="1"/>
    <cellStyle name="Followed Hyperlink" xfId="11107" builtinId="9" hidden="1"/>
    <cellStyle name="Followed Hyperlink" xfId="11109" builtinId="9" hidden="1"/>
    <cellStyle name="Followed Hyperlink" xfId="11111" builtinId="9" hidden="1"/>
    <cellStyle name="Followed Hyperlink" xfId="11113" builtinId="9" hidden="1"/>
    <cellStyle name="Followed Hyperlink" xfId="11115" builtinId="9" hidden="1"/>
    <cellStyle name="Followed Hyperlink" xfId="11117" builtinId="9" hidden="1"/>
    <cellStyle name="Followed Hyperlink" xfId="11119" builtinId="9" hidden="1"/>
    <cellStyle name="Followed Hyperlink" xfId="11121" builtinId="9" hidden="1"/>
    <cellStyle name="Followed Hyperlink" xfId="11123" builtinId="9" hidden="1"/>
    <cellStyle name="Followed Hyperlink" xfId="11125" builtinId="9" hidden="1"/>
    <cellStyle name="Followed Hyperlink" xfId="11127" builtinId="9" hidden="1"/>
    <cellStyle name="Followed Hyperlink" xfId="11129" builtinId="9" hidden="1"/>
    <cellStyle name="Followed Hyperlink" xfId="11131" builtinId="9" hidden="1"/>
    <cellStyle name="Followed Hyperlink" xfId="11133" builtinId="9" hidden="1"/>
    <cellStyle name="Followed Hyperlink" xfId="11135" builtinId="9" hidden="1"/>
    <cellStyle name="Followed Hyperlink" xfId="11137" builtinId="9" hidden="1"/>
    <cellStyle name="Followed Hyperlink" xfId="11139" builtinId="9" hidden="1"/>
    <cellStyle name="Followed Hyperlink" xfId="11141" builtinId="9" hidden="1"/>
    <cellStyle name="Followed Hyperlink" xfId="11143" builtinId="9" hidden="1"/>
    <cellStyle name="Followed Hyperlink" xfId="11145" builtinId="9" hidden="1"/>
    <cellStyle name="Followed Hyperlink" xfId="11147" builtinId="9" hidden="1"/>
    <cellStyle name="Followed Hyperlink" xfId="11149" builtinId="9" hidden="1"/>
    <cellStyle name="Followed Hyperlink" xfId="11151" builtinId="9" hidden="1"/>
    <cellStyle name="Followed Hyperlink" xfId="11153" builtinId="9" hidden="1"/>
    <cellStyle name="Followed Hyperlink" xfId="11155" builtinId="9" hidden="1"/>
    <cellStyle name="Followed Hyperlink" xfId="11157" builtinId="9" hidden="1"/>
    <cellStyle name="Followed Hyperlink" xfId="11159" builtinId="9" hidden="1"/>
    <cellStyle name="Followed Hyperlink" xfId="11161" builtinId="9" hidden="1"/>
    <cellStyle name="Followed Hyperlink" xfId="11163" builtinId="9" hidden="1"/>
    <cellStyle name="Followed Hyperlink" xfId="11165" builtinId="9" hidden="1"/>
    <cellStyle name="Followed Hyperlink" xfId="11167" builtinId="9" hidden="1"/>
    <cellStyle name="Followed Hyperlink" xfId="11169" builtinId="9" hidden="1"/>
    <cellStyle name="Followed Hyperlink" xfId="11171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185" builtinId="9" hidden="1"/>
    <cellStyle name="Followed Hyperlink" xfId="11187" builtinId="9" hidden="1"/>
    <cellStyle name="Followed Hyperlink" xfId="11189" builtinId="9" hidden="1"/>
    <cellStyle name="Followed Hyperlink" xfId="11191" builtinId="9" hidden="1"/>
    <cellStyle name="Followed Hyperlink" xfId="11193" builtinId="9" hidden="1"/>
    <cellStyle name="Followed Hyperlink" xfId="11195" builtinId="9" hidden="1"/>
    <cellStyle name="Followed Hyperlink" xfId="11197" builtinId="9" hidden="1"/>
    <cellStyle name="Followed Hyperlink" xfId="11199" builtinId="9" hidden="1"/>
    <cellStyle name="Followed Hyperlink" xfId="11201" builtinId="9" hidden="1"/>
    <cellStyle name="Followed Hyperlink" xfId="11203" builtinId="9" hidden="1"/>
    <cellStyle name="Followed Hyperlink" xfId="11205" builtinId="9" hidden="1"/>
    <cellStyle name="Followed Hyperlink" xfId="11207" builtinId="9" hidden="1"/>
    <cellStyle name="Followed Hyperlink" xfId="11209" builtinId="9" hidden="1"/>
    <cellStyle name="Followed Hyperlink" xfId="11211" builtinId="9" hidden="1"/>
    <cellStyle name="Followed Hyperlink" xfId="11213" builtinId="9" hidden="1"/>
    <cellStyle name="Followed Hyperlink" xfId="11215" builtinId="9" hidden="1"/>
    <cellStyle name="Followed Hyperlink" xfId="11217" builtinId="9" hidden="1"/>
    <cellStyle name="Followed Hyperlink" xfId="11219" builtinId="9" hidden="1"/>
    <cellStyle name="Followed Hyperlink" xfId="11221" builtinId="9" hidden="1"/>
    <cellStyle name="Followed Hyperlink" xfId="11223" builtinId="9" hidden="1"/>
    <cellStyle name="Followed Hyperlink" xfId="11225" builtinId="9" hidden="1"/>
    <cellStyle name="Followed Hyperlink" xfId="11227" builtinId="9" hidden="1"/>
    <cellStyle name="Followed Hyperlink" xfId="11229" builtinId="9" hidden="1"/>
    <cellStyle name="Followed Hyperlink" xfId="11231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11337" builtinId="9" hidden="1"/>
    <cellStyle name="Followed Hyperlink" xfId="11339" builtinId="9" hidden="1"/>
    <cellStyle name="Followed Hyperlink" xfId="11341" builtinId="9" hidden="1"/>
    <cellStyle name="Followed Hyperlink" xfId="11343" builtinId="9" hidden="1"/>
    <cellStyle name="Followed Hyperlink" xfId="11345" builtinId="9" hidden="1"/>
    <cellStyle name="Followed Hyperlink" xfId="11347" builtinId="9" hidden="1"/>
    <cellStyle name="Followed Hyperlink" xfId="11349" builtinId="9" hidden="1"/>
    <cellStyle name="Followed Hyperlink" xfId="11351" builtinId="9" hidden="1"/>
    <cellStyle name="Followed Hyperlink" xfId="11353" builtinId="9" hidden="1"/>
    <cellStyle name="Followed Hyperlink" xfId="11355" builtinId="9" hidden="1"/>
    <cellStyle name="Followed Hyperlink" xfId="11357" builtinId="9" hidden="1"/>
    <cellStyle name="Followed Hyperlink" xfId="11359" builtinId="9" hidden="1"/>
    <cellStyle name="Followed Hyperlink" xfId="11361" builtinId="9" hidden="1"/>
    <cellStyle name="Followed Hyperlink" xfId="11363" builtinId="9" hidden="1"/>
    <cellStyle name="Followed Hyperlink" xfId="11365" builtinId="9" hidden="1"/>
    <cellStyle name="Followed Hyperlink" xfId="11367" builtinId="9" hidden="1"/>
    <cellStyle name="Followed Hyperlink" xfId="11369" builtinId="9" hidden="1"/>
    <cellStyle name="Followed Hyperlink" xfId="11371" builtinId="9" hidden="1"/>
    <cellStyle name="Followed Hyperlink" xfId="11373" builtinId="9" hidden="1"/>
    <cellStyle name="Followed Hyperlink" xfId="11375" builtinId="9" hidden="1"/>
    <cellStyle name="Followed Hyperlink" xfId="11377" builtinId="9" hidden="1"/>
    <cellStyle name="Followed Hyperlink" xfId="11379" builtinId="9" hidden="1"/>
    <cellStyle name="Followed Hyperlink" xfId="11381" builtinId="9" hidden="1"/>
    <cellStyle name="Followed Hyperlink" xfId="11383" builtinId="9" hidden="1"/>
    <cellStyle name="Followed Hyperlink" xfId="11385" builtinId="9" hidden="1"/>
    <cellStyle name="Followed Hyperlink" xfId="11387" builtinId="9" hidden="1"/>
    <cellStyle name="Followed Hyperlink" xfId="11389" builtinId="9" hidden="1"/>
    <cellStyle name="Followed Hyperlink" xfId="11391" builtinId="9" hidden="1"/>
    <cellStyle name="Followed Hyperlink" xfId="11393" builtinId="9" hidden="1"/>
    <cellStyle name="Followed Hyperlink" xfId="11395" builtinId="9" hidden="1"/>
    <cellStyle name="Followed Hyperlink" xfId="11397" builtinId="9" hidden="1"/>
    <cellStyle name="Followed Hyperlink" xfId="11399" builtinId="9" hidden="1"/>
    <cellStyle name="Followed Hyperlink" xfId="11401" builtinId="9" hidden="1"/>
    <cellStyle name="Followed Hyperlink" xfId="11403" builtinId="9" hidden="1"/>
    <cellStyle name="Followed Hyperlink" xfId="11405" builtinId="9" hidden="1"/>
    <cellStyle name="Followed Hyperlink" xfId="11407" builtinId="9" hidden="1"/>
    <cellStyle name="Followed Hyperlink" xfId="11409" builtinId="9" hidden="1"/>
    <cellStyle name="Followed Hyperlink" xfId="11411" builtinId="9" hidden="1"/>
    <cellStyle name="Followed Hyperlink" xfId="11413" builtinId="9" hidden="1"/>
    <cellStyle name="Followed Hyperlink" xfId="11415" builtinId="9" hidden="1"/>
    <cellStyle name="Followed Hyperlink" xfId="11417" builtinId="9" hidden="1"/>
    <cellStyle name="Followed Hyperlink" xfId="11419" builtinId="9" hidden="1"/>
    <cellStyle name="Followed Hyperlink" xfId="11421" builtinId="9" hidden="1"/>
    <cellStyle name="Followed Hyperlink" xfId="11423" builtinId="9" hidden="1"/>
    <cellStyle name="Followed Hyperlink" xfId="11425" builtinId="9" hidden="1"/>
    <cellStyle name="Followed Hyperlink" xfId="11427" builtinId="9" hidden="1"/>
    <cellStyle name="Followed Hyperlink" xfId="11429" builtinId="9" hidden="1"/>
    <cellStyle name="Followed Hyperlink" xfId="11431" builtinId="9" hidden="1"/>
    <cellStyle name="Followed Hyperlink" xfId="11433" builtinId="9" hidden="1"/>
    <cellStyle name="Followed Hyperlink" xfId="11435" builtinId="9" hidden="1"/>
    <cellStyle name="Followed Hyperlink" xfId="11437" builtinId="9" hidden="1"/>
    <cellStyle name="Followed Hyperlink" xfId="11439" builtinId="9" hidden="1"/>
    <cellStyle name="Followed Hyperlink" xfId="11441" builtinId="9" hidden="1"/>
    <cellStyle name="Followed Hyperlink" xfId="11443" builtinId="9" hidden="1"/>
    <cellStyle name="Followed Hyperlink" xfId="11445" builtinId="9" hidden="1"/>
    <cellStyle name="Followed Hyperlink" xfId="11447" builtinId="9" hidden="1"/>
    <cellStyle name="Followed Hyperlink" xfId="11449" builtinId="9" hidden="1"/>
    <cellStyle name="Followed Hyperlink" xfId="11451" builtinId="9" hidden="1"/>
    <cellStyle name="Followed Hyperlink" xfId="11453" builtinId="9" hidden="1"/>
    <cellStyle name="Followed Hyperlink" xfId="11455" builtinId="9" hidden="1"/>
    <cellStyle name="Followed Hyperlink" xfId="11457" builtinId="9" hidden="1"/>
    <cellStyle name="Followed Hyperlink" xfId="11459" builtinId="9" hidden="1"/>
    <cellStyle name="Followed Hyperlink" xfId="11461" builtinId="9" hidden="1"/>
    <cellStyle name="Followed Hyperlink" xfId="11463" builtinId="9" hidden="1"/>
    <cellStyle name="Followed Hyperlink" xfId="11465" builtinId="9" hidden="1"/>
    <cellStyle name="Followed Hyperlink" xfId="11467" builtinId="9" hidden="1"/>
    <cellStyle name="Followed Hyperlink" xfId="11469" builtinId="9" hidden="1"/>
    <cellStyle name="Followed Hyperlink" xfId="11471" builtinId="9" hidden="1"/>
    <cellStyle name="Followed Hyperlink" xfId="11473" builtinId="9" hidden="1"/>
    <cellStyle name="Followed Hyperlink" xfId="11475" builtinId="9" hidden="1"/>
    <cellStyle name="Followed Hyperlink" xfId="11477" builtinId="9" hidden="1"/>
    <cellStyle name="Followed Hyperlink" xfId="11479" builtinId="9" hidden="1"/>
    <cellStyle name="Followed Hyperlink" xfId="11481" builtinId="9" hidden="1"/>
    <cellStyle name="Followed Hyperlink" xfId="11483" builtinId="9" hidden="1"/>
    <cellStyle name="Followed Hyperlink" xfId="11485" builtinId="9" hidden="1"/>
    <cellStyle name="Followed Hyperlink" xfId="11487" builtinId="9" hidden="1"/>
    <cellStyle name="Followed Hyperlink" xfId="11489" builtinId="9" hidden="1"/>
    <cellStyle name="Followed Hyperlink" xfId="11491" builtinId="9" hidden="1"/>
    <cellStyle name="Followed Hyperlink" xfId="11493" builtinId="9" hidden="1"/>
    <cellStyle name="Followed Hyperlink" xfId="11495" builtinId="9" hidden="1"/>
    <cellStyle name="Followed Hyperlink" xfId="11497" builtinId="9" hidden="1"/>
    <cellStyle name="Followed Hyperlink" xfId="11499" builtinId="9" hidden="1"/>
    <cellStyle name="Followed Hyperlink" xfId="11501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15" builtinId="9" hidden="1"/>
    <cellStyle name="Followed Hyperlink" xfId="11517" builtinId="9" hidden="1"/>
    <cellStyle name="Followed Hyperlink" xfId="11519" builtinId="9" hidden="1"/>
    <cellStyle name="Followed Hyperlink" xfId="11521" builtinId="9" hidden="1"/>
    <cellStyle name="Followed Hyperlink" xfId="11523" builtinId="9" hidden="1"/>
    <cellStyle name="Followed Hyperlink" xfId="11525" builtinId="9" hidden="1"/>
    <cellStyle name="Followed Hyperlink" xfId="11527" builtinId="9" hidden="1"/>
    <cellStyle name="Followed Hyperlink" xfId="11529" builtinId="9" hidden="1"/>
    <cellStyle name="Followed Hyperlink" xfId="11531" builtinId="9" hidden="1"/>
    <cellStyle name="Followed Hyperlink" xfId="11533" builtinId="9" hidden="1"/>
    <cellStyle name="Followed Hyperlink" xfId="11535" builtinId="9" hidden="1"/>
    <cellStyle name="Followed Hyperlink" xfId="11537" builtinId="9" hidden="1"/>
    <cellStyle name="Followed Hyperlink" xfId="11539" builtinId="9" hidden="1"/>
    <cellStyle name="Followed Hyperlink" xfId="11541" builtinId="9" hidden="1"/>
    <cellStyle name="Followed Hyperlink" xfId="11543" builtinId="9" hidden="1"/>
    <cellStyle name="Followed Hyperlink" xfId="11545" builtinId="9" hidden="1"/>
    <cellStyle name="Followed Hyperlink" xfId="11547" builtinId="9" hidden="1"/>
    <cellStyle name="Followed Hyperlink" xfId="11549" builtinId="9" hidden="1"/>
    <cellStyle name="Followed Hyperlink" xfId="11551" builtinId="9" hidden="1"/>
    <cellStyle name="Followed Hyperlink" xfId="11553" builtinId="9" hidden="1"/>
    <cellStyle name="Followed Hyperlink" xfId="11555" builtinId="9" hidden="1"/>
    <cellStyle name="Followed Hyperlink" xfId="11557" builtinId="9" hidden="1"/>
    <cellStyle name="Followed Hyperlink" xfId="11559" builtinId="9" hidden="1"/>
    <cellStyle name="Followed Hyperlink" xfId="11561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679" builtinId="9" hidden="1"/>
    <cellStyle name="Followed Hyperlink" xfId="11681" builtinId="9" hidden="1"/>
    <cellStyle name="Followed Hyperlink" xfId="11683" builtinId="9" hidden="1"/>
    <cellStyle name="Followed Hyperlink" xfId="11685" builtinId="9" hidden="1"/>
    <cellStyle name="Followed Hyperlink" xfId="11687" builtinId="9" hidden="1"/>
    <cellStyle name="Followed Hyperlink" xfId="11689" builtinId="9" hidden="1"/>
    <cellStyle name="Followed Hyperlink" xfId="11691" builtinId="9" hidden="1"/>
    <cellStyle name="Followed Hyperlink" xfId="11693" builtinId="9" hidden="1"/>
    <cellStyle name="Followed Hyperlink" xfId="11695" builtinId="9" hidden="1"/>
    <cellStyle name="Followed Hyperlink" xfId="11697" builtinId="9" hidden="1"/>
    <cellStyle name="Followed Hyperlink" xfId="11699" builtinId="9" hidden="1"/>
    <cellStyle name="Followed Hyperlink" xfId="11701" builtinId="9" hidden="1"/>
    <cellStyle name="Followed Hyperlink" xfId="11703" builtinId="9" hidden="1"/>
    <cellStyle name="Followed Hyperlink" xfId="11705" builtinId="9" hidden="1"/>
    <cellStyle name="Followed Hyperlink" xfId="11707" builtinId="9" hidden="1"/>
    <cellStyle name="Followed Hyperlink" xfId="11709" builtinId="9" hidden="1"/>
    <cellStyle name="Followed Hyperlink" xfId="11711" builtinId="9" hidden="1"/>
    <cellStyle name="Followed Hyperlink" xfId="11713" builtinId="9" hidden="1"/>
    <cellStyle name="Followed Hyperlink" xfId="11715" builtinId="9" hidden="1"/>
    <cellStyle name="Followed Hyperlink" xfId="11717" builtinId="9" hidden="1"/>
    <cellStyle name="Followed Hyperlink" xfId="11719" builtinId="9" hidden="1"/>
    <cellStyle name="Followed Hyperlink" xfId="11721" builtinId="9" hidden="1"/>
    <cellStyle name="Followed Hyperlink" xfId="11723" builtinId="9" hidden="1"/>
    <cellStyle name="Followed Hyperlink" xfId="11725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11831" builtinId="9" hidden="1"/>
    <cellStyle name="Followed Hyperlink" xfId="11833" builtinId="9" hidden="1"/>
    <cellStyle name="Followed Hyperlink" xfId="11835" builtinId="9" hidden="1"/>
    <cellStyle name="Followed Hyperlink" xfId="11837" builtinId="9" hidden="1"/>
    <cellStyle name="Followed Hyperlink" xfId="11839" builtinId="9" hidden="1"/>
    <cellStyle name="Followed Hyperlink" xfId="11841" builtinId="9" hidden="1"/>
    <cellStyle name="Followed Hyperlink" xfId="11843" builtinId="9" hidden="1"/>
    <cellStyle name="Followed Hyperlink" xfId="11845" builtinId="9" hidden="1"/>
    <cellStyle name="Followed Hyperlink" xfId="11847" builtinId="9" hidden="1"/>
    <cellStyle name="Followed Hyperlink" xfId="11849" builtinId="9" hidden="1"/>
    <cellStyle name="Followed Hyperlink" xfId="11851" builtinId="9" hidden="1"/>
    <cellStyle name="Followed Hyperlink" xfId="11853" builtinId="9" hidden="1"/>
    <cellStyle name="Followed Hyperlink" xfId="11855" builtinId="9" hidden="1"/>
    <cellStyle name="Followed Hyperlink" xfId="11857" builtinId="9" hidden="1"/>
    <cellStyle name="Followed Hyperlink" xfId="11859" builtinId="9" hidden="1"/>
    <cellStyle name="Followed Hyperlink" xfId="11861" builtinId="9" hidden="1"/>
    <cellStyle name="Followed Hyperlink" xfId="11863" builtinId="9" hidden="1"/>
    <cellStyle name="Followed Hyperlink" xfId="11865" builtinId="9" hidden="1"/>
    <cellStyle name="Followed Hyperlink" xfId="11867" builtinId="9" hidden="1"/>
    <cellStyle name="Followed Hyperlink" xfId="11869" builtinId="9" hidden="1"/>
    <cellStyle name="Followed Hyperlink" xfId="11871" builtinId="9" hidden="1"/>
    <cellStyle name="Followed Hyperlink" xfId="11873" builtinId="9" hidden="1"/>
    <cellStyle name="Followed Hyperlink" xfId="11875" builtinId="9" hidden="1"/>
    <cellStyle name="Followed Hyperlink" xfId="11877" builtinId="9" hidden="1"/>
    <cellStyle name="Followed Hyperlink" xfId="11879" builtinId="9" hidden="1"/>
    <cellStyle name="Followed Hyperlink" xfId="11881" builtinId="9" hidden="1"/>
    <cellStyle name="Followed Hyperlink" xfId="11883" builtinId="9" hidden="1"/>
    <cellStyle name="Followed Hyperlink" xfId="11885" builtinId="9" hidden="1"/>
    <cellStyle name="Followed Hyperlink" xfId="11887" builtinId="9" hidden="1"/>
    <cellStyle name="Followed Hyperlink" xfId="11889" builtinId="9" hidden="1"/>
    <cellStyle name="Followed Hyperlink" xfId="11891" builtinId="9" hidden="1"/>
    <cellStyle name="Followed Hyperlink" xfId="11893" builtinId="9" hidden="1"/>
    <cellStyle name="Followed Hyperlink" xfId="11895" builtinId="9" hidden="1"/>
    <cellStyle name="Followed Hyperlink" xfId="11897" builtinId="9" hidden="1"/>
    <cellStyle name="Followed Hyperlink" xfId="11899" builtinId="9" hidden="1"/>
    <cellStyle name="Followed Hyperlink" xfId="11901" builtinId="9" hidden="1"/>
    <cellStyle name="Followed Hyperlink" xfId="11903" builtinId="9" hidden="1"/>
    <cellStyle name="Followed Hyperlink" xfId="11905" builtinId="9" hidden="1"/>
    <cellStyle name="Followed Hyperlink" xfId="11907" builtinId="9" hidden="1"/>
    <cellStyle name="Followed Hyperlink" xfId="11909" builtinId="9" hidden="1"/>
    <cellStyle name="Followed Hyperlink" xfId="11911" builtinId="9" hidden="1"/>
    <cellStyle name="Followed Hyperlink" xfId="11913" builtinId="9" hidden="1"/>
    <cellStyle name="Followed Hyperlink" xfId="11915" builtinId="9" hidden="1"/>
    <cellStyle name="Followed Hyperlink" xfId="11917" builtinId="9" hidden="1"/>
    <cellStyle name="Followed Hyperlink" xfId="11919" builtinId="9" hidden="1"/>
    <cellStyle name="Followed Hyperlink" xfId="11921" builtinId="9" hidden="1"/>
    <cellStyle name="Followed Hyperlink" xfId="11923" builtinId="9" hidden="1"/>
    <cellStyle name="Followed Hyperlink" xfId="11925" builtinId="9" hidden="1"/>
    <cellStyle name="Followed Hyperlink" xfId="11927" builtinId="9" hidden="1"/>
    <cellStyle name="Followed Hyperlink" xfId="11929" builtinId="9" hidden="1"/>
    <cellStyle name="Followed Hyperlink" xfId="11931" builtinId="9" hidden="1"/>
    <cellStyle name="Followed Hyperlink" xfId="11933" builtinId="9" hidden="1"/>
    <cellStyle name="Followed Hyperlink" xfId="11935" builtinId="9" hidden="1"/>
    <cellStyle name="Followed Hyperlink" xfId="11937" builtinId="9" hidden="1"/>
    <cellStyle name="Followed Hyperlink" xfId="11939" builtinId="9" hidden="1"/>
    <cellStyle name="Followed Hyperlink" xfId="11941" builtinId="9" hidden="1"/>
    <cellStyle name="Followed Hyperlink" xfId="11943" builtinId="9" hidden="1"/>
    <cellStyle name="Followed Hyperlink" xfId="11945" builtinId="9" hidden="1"/>
    <cellStyle name="Followed Hyperlink" xfId="11947" builtinId="9" hidden="1"/>
    <cellStyle name="Followed Hyperlink" xfId="11949" builtinId="9" hidden="1"/>
    <cellStyle name="Followed Hyperlink" xfId="11951" builtinId="9" hidden="1"/>
    <cellStyle name="Followed Hyperlink" xfId="11953" builtinId="9" hidden="1"/>
    <cellStyle name="Followed Hyperlink" xfId="11955" builtinId="9" hidden="1"/>
    <cellStyle name="Followed Hyperlink" xfId="11957" builtinId="9" hidden="1"/>
    <cellStyle name="Followed Hyperlink" xfId="11959" builtinId="9" hidden="1"/>
    <cellStyle name="Followed Hyperlink" xfId="11961" builtinId="9" hidden="1"/>
    <cellStyle name="Followed Hyperlink" xfId="11963" builtinId="9" hidden="1"/>
    <cellStyle name="Followed Hyperlink" xfId="11965" builtinId="9" hidden="1"/>
    <cellStyle name="Followed Hyperlink" xfId="11967" builtinId="9" hidden="1"/>
    <cellStyle name="Followed Hyperlink" xfId="11969" builtinId="9" hidden="1"/>
    <cellStyle name="Followed Hyperlink" xfId="11971" builtinId="9" hidden="1"/>
    <cellStyle name="Followed Hyperlink" xfId="11973" builtinId="9" hidden="1"/>
    <cellStyle name="Followed Hyperlink" xfId="11975" builtinId="9" hidden="1"/>
    <cellStyle name="Followed Hyperlink" xfId="11977" builtinId="9" hidden="1"/>
    <cellStyle name="Followed Hyperlink" xfId="11979" builtinId="9" hidden="1"/>
    <cellStyle name="Followed Hyperlink" xfId="11981" builtinId="9" hidden="1"/>
    <cellStyle name="Followed Hyperlink" xfId="11983" builtinId="9" hidden="1"/>
    <cellStyle name="Followed Hyperlink" xfId="11985" builtinId="9" hidden="1"/>
    <cellStyle name="Followed Hyperlink" xfId="11987" builtinId="9" hidden="1"/>
    <cellStyle name="Followed Hyperlink" xfId="11989" builtinId="9" hidden="1"/>
    <cellStyle name="Followed Hyperlink" xfId="11991" builtinId="9" hidden="1"/>
    <cellStyle name="Followed Hyperlink" xfId="11993" builtinId="9" hidden="1"/>
    <cellStyle name="Followed Hyperlink" xfId="11995" builtinId="9" hidden="1"/>
    <cellStyle name="Followed Hyperlink" xfId="11997" builtinId="9" hidden="1"/>
    <cellStyle name="Followed Hyperlink" xfId="11999" builtinId="9" hidden="1"/>
    <cellStyle name="Followed Hyperlink" xfId="12001" builtinId="9" hidden="1"/>
    <cellStyle name="Followed Hyperlink" xfId="12003" builtinId="9" hidden="1"/>
    <cellStyle name="Followed Hyperlink" xfId="12005" builtinId="9" hidden="1"/>
    <cellStyle name="Followed Hyperlink" xfId="12007" builtinId="9" hidden="1"/>
    <cellStyle name="Followed Hyperlink" xfId="12009" builtinId="9" hidden="1"/>
    <cellStyle name="Followed Hyperlink" xfId="12011" builtinId="9" hidden="1"/>
    <cellStyle name="Followed Hyperlink" xfId="12013" builtinId="9" hidden="1"/>
    <cellStyle name="Followed Hyperlink" xfId="12015" builtinId="9" hidden="1"/>
    <cellStyle name="Followed Hyperlink" xfId="12017" builtinId="9" hidden="1"/>
    <cellStyle name="Followed Hyperlink" xfId="12019" builtinId="9" hidden="1"/>
    <cellStyle name="Followed Hyperlink" xfId="12021" builtinId="9" hidden="1"/>
    <cellStyle name="Followed Hyperlink" xfId="12023" builtinId="9" hidden="1"/>
    <cellStyle name="Followed Hyperlink" xfId="12025" builtinId="9" hidden="1"/>
    <cellStyle name="Followed Hyperlink" xfId="12027" builtinId="9" hidden="1"/>
    <cellStyle name="Followed Hyperlink" xfId="12029" builtinId="9" hidden="1"/>
    <cellStyle name="Followed Hyperlink" xfId="12031" builtinId="9" hidden="1"/>
    <cellStyle name="Followed Hyperlink" xfId="12033" builtinId="9" hidden="1"/>
    <cellStyle name="Followed Hyperlink" xfId="12035" builtinId="9" hidden="1"/>
    <cellStyle name="Followed Hyperlink" xfId="12037" builtinId="9" hidden="1"/>
    <cellStyle name="Followed Hyperlink" xfId="12039" builtinId="9" hidden="1"/>
    <cellStyle name="Followed Hyperlink" xfId="12041" builtinId="9" hidden="1"/>
    <cellStyle name="Followed Hyperlink" xfId="12043" builtinId="9" hidden="1"/>
    <cellStyle name="Followed Hyperlink" xfId="12045" builtinId="9" hidden="1"/>
    <cellStyle name="Followed Hyperlink" xfId="12047" builtinId="9" hidden="1"/>
    <cellStyle name="Followed Hyperlink" xfId="12049" builtinId="9" hidden="1"/>
    <cellStyle name="Followed Hyperlink" xfId="12051" builtinId="9" hidden="1"/>
    <cellStyle name="Followed Hyperlink" xfId="12053" builtinId="9" hidden="1"/>
    <cellStyle name="Followed Hyperlink" xfId="12055" builtinId="9" hidden="1"/>
    <cellStyle name="Followed Hyperlink" xfId="12057" builtinId="9" hidden="1"/>
    <cellStyle name="Followed Hyperlink" xfId="12059" builtinId="9" hidden="1"/>
    <cellStyle name="Followed Hyperlink" xfId="12061" builtinId="9" hidden="1"/>
    <cellStyle name="Followed Hyperlink" xfId="12063" builtinId="9" hidden="1"/>
    <cellStyle name="Followed Hyperlink" xfId="12065" builtinId="9" hidden="1"/>
    <cellStyle name="Followed Hyperlink" xfId="12067" builtinId="9" hidden="1"/>
    <cellStyle name="Followed Hyperlink" xfId="12069" builtinId="9" hidden="1"/>
    <cellStyle name="Followed Hyperlink" xfId="12071" builtinId="9" hidden="1"/>
    <cellStyle name="Followed Hyperlink" xfId="12073" builtinId="9" hidden="1"/>
    <cellStyle name="Followed Hyperlink" xfId="12075" builtinId="9" hidden="1"/>
    <cellStyle name="Followed Hyperlink" xfId="12077" builtinId="9" hidden="1"/>
    <cellStyle name="Followed Hyperlink" xfId="12079" builtinId="9" hidden="1"/>
    <cellStyle name="Followed Hyperlink" xfId="12081" builtinId="9" hidden="1"/>
    <cellStyle name="Followed Hyperlink" xfId="12083" builtinId="9" hidden="1"/>
    <cellStyle name="Followed Hyperlink" xfId="12085" builtinId="9" hidden="1"/>
    <cellStyle name="Followed Hyperlink" xfId="12087" builtinId="9" hidden="1"/>
    <cellStyle name="Followed Hyperlink" xfId="12089" builtinId="9" hidden="1"/>
    <cellStyle name="Followed Hyperlink" xfId="12091" builtinId="9" hidden="1"/>
    <cellStyle name="Followed Hyperlink" xfId="12093" builtinId="9" hidden="1"/>
    <cellStyle name="Followed Hyperlink" xfId="12095" builtinId="9" hidden="1"/>
    <cellStyle name="Followed Hyperlink" xfId="12097" builtinId="9" hidden="1"/>
    <cellStyle name="Followed Hyperlink" xfId="12099" builtinId="9" hidden="1"/>
    <cellStyle name="Followed Hyperlink" xfId="12101" builtinId="9" hidden="1"/>
    <cellStyle name="Followed Hyperlink" xfId="12103" builtinId="9" hidden="1"/>
    <cellStyle name="Followed Hyperlink" xfId="12105" builtinId="9" hidden="1"/>
    <cellStyle name="Followed Hyperlink" xfId="12107" builtinId="9" hidden="1"/>
    <cellStyle name="Followed Hyperlink" xfId="12109" builtinId="9" hidden="1"/>
    <cellStyle name="Followed Hyperlink" xfId="12111" builtinId="9" hidden="1"/>
    <cellStyle name="Followed Hyperlink" xfId="12113" builtinId="9" hidden="1"/>
    <cellStyle name="Followed Hyperlink" xfId="12115" builtinId="9" hidden="1"/>
    <cellStyle name="Followed Hyperlink" xfId="12117" builtinId="9" hidden="1"/>
    <cellStyle name="Followed Hyperlink" xfId="12119" builtinId="9" hidden="1"/>
    <cellStyle name="Followed Hyperlink" xfId="12121" builtinId="9" hidden="1"/>
    <cellStyle name="Followed Hyperlink" xfId="12123" builtinId="9" hidden="1"/>
    <cellStyle name="Followed Hyperlink" xfId="12125" builtinId="9" hidden="1"/>
    <cellStyle name="Followed Hyperlink" xfId="12127" builtinId="9" hidden="1"/>
    <cellStyle name="Followed Hyperlink" xfId="12129" builtinId="9" hidden="1"/>
    <cellStyle name="Followed Hyperlink" xfId="12131" builtinId="9" hidden="1"/>
    <cellStyle name="Followed Hyperlink" xfId="12133" builtinId="9" hidden="1"/>
    <cellStyle name="Followed Hyperlink" xfId="12135" builtinId="9" hidden="1"/>
    <cellStyle name="Followed Hyperlink" xfId="12137" builtinId="9" hidden="1"/>
    <cellStyle name="Followed Hyperlink" xfId="12139" builtinId="9" hidden="1"/>
    <cellStyle name="Followed Hyperlink" xfId="12141" builtinId="9" hidden="1"/>
    <cellStyle name="Followed Hyperlink" xfId="12143" builtinId="9" hidden="1"/>
    <cellStyle name="Followed Hyperlink" xfId="12145" builtinId="9" hidden="1"/>
    <cellStyle name="Followed Hyperlink" xfId="12147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161" builtinId="9" hidden="1"/>
    <cellStyle name="Followed Hyperlink" xfId="12163" builtinId="9" hidden="1"/>
    <cellStyle name="Followed Hyperlink" xfId="12165" builtinId="9" hidden="1"/>
    <cellStyle name="Followed Hyperlink" xfId="12167" builtinId="9" hidden="1"/>
    <cellStyle name="Followed Hyperlink" xfId="12169" builtinId="9" hidden="1"/>
    <cellStyle name="Followed Hyperlink" xfId="12171" builtinId="9" hidden="1"/>
    <cellStyle name="Followed Hyperlink" xfId="12173" builtinId="9" hidden="1"/>
    <cellStyle name="Followed Hyperlink" xfId="12175" builtinId="9" hidden="1"/>
    <cellStyle name="Followed Hyperlink" xfId="12177" builtinId="9" hidden="1"/>
    <cellStyle name="Followed Hyperlink" xfId="12179" builtinId="9" hidden="1"/>
    <cellStyle name="Followed Hyperlink" xfId="12181" builtinId="9" hidden="1"/>
    <cellStyle name="Followed Hyperlink" xfId="12183" builtinId="9" hidden="1"/>
    <cellStyle name="Followed Hyperlink" xfId="12185" builtinId="9" hidden="1"/>
    <cellStyle name="Followed Hyperlink" xfId="12187" builtinId="9" hidden="1"/>
    <cellStyle name="Followed Hyperlink" xfId="12189" builtinId="9" hidden="1"/>
    <cellStyle name="Followed Hyperlink" xfId="12191" builtinId="9" hidden="1"/>
    <cellStyle name="Followed Hyperlink" xfId="12193" builtinId="9" hidden="1"/>
    <cellStyle name="Followed Hyperlink" xfId="12195" builtinId="9" hidden="1"/>
    <cellStyle name="Followed Hyperlink" xfId="12197" builtinId="9" hidden="1"/>
    <cellStyle name="Followed Hyperlink" xfId="12199" builtinId="9" hidden="1"/>
    <cellStyle name="Followed Hyperlink" xfId="12201" builtinId="9" hidden="1"/>
    <cellStyle name="Followed Hyperlink" xfId="12203" builtinId="9" hidden="1"/>
    <cellStyle name="Followed Hyperlink" xfId="12205" builtinId="9" hidden="1"/>
    <cellStyle name="Followed Hyperlink" xfId="12207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313" builtinId="9" hidden="1"/>
    <cellStyle name="Followed Hyperlink" xfId="12315" builtinId="9" hidden="1"/>
    <cellStyle name="Followed Hyperlink" xfId="12317" builtinId="9" hidden="1"/>
    <cellStyle name="Followed Hyperlink" xfId="12319" builtinId="9" hidden="1"/>
    <cellStyle name="Followed Hyperlink" xfId="12321" builtinId="9" hidden="1"/>
    <cellStyle name="Followed Hyperlink" xfId="12323" builtinId="9" hidden="1"/>
    <cellStyle name="Followed Hyperlink" xfId="12325" builtinId="9" hidden="1"/>
    <cellStyle name="Followed Hyperlink" xfId="12327" builtinId="9" hidden="1"/>
    <cellStyle name="Followed Hyperlink" xfId="12329" builtinId="9" hidden="1"/>
    <cellStyle name="Followed Hyperlink" xfId="12331" builtinId="9" hidden="1"/>
    <cellStyle name="Followed Hyperlink" xfId="12333" builtinId="9" hidden="1"/>
    <cellStyle name="Followed Hyperlink" xfId="12335" builtinId="9" hidden="1"/>
    <cellStyle name="Followed Hyperlink" xfId="12337" builtinId="9" hidden="1"/>
    <cellStyle name="Followed Hyperlink" xfId="12339" builtinId="9" hidden="1"/>
    <cellStyle name="Followed Hyperlink" xfId="12341" builtinId="9" hidden="1"/>
    <cellStyle name="Followed Hyperlink" xfId="12343" builtinId="9" hidden="1"/>
    <cellStyle name="Followed Hyperlink" xfId="12345" builtinId="9" hidden="1"/>
    <cellStyle name="Followed Hyperlink" xfId="12347" builtinId="9" hidden="1"/>
    <cellStyle name="Followed Hyperlink" xfId="12349" builtinId="9" hidden="1"/>
    <cellStyle name="Followed Hyperlink" xfId="12351" builtinId="9" hidden="1"/>
    <cellStyle name="Followed Hyperlink" xfId="12353" builtinId="9" hidden="1"/>
    <cellStyle name="Followed Hyperlink" xfId="12355" builtinId="9" hidden="1"/>
    <cellStyle name="Followed Hyperlink" xfId="12357" builtinId="9" hidden="1"/>
    <cellStyle name="Followed Hyperlink" xfId="12359" builtinId="9" hidden="1"/>
    <cellStyle name="Followed Hyperlink" xfId="12361" builtinId="9" hidden="1"/>
    <cellStyle name="Followed Hyperlink" xfId="12363" builtinId="9" hidden="1"/>
    <cellStyle name="Followed Hyperlink" xfId="12365" builtinId="9" hidden="1"/>
    <cellStyle name="Followed Hyperlink" xfId="12367" builtinId="9" hidden="1"/>
    <cellStyle name="Followed Hyperlink" xfId="12369" builtinId="9" hidden="1"/>
    <cellStyle name="Followed Hyperlink" xfId="12371" builtinId="9" hidden="1"/>
    <cellStyle name="Followed Hyperlink" xfId="12373" builtinId="9" hidden="1"/>
    <cellStyle name="Followed Hyperlink" xfId="12375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12481" builtinId="9" hidden="1"/>
    <cellStyle name="Followed Hyperlink" xfId="12483" builtinId="9" hidden="1"/>
    <cellStyle name="Followed Hyperlink" xfId="12485" builtinId="9" hidden="1"/>
    <cellStyle name="Followed Hyperlink" xfId="12487" builtinId="9" hidden="1"/>
    <cellStyle name="Followed Hyperlink" xfId="12489" builtinId="9" hidden="1"/>
    <cellStyle name="Followed Hyperlink" xfId="12491" builtinId="9" hidden="1"/>
    <cellStyle name="Followed Hyperlink" xfId="12493" builtinId="9" hidden="1"/>
    <cellStyle name="Followed Hyperlink" xfId="12495" builtinId="9" hidden="1"/>
    <cellStyle name="Followed Hyperlink" xfId="12497" builtinId="9" hidden="1"/>
    <cellStyle name="Followed Hyperlink" xfId="12499" builtinId="9" hidden="1"/>
    <cellStyle name="Followed Hyperlink" xfId="12501" builtinId="9" hidden="1"/>
    <cellStyle name="Followed Hyperlink" xfId="12503" builtinId="9" hidden="1"/>
    <cellStyle name="Followed Hyperlink" xfId="12505" builtinId="9" hidden="1"/>
    <cellStyle name="Followed Hyperlink" xfId="12507" builtinId="9" hidden="1"/>
    <cellStyle name="Followed Hyperlink" xfId="12509" builtinId="9" hidden="1"/>
    <cellStyle name="Followed Hyperlink" xfId="12511" builtinId="9" hidden="1"/>
    <cellStyle name="Followed Hyperlink" xfId="12513" builtinId="9" hidden="1"/>
    <cellStyle name="Followed Hyperlink" xfId="12515" builtinId="9" hidden="1"/>
    <cellStyle name="Followed Hyperlink" xfId="12517" builtinId="9" hidden="1"/>
    <cellStyle name="Followed Hyperlink" xfId="12519" builtinId="9" hidden="1"/>
    <cellStyle name="Followed Hyperlink" xfId="12521" builtinId="9" hidden="1"/>
    <cellStyle name="Followed Hyperlink" xfId="12523" builtinId="9" hidden="1"/>
    <cellStyle name="Followed Hyperlink" xfId="12525" builtinId="9" hidden="1"/>
    <cellStyle name="Followed Hyperlink" xfId="12527" builtinId="9" hidden="1"/>
    <cellStyle name="Followed Hyperlink" xfId="12529" builtinId="9" hidden="1"/>
    <cellStyle name="Followed Hyperlink" xfId="12531" builtinId="9" hidden="1"/>
    <cellStyle name="Followed Hyperlink" xfId="12533" builtinId="9" hidden="1"/>
    <cellStyle name="Followed Hyperlink" xfId="12535" builtinId="9" hidden="1"/>
    <cellStyle name="Followed Hyperlink" xfId="12537" builtinId="9" hidden="1"/>
    <cellStyle name="Followed Hyperlink" xfId="12539" builtinId="9" hidden="1"/>
    <cellStyle name="Followed Hyperlink" xfId="12541" builtinId="9" hidden="1"/>
    <cellStyle name="Followed Hyperlink" xfId="12543" builtinId="9" hidden="1"/>
    <cellStyle name="Followed Hyperlink" xfId="12545" builtinId="9" hidden="1"/>
    <cellStyle name="Followed Hyperlink" xfId="12547" builtinId="9" hidden="1"/>
    <cellStyle name="Followed Hyperlink" xfId="12549" builtinId="9" hidden="1"/>
    <cellStyle name="Followed Hyperlink" xfId="12551" builtinId="9" hidden="1"/>
    <cellStyle name="Followed Hyperlink" xfId="12553" builtinId="9" hidden="1"/>
    <cellStyle name="Followed Hyperlink" xfId="12555" builtinId="9" hidden="1"/>
    <cellStyle name="Followed Hyperlink" xfId="12557" builtinId="9" hidden="1"/>
    <cellStyle name="Followed Hyperlink" xfId="12559" builtinId="9" hidden="1"/>
    <cellStyle name="Followed Hyperlink" xfId="12561" builtinId="9" hidden="1"/>
    <cellStyle name="Followed Hyperlink" xfId="12563" builtinId="9" hidden="1"/>
    <cellStyle name="Followed Hyperlink" xfId="12565" builtinId="9" hidden="1"/>
    <cellStyle name="Followed Hyperlink" xfId="12567" builtinId="9" hidden="1"/>
    <cellStyle name="Followed Hyperlink" xfId="12569" builtinId="9" hidden="1"/>
    <cellStyle name="Followed Hyperlink" xfId="12571" builtinId="9" hidden="1"/>
    <cellStyle name="Followed Hyperlink" xfId="12573" builtinId="9" hidden="1"/>
    <cellStyle name="Followed Hyperlink" xfId="12575" builtinId="9" hidden="1"/>
    <cellStyle name="Followed Hyperlink" xfId="12577" builtinId="9" hidden="1"/>
    <cellStyle name="Followed Hyperlink" xfId="12579" builtinId="9" hidden="1"/>
    <cellStyle name="Followed Hyperlink" xfId="12581" builtinId="9" hidden="1"/>
    <cellStyle name="Followed Hyperlink" xfId="12583" builtinId="9" hidden="1"/>
    <cellStyle name="Followed Hyperlink" xfId="12585" builtinId="9" hidden="1"/>
    <cellStyle name="Followed Hyperlink" xfId="12587" builtinId="9" hidden="1"/>
    <cellStyle name="Followed Hyperlink" xfId="12589" builtinId="9" hidden="1"/>
    <cellStyle name="Followed Hyperlink" xfId="12591" builtinId="9" hidden="1"/>
    <cellStyle name="Followed Hyperlink" xfId="12593" builtinId="9" hidden="1"/>
    <cellStyle name="Followed Hyperlink" xfId="12595" builtinId="9" hidden="1"/>
    <cellStyle name="Followed Hyperlink" xfId="12597" builtinId="9" hidden="1"/>
    <cellStyle name="Followed Hyperlink" xfId="12599" builtinId="9" hidden="1"/>
    <cellStyle name="Followed Hyperlink" xfId="12601" builtinId="9" hidden="1"/>
    <cellStyle name="Followed Hyperlink" xfId="12603" builtinId="9" hidden="1"/>
    <cellStyle name="Followed Hyperlink" xfId="12605" builtinId="9" hidden="1"/>
    <cellStyle name="Followed Hyperlink" xfId="12607" builtinId="9" hidden="1"/>
    <cellStyle name="Followed Hyperlink" xfId="12609" builtinId="9" hidden="1"/>
    <cellStyle name="Followed Hyperlink" xfId="12611" builtinId="9" hidden="1"/>
    <cellStyle name="Followed Hyperlink" xfId="12613" builtinId="9" hidden="1"/>
    <cellStyle name="Followed Hyperlink" xfId="12615" builtinId="9" hidden="1"/>
    <cellStyle name="Followed Hyperlink" xfId="12617" builtinId="9" hidden="1"/>
    <cellStyle name="Followed Hyperlink" xfId="12619" builtinId="9" hidden="1"/>
    <cellStyle name="Followed Hyperlink" xfId="12621" builtinId="9" hidden="1"/>
    <cellStyle name="Followed Hyperlink" xfId="12623" builtinId="9" hidden="1"/>
    <cellStyle name="Followed Hyperlink" xfId="12625" builtinId="9" hidden="1"/>
    <cellStyle name="Followed Hyperlink" xfId="12627" builtinId="9" hidden="1"/>
    <cellStyle name="Followed Hyperlink" xfId="12629" builtinId="9" hidden="1"/>
    <cellStyle name="Followed Hyperlink" xfId="12631" builtinId="9" hidden="1"/>
    <cellStyle name="Followed Hyperlink" xfId="12633" builtinId="9" hidden="1"/>
    <cellStyle name="Followed Hyperlink" xfId="12635" builtinId="9" hidden="1"/>
    <cellStyle name="Followed Hyperlink" xfId="12637" builtinId="9" hidden="1"/>
    <cellStyle name="Followed Hyperlink" xfId="12639" builtinId="9" hidden="1"/>
    <cellStyle name="Followed Hyperlink" xfId="12641" builtinId="9" hidden="1"/>
    <cellStyle name="Followed Hyperlink" xfId="12643" builtinId="9" hidden="1"/>
    <cellStyle name="Followed Hyperlink" xfId="12645" builtinId="9" hidden="1"/>
    <cellStyle name="Followed Hyperlink" xfId="12647" builtinId="9" hidden="1"/>
    <cellStyle name="Followed Hyperlink" xfId="12649" builtinId="9" hidden="1"/>
    <cellStyle name="Followed Hyperlink" xfId="12651" builtinId="9" hidden="1"/>
    <cellStyle name="Followed Hyperlink" xfId="12653" builtinId="9" hidden="1"/>
    <cellStyle name="Followed Hyperlink" xfId="12655" builtinId="9" hidden="1"/>
    <cellStyle name="Followed Hyperlink" xfId="12657" builtinId="9" hidden="1"/>
    <cellStyle name="Followed Hyperlink" xfId="12659" builtinId="9" hidden="1"/>
    <cellStyle name="Followed Hyperlink" xfId="12661" builtinId="9" hidden="1"/>
    <cellStyle name="Followed Hyperlink" xfId="12663" builtinId="9" hidden="1"/>
    <cellStyle name="Followed Hyperlink" xfId="12665" builtinId="9" hidden="1"/>
    <cellStyle name="Followed Hyperlink" xfId="12667" builtinId="9" hidden="1"/>
    <cellStyle name="Followed Hyperlink" xfId="12669" builtinId="9" hidden="1"/>
    <cellStyle name="Followed Hyperlink" xfId="12671" builtinId="9" hidden="1"/>
    <cellStyle name="Followed Hyperlink" xfId="12673" builtinId="9" hidden="1"/>
    <cellStyle name="Followed Hyperlink" xfId="12675" builtinId="9" hidden="1"/>
    <cellStyle name="Followed Hyperlink" xfId="12677" builtinId="9" hidden="1"/>
    <cellStyle name="Followed Hyperlink" xfId="12679" builtinId="9" hidden="1"/>
    <cellStyle name="Followed Hyperlink" xfId="12681" builtinId="9" hidden="1"/>
    <cellStyle name="Followed Hyperlink" xfId="12683" builtinId="9" hidden="1"/>
    <cellStyle name="Followed Hyperlink" xfId="12685" builtinId="9" hidden="1"/>
    <cellStyle name="Followed Hyperlink" xfId="12687" builtinId="9" hidden="1"/>
    <cellStyle name="Followed Hyperlink" xfId="12689" builtinId="9" hidden="1"/>
    <cellStyle name="Followed Hyperlink" xfId="12691" builtinId="9" hidden="1"/>
    <cellStyle name="Followed Hyperlink" xfId="12693" builtinId="9" hidden="1"/>
    <cellStyle name="Followed Hyperlink" xfId="12695" builtinId="9" hidden="1"/>
    <cellStyle name="Followed Hyperlink" xfId="12697" builtinId="9" hidden="1"/>
    <cellStyle name="Followed Hyperlink" xfId="12699" builtinId="9" hidden="1"/>
    <cellStyle name="Followed Hyperlink" xfId="12701" builtinId="9" hidden="1"/>
    <cellStyle name="Followed Hyperlink" xfId="12703" builtinId="9" hidden="1"/>
    <cellStyle name="Followed Hyperlink" xfId="12705" builtinId="9" hidden="1"/>
    <cellStyle name="Followed Hyperlink" xfId="12707" builtinId="9" hidden="1"/>
    <cellStyle name="Followed Hyperlink" xfId="12709" builtinId="9" hidden="1"/>
    <cellStyle name="Followed Hyperlink" xfId="12711" builtinId="9" hidden="1"/>
    <cellStyle name="Followed Hyperlink" xfId="12713" builtinId="9" hidden="1"/>
    <cellStyle name="Followed Hyperlink" xfId="12715" builtinId="9" hidden="1"/>
    <cellStyle name="Followed Hyperlink" xfId="12717" builtinId="9" hidden="1"/>
    <cellStyle name="Followed Hyperlink" xfId="12719" builtinId="9" hidden="1"/>
    <cellStyle name="Followed Hyperlink" xfId="12721" builtinId="9" hidden="1"/>
    <cellStyle name="Followed Hyperlink" xfId="12723" builtinId="9" hidden="1"/>
    <cellStyle name="Followed Hyperlink" xfId="12725" builtinId="9" hidden="1"/>
    <cellStyle name="Followed Hyperlink" xfId="12727" builtinId="9" hidden="1"/>
    <cellStyle name="Followed Hyperlink" xfId="12729" builtinId="9" hidden="1"/>
    <cellStyle name="Followed Hyperlink" xfId="12731" builtinId="9" hidden="1"/>
    <cellStyle name="Followed Hyperlink" xfId="12733" builtinId="9" hidden="1"/>
    <cellStyle name="Followed Hyperlink" xfId="12735" builtinId="9" hidden="1"/>
    <cellStyle name="Followed Hyperlink" xfId="12737" builtinId="9" hidden="1"/>
    <cellStyle name="Followed Hyperlink" xfId="12739" builtinId="9" hidden="1"/>
    <cellStyle name="Followed Hyperlink" xfId="12741" builtinId="9" hidden="1"/>
    <cellStyle name="Followed Hyperlink" xfId="12743" builtinId="9" hidden="1"/>
    <cellStyle name="Followed Hyperlink" xfId="12745" builtinId="9" hidden="1"/>
    <cellStyle name="Followed Hyperlink" xfId="12747" builtinId="9" hidden="1"/>
    <cellStyle name="Followed Hyperlink" xfId="12749" builtinId="9" hidden="1"/>
    <cellStyle name="Followed Hyperlink" xfId="12751" builtinId="9" hidden="1"/>
    <cellStyle name="Followed Hyperlink" xfId="12753" builtinId="9" hidden="1"/>
    <cellStyle name="Followed Hyperlink" xfId="12755" builtinId="9" hidden="1"/>
    <cellStyle name="Followed Hyperlink" xfId="12757" builtinId="9" hidden="1"/>
    <cellStyle name="Followed Hyperlink" xfId="12759" builtinId="9" hidden="1"/>
    <cellStyle name="Followed Hyperlink" xfId="12761" builtinId="9" hidden="1"/>
    <cellStyle name="Followed Hyperlink" xfId="12763" builtinId="9" hidden="1"/>
    <cellStyle name="Followed Hyperlink" xfId="12765" builtinId="9" hidden="1"/>
    <cellStyle name="Followed Hyperlink" xfId="12767" builtinId="9" hidden="1"/>
    <cellStyle name="Followed Hyperlink" xfId="12769" builtinId="9" hidden="1"/>
    <cellStyle name="Followed Hyperlink" xfId="12771" builtinId="9" hidden="1"/>
    <cellStyle name="Followed Hyperlink" xfId="12773" builtinId="9" hidden="1"/>
    <cellStyle name="Followed Hyperlink" xfId="12775" builtinId="9" hidden="1"/>
    <cellStyle name="Followed Hyperlink" xfId="12777" builtinId="9" hidden="1"/>
    <cellStyle name="Followed Hyperlink" xfId="12779" builtinId="9" hidden="1"/>
    <cellStyle name="Followed Hyperlink" xfId="12781" builtinId="9" hidden="1"/>
    <cellStyle name="Followed Hyperlink" xfId="12783" builtinId="9" hidden="1"/>
    <cellStyle name="Followed Hyperlink" xfId="12785" builtinId="9" hidden="1"/>
    <cellStyle name="Followed Hyperlink" xfId="12787" builtinId="9" hidden="1"/>
    <cellStyle name="Followed Hyperlink" xfId="12789" builtinId="9" hidden="1"/>
    <cellStyle name="Followed Hyperlink" xfId="12791" builtinId="9" hidden="1"/>
    <cellStyle name="Followed Hyperlink" xfId="12793" builtinId="9" hidden="1"/>
    <cellStyle name="Followed Hyperlink" xfId="12795" builtinId="9" hidden="1"/>
    <cellStyle name="Followed Hyperlink" xfId="12797" builtinId="9" hidden="1"/>
    <cellStyle name="Followed Hyperlink" xfId="12799" builtinId="9" hidden="1"/>
    <cellStyle name="Followed Hyperlink" xfId="12801" builtinId="9" hidden="1"/>
    <cellStyle name="Followed Hyperlink" xfId="12803" builtinId="9" hidden="1"/>
    <cellStyle name="Followed Hyperlink" xfId="12805" builtinId="9" hidden="1"/>
    <cellStyle name="Followed Hyperlink" xfId="12807" builtinId="9" hidden="1"/>
    <cellStyle name="Followed Hyperlink" xfId="12809" builtinId="9" hidden="1"/>
    <cellStyle name="Followed Hyperlink" xfId="12811" builtinId="9" hidden="1"/>
    <cellStyle name="Followed Hyperlink" xfId="12813" builtinId="9" hidden="1"/>
    <cellStyle name="Followed Hyperlink" xfId="12815" builtinId="9" hidden="1"/>
    <cellStyle name="Followed Hyperlink" xfId="12817" builtinId="9" hidden="1"/>
    <cellStyle name="Followed Hyperlink" xfId="12819" builtinId="9" hidden="1"/>
    <cellStyle name="Followed Hyperlink" xfId="12821" builtinId="9" hidden="1"/>
    <cellStyle name="Followed Hyperlink" xfId="12823" builtinId="9" hidden="1"/>
    <cellStyle name="Followed Hyperlink" xfId="12825" builtinId="9" hidden="1"/>
    <cellStyle name="Followed Hyperlink" xfId="12827" builtinId="9" hidden="1"/>
    <cellStyle name="Followed Hyperlink" xfId="12829" builtinId="9" hidden="1"/>
    <cellStyle name="Followed Hyperlink" xfId="12831" builtinId="9" hidden="1"/>
    <cellStyle name="Followed Hyperlink" xfId="12833" builtinId="9" hidden="1"/>
    <cellStyle name="Followed Hyperlink" xfId="12835" builtinId="9" hidden="1"/>
    <cellStyle name="Followed Hyperlink" xfId="12837" builtinId="9" hidden="1"/>
    <cellStyle name="Followed Hyperlink" xfId="12839" builtinId="9" hidden="1"/>
    <cellStyle name="Followed Hyperlink" xfId="12841" builtinId="9" hidden="1"/>
    <cellStyle name="Followed Hyperlink" xfId="12843" builtinId="9" hidden="1"/>
    <cellStyle name="Followed Hyperlink" xfId="12845" builtinId="9" hidden="1"/>
    <cellStyle name="Followed Hyperlink" xfId="12847" builtinId="9" hidden="1"/>
    <cellStyle name="Followed Hyperlink" xfId="12849" builtinId="9" hidden="1"/>
    <cellStyle name="Followed Hyperlink" xfId="12851" builtinId="9" hidden="1"/>
    <cellStyle name="Followed Hyperlink" xfId="12853" builtinId="9" hidden="1"/>
    <cellStyle name="Followed Hyperlink" xfId="12855" builtinId="9" hidden="1"/>
    <cellStyle name="Followed Hyperlink" xfId="12857" builtinId="9" hidden="1"/>
    <cellStyle name="Followed Hyperlink" xfId="12859" builtinId="9" hidden="1"/>
    <cellStyle name="Followed Hyperlink" xfId="12861" builtinId="9" hidden="1"/>
    <cellStyle name="Followed Hyperlink" xfId="12863" builtinId="9" hidden="1"/>
    <cellStyle name="Followed Hyperlink" xfId="12865" builtinId="9" hidden="1"/>
    <cellStyle name="Followed Hyperlink" xfId="12867" builtinId="9" hidden="1"/>
    <cellStyle name="Followed Hyperlink" xfId="12869" builtinId="9" hidden="1"/>
    <cellStyle name="Followed Hyperlink" xfId="12871" builtinId="9" hidden="1"/>
    <cellStyle name="Followed Hyperlink" xfId="12873" builtinId="9" hidden="1"/>
    <cellStyle name="Followed Hyperlink" xfId="12875" builtinId="9" hidden="1"/>
    <cellStyle name="Followed Hyperlink" xfId="12877" builtinId="9" hidden="1"/>
    <cellStyle name="Followed Hyperlink" xfId="12879" builtinId="9" hidden="1"/>
    <cellStyle name="Followed Hyperlink" xfId="12881" builtinId="9" hidden="1"/>
    <cellStyle name="Followed Hyperlink" xfId="12883" builtinId="9" hidden="1"/>
    <cellStyle name="Followed Hyperlink" xfId="12885" builtinId="9" hidden="1"/>
    <cellStyle name="Followed Hyperlink" xfId="12887" builtinId="9" hidden="1"/>
    <cellStyle name="Followed Hyperlink" xfId="12889" builtinId="9" hidden="1"/>
    <cellStyle name="Followed Hyperlink" xfId="12891" builtinId="9" hidden="1"/>
    <cellStyle name="Followed Hyperlink" xfId="12893" builtinId="9" hidden="1"/>
    <cellStyle name="Followed Hyperlink" xfId="12895" builtinId="9" hidden="1"/>
    <cellStyle name="Followed Hyperlink" xfId="12897" builtinId="9" hidden="1"/>
    <cellStyle name="Followed Hyperlink" xfId="12899" builtinId="9" hidden="1"/>
    <cellStyle name="Followed Hyperlink" xfId="12901" builtinId="9" hidden="1"/>
    <cellStyle name="Followed Hyperlink" xfId="12903" builtinId="9" hidden="1"/>
    <cellStyle name="Followed Hyperlink" xfId="12905" builtinId="9" hidden="1"/>
    <cellStyle name="Followed Hyperlink" xfId="12907" builtinId="9" hidden="1"/>
    <cellStyle name="Followed Hyperlink" xfId="12909" builtinId="9" hidden="1"/>
    <cellStyle name="Followed Hyperlink" xfId="12911" builtinId="9" hidden="1"/>
    <cellStyle name="Followed Hyperlink" xfId="12913" builtinId="9" hidden="1"/>
    <cellStyle name="Followed Hyperlink" xfId="12915" builtinId="9" hidden="1"/>
    <cellStyle name="Followed Hyperlink" xfId="12917" builtinId="9" hidden="1"/>
    <cellStyle name="Followed Hyperlink" xfId="12919" builtinId="9" hidden="1"/>
    <cellStyle name="Followed Hyperlink" xfId="12921" builtinId="9" hidden="1"/>
    <cellStyle name="Followed Hyperlink" xfId="12923" builtinId="9" hidden="1"/>
    <cellStyle name="Followed Hyperlink" xfId="12925" builtinId="9" hidden="1"/>
    <cellStyle name="Followed Hyperlink" xfId="12927" builtinId="9" hidden="1"/>
    <cellStyle name="Followed Hyperlink" xfId="12929" builtinId="9" hidden="1"/>
    <cellStyle name="Followed Hyperlink" xfId="12931" builtinId="9" hidden="1"/>
    <cellStyle name="Followed Hyperlink" xfId="12933" builtinId="9" hidden="1"/>
    <cellStyle name="Followed Hyperlink" xfId="12935" builtinId="9" hidden="1"/>
    <cellStyle name="Followed Hyperlink" xfId="12937" builtinId="9" hidden="1"/>
    <cellStyle name="Followed Hyperlink" xfId="12939" builtinId="9" hidden="1"/>
    <cellStyle name="Followed Hyperlink" xfId="12941" builtinId="9" hidden="1"/>
    <cellStyle name="Followed Hyperlink" xfId="12943" builtinId="9" hidden="1"/>
    <cellStyle name="Followed Hyperlink" xfId="12945" builtinId="9" hidden="1"/>
    <cellStyle name="Followed Hyperlink" xfId="12947" builtinId="9" hidden="1"/>
    <cellStyle name="Followed Hyperlink" xfId="12949" builtinId="9" hidden="1"/>
    <cellStyle name="Followed Hyperlink" xfId="12951" builtinId="9" hidden="1"/>
    <cellStyle name="Followed Hyperlink" xfId="12953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2967" builtinId="9" hidden="1"/>
    <cellStyle name="Followed Hyperlink" xfId="12969" builtinId="9" hidden="1"/>
    <cellStyle name="Followed Hyperlink" xfId="12971" builtinId="9" hidden="1"/>
    <cellStyle name="Followed Hyperlink" xfId="12973" builtinId="9" hidden="1"/>
    <cellStyle name="Followed Hyperlink" xfId="12975" builtinId="9" hidden="1"/>
    <cellStyle name="Followed Hyperlink" xfId="12977" builtinId="9" hidden="1"/>
    <cellStyle name="Followed Hyperlink" xfId="12979" builtinId="9" hidden="1"/>
    <cellStyle name="Followed Hyperlink" xfId="12981" builtinId="9" hidden="1"/>
    <cellStyle name="Followed Hyperlink" xfId="12983" builtinId="9" hidden="1"/>
    <cellStyle name="Followed Hyperlink" xfId="12985" builtinId="9" hidden="1"/>
    <cellStyle name="Followed Hyperlink" xfId="12987" builtinId="9" hidden="1"/>
    <cellStyle name="Followed Hyperlink" xfId="12989" builtinId="9" hidden="1"/>
    <cellStyle name="Followed Hyperlink" xfId="12991" builtinId="9" hidden="1"/>
    <cellStyle name="Followed Hyperlink" xfId="12993" builtinId="9" hidden="1"/>
    <cellStyle name="Followed Hyperlink" xfId="12995" builtinId="9" hidden="1"/>
    <cellStyle name="Followed Hyperlink" xfId="12997" builtinId="9" hidden="1"/>
    <cellStyle name="Followed Hyperlink" xfId="12999" builtinId="9" hidden="1"/>
    <cellStyle name="Followed Hyperlink" xfId="13001" builtinId="9" hidden="1"/>
    <cellStyle name="Followed Hyperlink" xfId="13003" builtinId="9" hidden="1"/>
    <cellStyle name="Followed Hyperlink" xfId="13005" builtinId="9" hidden="1"/>
    <cellStyle name="Followed Hyperlink" xfId="13007" builtinId="9" hidden="1"/>
    <cellStyle name="Followed Hyperlink" xfId="13009" builtinId="9" hidden="1"/>
    <cellStyle name="Followed Hyperlink" xfId="13011" builtinId="9" hidden="1"/>
    <cellStyle name="Followed Hyperlink" xfId="13013" builtinId="9" hidden="1"/>
    <cellStyle name="Followed Hyperlink" xfId="13015" builtinId="9" hidden="1"/>
    <cellStyle name="Followed Hyperlink" xfId="13017" builtinId="9" hidden="1"/>
    <cellStyle name="Followed Hyperlink" xfId="13019" builtinId="9" hidden="1"/>
    <cellStyle name="Followed Hyperlink" xfId="13021" builtinId="9" hidden="1"/>
    <cellStyle name="Followed Hyperlink" xfId="13023" builtinId="9" hidden="1"/>
    <cellStyle name="Followed Hyperlink" xfId="13025" builtinId="9" hidden="1"/>
    <cellStyle name="Followed Hyperlink" xfId="13027" builtinId="9" hidden="1"/>
    <cellStyle name="Followed Hyperlink" xfId="13029" builtinId="9" hidden="1"/>
    <cellStyle name="Followed Hyperlink" xfId="13031" builtinId="9" hidden="1"/>
    <cellStyle name="Followed Hyperlink" xfId="13033" builtinId="9" hidden="1"/>
    <cellStyle name="Followed Hyperlink" xfId="13035" builtinId="9" hidden="1"/>
    <cellStyle name="Followed Hyperlink" xfId="13037" builtinId="9" hidden="1"/>
    <cellStyle name="Followed Hyperlink" xfId="13039" builtinId="9" hidden="1"/>
    <cellStyle name="Followed Hyperlink" xfId="13041" builtinId="9" hidden="1"/>
    <cellStyle name="Followed Hyperlink" xfId="13043" builtinId="9" hidden="1"/>
    <cellStyle name="Followed Hyperlink" xfId="13045" builtinId="9" hidden="1"/>
    <cellStyle name="Followed Hyperlink" xfId="13047" builtinId="9" hidden="1"/>
    <cellStyle name="Followed Hyperlink" xfId="13049" builtinId="9" hidden="1"/>
    <cellStyle name="Followed Hyperlink" xfId="13051" builtinId="9" hidden="1"/>
    <cellStyle name="Followed Hyperlink" xfId="13053" builtinId="9" hidden="1"/>
    <cellStyle name="Followed Hyperlink" xfId="13055" builtinId="9" hidden="1"/>
    <cellStyle name="Followed Hyperlink" xfId="13057" builtinId="9" hidden="1"/>
    <cellStyle name="Followed Hyperlink" xfId="13059" builtinId="9" hidden="1"/>
    <cellStyle name="Followed Hyperlink" xfId="13061" builtinId="9" hidden="1"/>
    <cellStyle name="Followed Hyperlink" xfId="13063" builtinId="9" hidden="1"/>
    <cellStyle name="Followed Hyperlink" xfId="13065" builtinId="9" hidden="1"/>
    <cellStyle name="Followed Hyperlink" xfId="13067" builtinId="9" hidden="1"/>
    <cellStyle name="Followed Hyperlink" xfId="13069" builtinId="9" hidden="1"/>
    <cellStyle name="Followed Hyperlink" xfId="13071" builtinId="9" hidden="1"/>
    <cellStyle name="Followed Hyperlink" xfId="13073" builtinId="9" hidden="1"/>
    <cellStyle name="Followed Hyperlink" xfId="13075" builtinId="9" hidden="1"/>
    <cellStyle name="Followed Hyperlink" xfId="13077" builtinId="9" hidden="1"/>
    <cellStyle name="Followed Hyperlink" xfId="13079" builtinId="9" hidden="1"/>
    <cellStyle name="Followed Hyperlink" xfId="13081" builtinId="9" hidden="1"/>
    <cellStyle name="Followed Hyperlink" xfId="13083" builtinId="9" hidden="1"/>
    <cellStyle name="Followed Hyperlink" xfId="13085" builtinId="9" hidden="1"/>
    <cellStyle name="Followed Hyperlink" xfId="13087" builtinId="9" hidden="1"/>
    <cellStyle name="Followed Hyperlink" xfId="13089" builtinId="9" hidden="1"/>
    <cellStyle name="Followed Hyperlink" xfId="13091" builtinId="9" hidden="1"/>
    <cellStyle name="Followed Hyperlink" xfId="13093" builtinId="9" hidden="1"/>
    <cellStyle name="Followed Hyperlink" xfId="13095" builtinId="9" hidden="1"/>
    <cellStyle name="Followed Hyperlink" xfId="13097" builtinId="9" hidden="1"/>
    <cellStyle name="Followed Hyperlink" xfId="13099" builtinId="9" hidden="1"/>
    <cellStyle name="Followed Hyperlink" xfId="13101" builtinId="9" hidden="1"/>
    <cellStyle name="Followed Hyperlink" xfId="13103" builtinId="9" hidden="1"/>
    <cellStyle name="Followed Hyperlink" xfId="13105" builtinId="9" hidden="1"/>
    <cellStyle name="Followed Hyperlink" xfId="13107" builtinId="9" hidden="1"/>
    <cellStyle name="Followed Hyperlink" xfId="13109" builtinId="9" hidden="1"/>
    <cellStyle name="Followed Hyperlink" xfId="13111" builtinId="9" hidden="1"/>
    <cellStyle name="Followed Hyperlink" xfId="13113" builtinId="9" hidden="1"/>
    <cellStyle name="Followed Hyperlink" xfId="13115" builtinId="9" hidden="1"/>
    <cellStyle name="Followed Hyperlink" xfId="13117" builtinId="9" hidden="1"/>
    <cellStyle name="Followed Hyperlink" xfId="13119" builtinId="9" hidden="1"/>
    <cellStyle name="Followed Hyperlink" xfId="13121" builtinId="9" hidden="1"/>
    <cellStyle name="Followed Hyperlink" xfId="13123" builtinId="9" hidden="1"/>
    <cellStyle name="Followed Hyperlink" xfId="13125" builtinId="9" hidden="1"/>
    <cellStyle name="Followed Hyperlink" xfId="13127" builtinId="9" hidden="1"/>
    <cellStyle name="Followed Hyperlink" xfId="13129" builtinId="9" hidden="1"/>
    <cellStyle name="Followed Hyperlink" xfId="13131" builtinId="9" hidden="1"/>
    <cellStyle name="Followed Hyperlink" xfId="13133" builtinId="9" hidden="1"/>
    <cellStyle name="Followed Hyperlink" xfId="13135" builtinId="9" hidden="1"/>
    <cellStyle name="Followed Hyperlink" xfId="13137" builtinId="9" hidden="1"/>
    <cellStyle name="Followed Hyperlink" xfId="13139" builtinId="9" hidden="1"/>
    <cellStyle name="Followed Hyperlink" xfId="13141" builtinId="9" hidden="1"/>
    <cellStyle name="Followed Hyperlink" xfId="13143" builtinId="9" hidden="1"/>
    <cellStyle name="Followed Hyperlink" xfId="13145" builtinId="9" hidden="1"/>
    <cellStyle name="Followed Hyperlink" xfId="13147" builtinId="9" hidden="1"/>
    <cellStyle name="Followed Hyperlink" xfId="13149" builtinId="9" hidden="1"/>
    <cellStyle name="Followed Hyperlink" xfId="13151" builtinId="9" hidden="1"/>
    <cellStyle name="Followed Hyperlink" xfId="13153" builtinId="9" hidden="1"/>
    <cellStyle name="Followed Hyperlink" xfId="13155" builtinId="9" hidden="1"/>
    <cellStyle name="Followed Hyperlink" xfId="13157" builtinId="9" hidden="1"/>
    <cellStyle name="Followed Hyperlink" xfId="13159" builtinId="9" hidden="1"/>
    <cellStyle name="Followed Hyperlink" xfId="13161" builtinId="9" hidden="1"/>
    <cellStyle name="Followed Hyperlink" xfId="13163" builtinId="9" hidden="1"/>
    <cellStyle name="Followed Hyperlink" xfId="13165" builtinId="9" hidden="1"/>
    <cellStyle name="Followed Hyperlink" xfId="13167" builtinId="9" hidden="1"/>
    <cellStyle name="Followed Hyperlink" xfId="13169" builtinId="9" hidden="1"/>
    <cellStyle name="Followed Hyperlink" xfId="13171" builtinId="9" hidden="1"/>
    <cellStyle name="Followed Hyperlink" xfId="13173" builtinId="9" hidden="1"/>
    <cellStyle name="Followed Hyperlink" xfId="13175" builtinId="9" hidden="1"/>
    <cellStyle name="Followed Hyperlink" xfId="13177" builtinId="9" hidden="1"/>
    <cellStyle name="Followed Hyperlink" xfId="13179" builtinId="9" hidden="1"/>
    <cellStyle name="Followed Hyperlink" xfId="13181" builtinId="9" hidden="1"/>
    <cellStyle name="Followed Hyperlink" xfId="13183" builtinId="9" hidden="1"/>
    <cellStyle name="Followed Hyperlink" xfId="13185" builtinId="9" hidden="1"/>
    <cellStyle name="Followed Hyperlink" xfId="13187" builtinId="9" hidden="1"/>
    <cellStyle name="Followed Hyperlink" xfId="13189" builtinId="9" hidden="1"/>
    <cellStyle name="Followed Hyperlink" xfId="13191" builtinId="9" hidden="1"/>
    <cellStyle name="Followed Hyperlink" xfId="13193" builtinId="9" hidden="1"/>
    <cellStyle name="Followed Hyperlink" xfId="13195" builtinId="9" hidden="1"/>
    <cellStyle name="Followed Hyperlink" xfId="13197" builtinId="9" hidden="1"/>
    <cellStyle name="Followed Hyperlink" xfId="13199" builtinId="9" hidden="1"/>
    <cellStyle name="Followed Hyperlink" xfId="13201" builtinId="9" hidden="1"/>
    <cellStyle name="Followed Hyperlink" xfId="13203" builtinId="9" hidden="1"/>
    <cellStyle name="Followed Hyperlink" xfId="13205" builtinId="9" hidden="1"/>
    <cellStyle name="Followed Hyperlink" xfId="13207" builtinId="9" hidden="1"/>
    <cellStyle name="Followed Hyperlink" xfId="13209" builtinId="9" hidden="1"/>
    <cellStyle name="Followed Hyperlink" xfId="13211" builtinId="9" hidden="1"/>
    <cellStyle name="Followed Hyperlink" xfId="13213" builtinId="9" hidden="1"/>
    <cellStyle name="Followed Hyperlink" xfId="13215" builtinId="9" hidden="1"/>
    <cellStyle name="Followed Hyperlink" xfId="13217" builtinId="9" hidden="1"/>
    <cellStyle name="Followed Hyperlink" xfId="13219" builtinId="9" hidden="1"/>
    <cellStyle name="Followed Hyperlink" xfId="13221" builtinId="9" hidden="1"/>
    <cellStyle name="Followed Hyperlink" xfId="13223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231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239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247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255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263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271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279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13287" builtinId="9" hidden="1"/>
    <cellStyle name="Followed Hyperlink" xfId="13289" builtinId="9" hidden="1"/>
    <cellStyle name="Followed Hyperlink" xfId="13291" builtinId="9" hidden="1"/>
    <cellStyle name="Followed Hyperlink" xfId="13293" builtinId="9" hidden="1"/>
    <cellStyle name="Followed Hyperlink" xfId="13295" builtinId="9" hidden="1"/>
    <cellStyle name="Followed Hyperlink" xfId="13297" builtinId="9" hidden="1"/>
    <cellStyle name="Followed Hyperlink" xfId="13299" builtinId="9" hidden="1"/>
    <cellStyle name="Followed Hyperlink" xfId="13301" builtinId="9" hidden="1"/>
    <cellStyle name="Followed Hyperlink" xfId="13303" builtinId="9" hidden="1"/>
    <cellStyle name="Followed Hyperlink" xfId="13305" builtinId="9" hidden="1"/>
    <cellStyle name="Followed Hyperlink" xfId="13307" builtinId="9" hidden="1"/>
    <cellStyle name="Followed Hyperlink" xfId="13309" builtinId="9" hidden="1"/>
    <cellStyle name="Followed Hyperlink" xfId="13311" builtinId="9" hidden="1"/>
    <cellStyle name="Followed Hyperlink" xfId="13313" builtinId="9" hidden="1"/>
    <cellStyle name="Followed Hyperlink" xfId="13315" builtinId="9" hidden="1"/>
    <cellStyle name="Followed Hyperlink" xfId="13317" builtinId="9" hidden="1"/>
    <cellStyle name="Followed Hyperlink" xfId="13319" builtinId="9" hidden="1"/>
    <cellStyle name="Followed Hyperlink" xfId="13321" builtinId="9" hidden="1"/>
    <cellStyle name="Followed Hyperlink" xfId="13323" builtinId="9" hidden="1"/>
    <cellStyle name="Followed Hyperlink" xfId="13325" builtinId="9" hidden="1"/>
    <cellStyle name="Followed Hyperlink" xfId="13327" builtinId="9" hidden="1"/>
    <cellStyle name="Followed Hyperlink" xfId="13329" builtinId="9" hidden="1"/>
    <cellStyle name="Followed Hyperlink" xfId="13331" builtinId="9" hidden="1"/>
    <cellStyle name="Followed Hyperlink" xfId="13333" builtinId="9" hidden="1"/>
    <cellStyle name="Followed Hyperlink" xfId="13335" builtinId="9" hidden="1"/>
    <cellStyle name="Followed Hyperlink" xfId="13337" builtinId="9" hidden="1"/>
    <cellStyle name="Followed Hyperlink" xfId="13339" builtinId="9" hidden="1"/>
    <cellStyle name="Followed Hyperlink" xfId="13341" builtinId="9" hidden="1"/>
    <cellStyle name="Followed Hyperlink" xfId="13343" builtinId="9" hidden="1"/>
    <cellStyle name="Followed Hyperlink" xfId="13345" builtinId="9" hidden="1"/>
    <cellStyle name="Followed Hyperlink" xfId="13347" builtinId="9" hidden="1"/>
    <cellStyle name="Followed Hyperlink" xfId="13349" builtinId="9" hidden="1"/>
    <cellStyle name="Followed Hyperlink" xfId="13351" builtinId="9" hidden="1"/>
    <cellStyle name="Followed Hyperlink" xfId="13353" builtinId="9" hidden="1"/>
    <cellStyle name="Followed Hyperlink" xfId="13355" builtinId="9" hidden="1"/>
    <cellStyle name="Followed Hyperlink" xfId="13357" builtinId="9" hidden="1"/>
    <cellStyle name="Followed Hyperlink" xfId="13359" builtinId="9" hidden="1"/>
    <cellStyle name="Followed Hyperlink" xfId="13361" builtinId="9" hidden="1"/>
    <cellStyle name="Followed Hyperlink" xfId="13363" builtinId="9" hidden="1"/>
    <cellStyle name="Followed Hyperlink" xfId="13365" builtinId="9" hidden="1"/>
    <cellStyle name="Followed Hyperlink" xfId="13367" builtinId="9" hidden="1"/>
    <cellStyle name="Followed Hyperlink" xfId="13369" builtinId="9" hidden="1"/>
    <cellStyle name="Followed Hyperlink" xfId="13371" builtinId="9" hidden="1"/>
    <cellStyle name="Followed Hyperlink" xfId="13373" builtinId="9" hidden="1"/>
    <cellStyle name="Followed Hyperlink" xfId="13375" builtinId="9" hidden="1"/>
    <cellStyle name="Followed Hyperlink" xfId="13377" builtinId="9" hidden="1"/>
    <cellStyle name="Followed Hyperlink" xfId="13379" builtinId="9" hidden="1"/>
    <cellStyle name="Followed Hyperlink" xfId="13381" builtinId="9" hidden="1"/>
    <cellStyle name="Followed Hyperlink" xfId="13383" builtinId="9" hidden="1"/>
    <cellStyle name="Followed Hyperlink" xfId="13385" builtinId="9" hidden="1"/>
    <cellStyle name="Followed Hyperlink" xfId="13387" builtinId="9" hidden="1"/>
    <cellStyle name="Followed Hyperlink" xfId="13389" builtinId="9" hidden="1"/>
    <cellStyle name="Followed Hyperlink" xfId="13391" builtinId="9" hidden="1"/>
    <cellStyle name="Followed Hyperlink" xfId="13393" builtinId="9" hidden="1"/>
    <cellStyle name="Followed Hyperlink" xfId="13395" builtinId="9" hidden="1"/>
    <cellStyle name="Followed Hyperlink" xfId="13397" builtinId="9" hidden="1"/>
    <cellStyle name="Followed Hyperlink" xfId="13399" builtinId="9" hidden="1"/>
    <cellStyle name="Followed Hyperlink" xfId="13401" builtinId="9" hidden="1"/>
    <cellStyle name="Followed Hyperlink" xfId="13403" builtinId="9" hidden="1"/>
    <cellStyle name="Followed Hyperlink" xfId="13405" builtinId="9" hidden="1"/>
    <cellStyle name="Followed Hyperlink" xfId="13407" builtinId="9" hidden="1"/>
    <cellStyle name="Followed Hyperlink" xfId="13409" builtinId="9" hidden="1"/>
    <cellStyle name="Followed Hyperlink" xfId="13411" builtinId="9" hidden="1"/>
    <cellStyle name="Followed Hyperlink" xfId="13413" builtinId="9" hidden="1"/>
    <cellStyle name="Followed Hyperlink" xfId="13415" builtinId="9" hidden="1"/>
    <cellStyle name="Followed Hyperlink" xfId="13417" builtinId="9" hidden="1"/>
    <cellStyle name="Followed Hyperlink" xfId="13419" builtinId="9" hidden="1"/>
    <cellStyle name="Followed Hyperlink" xfId="13421" builtinId="9" hidden="1"/>
    <cellStyle name="Followed Hyperlink" xfId="13423" builtinId="9" hidden="1"/>
    <cellStyle name="Followed Hyperlink" xfId="13425" builtinId="9" hidden="1"/>
    <cellStyle name="Followed Hyperlink" xfId="13427" builtinId="9" hidden="1"/>
    <cellStyle name="Followed Hyperlink" xfId="13429" builtinId="9" hidden="1"/>
    <cellStyle name="Followed Hyperlink" xfId="13431" builtinId="9" hidden="1"/>
    <cellStyle name="Followed Hyperlink" xfId="13433" builtinId="9" hidden="1"/>
    <cellStyle name="Followed Hyperlink" xfId="13435" builtinId="9" hidden="1"/>
    <cellStyle name="Followed Hyperlink" xfId="13437" builtinId="9" hidden="1"/>
    <cellStyle name="Followed Hyperlink" xfId="13439" builtinId="9" hidden="1"/>
    <cellStyle name="Followed Hyperlink" xfId="13441" builtinId="9" hidden="1"/>
    <cellStyle name="Followed Hyperlink" xfId="13443" builtinId="9" hidden="1"/>
    <cellStyle name="Followed Hyperlink" xfId="13445" builtinId="9" hidden="1"/>
    <cellStyle name="Followed Hyperlink" xfId="13447" builtinId="9" hidden="1"/>
    <cellStyle name="Followed Hyperlink" xfId="13449" builtinId="9" hidden="1"/>
    <cellStyle name="Followed Hyperlink" xfId="13451" builtinId="9" hidden="1"/>
    <cellStyle name="Followed Hyperlink" xfId="13453" builtinId="9" hidden="1"/>
    <cellStyle name="Followed Hyperlink" xfId="13455" builtinId="9" hidden="1"/>
    <cellStyle name="Followed Hyperlink" xfId="13457" builtinId="9" hidden="1"/>
    <cellStyle name="Followed Hyperlink" xfId="13459" builtinId="9" hidden="1"/>
    <cellStyle name="Followed Hyperlink" xfId="13461" builtinId="9" hidden="1"/>
    <cellStyle name="Followed Hyperlink" xfId="13463" builtinId="9" hidden="1"/>
    <cellStyle name="Followed Hyperlink" xfId="13465" builtinId="9" hidden="1"/>
    <cellStyle name="Followed Hyperlink" xfId="13467" builtinId="9" hidden="1"/>
    <cellStyle name="Followed Hyperlink" xfId="13469" builtinId="9" hidden="1"/>
    <cellStyle name="Followed Hyperlink" xfId="13471" builtinId="9" hidden="1"/>
    <cellStyle name="Followed Hyperlink" xfId="13473" builtinId="9" hidden="1"/>
    <cellStyle name="Followed Hyperlink" xfId="13475" builtinId="9" hidden="1"/>
    <cellStyle name="Followed Hyperlink" xfId="13477" builtinId="9" hidden="1"/>
    <cellStyle name="Followed Hyperlink" xfId="13479" builtinId="9" hidden="1"/>
    <cellStyle name="Followed Hyperlink" xfId="13481" builtinId="9" hidden="1"/>
    <cellStyle name="Followed Hyperlink" xfId="13483" builtinId="9" hidden="1"/>
    <cellStyle name="Followed Hyperlink" xfId="13485" builtinId="9" hidden="1"/>
    <cellStyle name="Followed Hyperlink" xfId="13487" builtinId="9" hidden="1"/>
    <cellStyle name="Followed Hyperlink" xfId="13489" builtinId="9" hidden="1"/>
    <cellStyle name="Followed Hyperlink" xfId="13491" builtinId="9" hidden="1"/>
    <cellStyle name="Followed Hyperlink" xfId="13493" builtinId="9" hidden="1"/>
    <cellStyle name="Followed Hyperlink" xfId="13495" builtinId="9" hidden="1"/>
    <cellStyle name="Followed Hyperlink" xfId="13497" builtinId="9" hidden="1"/>
    <cellStyle name="Followed Hyperlink" xfId="13499" builtinId="9" hidden="1"/>
    <cellStyle name="Followed Hyperlink" xfId="13501" builtinId="9" hidden="1"/>
    <cellStyle name="Followed Hyperlink" xfId="13503" builtinId="9" hidden="1"/>
    <cellStyle name="Followed Hyperlink" xfId="13505" builtinId="9" hidden="1"/>
    <cellStyle name="Followed Hyperlink" xfId="13507" builtinId="9" hidden="1"/>
    <cellStyle name="Followed Hyperlink" xfId="13509" builtinId="9" hidden="1"/>
    <cellStyle name="Followed Hyperlink" xfId="13511" builtinId="9" hidden="1"/>
    <cellStyle name="Followed Hyperlink" xfId="13513" builtinId="9" hidden="1"/>
    <cellStyle name="Followed Hyperlink" xfId="13515" builtinId="9" hidden="1"/>
    <cellStyle name="Followed Hyperlink" xfId="13517" builtinId="9" hidden="1"/>
    <cellStyle name="Followed Hyperlink" xfId="13519" builtinId="9" hidden="1"/>
    <cellStyle name="Followed Hyperlink" xfId="13521" builtinId="9" hidden="1"/>
    <cellStyle name="Followed Hyperlink" xfId="13523" builtinId="9" hidden="1"/>
    <cellStyle name="Followed Hyperlink" xfId="13525" builtinId="9" hidden="1"/>
    <cellStyle name="Followed Hyperlink" xfId="13527" builtinId="9" hidden="1"/>
    <cellStyle name="Followed Hyperlink" xfId="13529" builtinId="9" hidden="1"/>
    <cellStyle name="Followed Hyperlink" xfId="13531" builtinId="9" hidden="1"/>
    <cellStyle name="Followed Hyperlink" xfId="13533" builtinId="9" hidden="1"/>
    <cellStyle name="Followed Hyperlink" xfId="13535" builtinId="9" hidden="1"/>
    <cellStyle name="Followed Hyperlink" xfId="13537" builtinId="9" hidden="1"/>
    <cellStyle name="Followed Hyperlink" xfId="13539" builtinId="9" hidden="1"/>
    <cellStyle name="Followed Hyperlink" xfId="13541" builtinId="9" hidden="1"/>
    <cellStyle name="Followed Hyperlink" xfId="13543" builtinId="9" hidden="1"/>
    <cellStyle name="Followed Hyperlink" xfId="13545" builtinId="9" hidden="1"/>
    <cellStyle name="Followed Hyperlink" xfId="13547" builtinId="9" hidden="1"/>
    <cellStyle name="Followed Hyperlink" xfId="13549" builtinId="9" hidden="1"/>
    <cellStyle name="Followed Hyperlink" xfId="13551" builtinId="9" hidden="1"/>
    <cellStyle name="Followed Hyperlink" xfId="13553" builtinId="9" hidden="1"/>
    <cellStyle name="Followed Hyperlink" xfId="13555" builtinId="9" hidden="1"/>
    <cellStyle name="Followed Hyperlink" xfId="13557" builtinId="9" hidden="1"/>
    <cellStyle name="Followed Hyperlink" xfId="13559" builtinId="9" hidden="1"/>
    <cellStyle name="Followed Hyperlink" xfId="13561" builtinId="9" hidden="1"/>
    <cellStyle name="Followed Hyperlink" xfId="13563" builtinId="9" hidden="1"/>
    <cellStyle name="Followed Hyperlink" xfId="13565" builtinId="9" hidden="1"/>
    <cellStyle name="Followed Hyperlink" xfId="13567" builtinId="9" hidden="1"/>
    <cellStyle name="Followed Hyperlink" xfId="13569" builtinId="9" hidden="1"/>
    <cellStyle name="Followed Hyperlink" xfId="13571" builtinId="9" hidden="1"/>
    <cellStyle name="Followed Hyperlink" xfId="13573" builtinId="9" hidden="1"/>
    <cellStyle name="Followed Hyperlink" xfId="13575" builtinId="9" hidden="1"/>
    <cellStyle name="Followed Hyperlink" xfId="13577" builtinId="9" hidden="1"/>
    <cellStyle name="Followed Hyperlink" xfId="13579" builtinId="9" hidden="1"/>
    <cellStyle name="Followed Hyperlink" xfId="13581" builtinId="9" hidden="1"/>
    <cellStyle name="Followed Hyperlink" xfId="13583" builtinId="9" hidden="1"/>
    <cellStyle name="Followed Hyperlink" xfId="13585" builtinId="9" hidden="1"/>
    <cellStyle name="Followed Hyperlink" xfId="13587" builtinId="9" hidden="1"/>
    <cellStyle name="Followed Hyperlink" xfId="13589" builtinId="9" hidden="1"/>
    <cellStyle name="Followed Hyperlink" xfId="13591" builtinId="9" hidden="1"/>
    <cellStyle name="Followed Hyperlink" xfId="13593" builtinId="9" hidden="1"/>
    <cellStyle name="Followed Hyperlink" xfId="13595" builtinId="9" hidden="1"/>
    <cellStyle name="Followed Hyperlink" xfId="13597" builtinId="9" hidden="1"/>
    <cellStyle name="Followed Hyperlink" xfId="13599" builtinId="9" hidden="1"/>
    <cellStyle name="Followed Hyperlink" xfId="13601" builtinId="9" hidden="1"/>
    <cellStyle name="Followed Hyperlink" xfId="13603" builtinId="9" hidden="1"/>
    <cellStyle name="Followed Hyperlink" xfId="13605" builtinId="9" hidden="1"/>
    <cellStyle name="Followed Hyperlink" xfId="13607" builtinId="9" hidden="1"/>
    <cellStyle name="Followed Hyperlink" xfId="13609" builtinId="9" hidden="1"/>
    <cellStyle name="Followed Hyperlink" xfId="13611" builtinId="9" hidden="1"/>
    <cellStyle name="Followed Hyperlink" xfId="13613" builtinId="9" hidden="1"/>
    <cellStyle name="Followed Hyperlink" xfId="13615" builtinId="9" hidden="1"/>
    <cellStyle name="Followed Hyperlink" xfId="13617" builtinId="9" hidden="1"/>
    <cellStyle name="Followed Hyperlink" xfId="13619" builtinId="9" hidden="1"/>
    <cellStyle name="Followed Hyperlink" xfId="13621" builtinId="9" hidden="1"/>
    <cellStyle name="Followed Hyperlink" xfId="13623" builtinId="9" hidden="1"/>
    <cellStyle name="Followed Hyperlink" xfId="13625" builtinId="9" hidden="1"/>
    <cellStyle name="Followed Hyperlink" xfId="13627" builtinId="9" hidden="1"/>
    <cellStyle name="Followed Hyperlink" xfId="13629" builtinId="9" hidden="1"/>
    <cellStyle name="Followed Hyperlink" xfId="13631" builtinId="9" hidden="1"/>
    <cellStyle name="Followed Hyperlink" xfId="13633" builtinId="9" hidden="1"/>
    <cellStyle name="Followed Hyperlink" xfId="1363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645" builtinId="9" hidden="1"/>
    <cellStyle name="Followed Hyperlink" xfId="13647" builtinId="9" hidden="1"/>
    <cellStyle name="Followed Hyperlink" xfId="13649" builtinId="9" hidden="1"/>
    <cellStyle name="Followed Hyperlink" xfId="13651" builtinId="9" hidden="1"/>
    <cellStyle name="Followed Hyperlink" xfId="13653" builtinId="9" hidden="1"/>
    <cellStyle name="Followed Hyperlink" xfId="13655" builtinId="9" hidden="1"/>
    <cellStyle name="Followed Hyperlink" xfId="13657" builtinId="9" hidden="1"/>
    <cellStyle name="Followed Hyperlink" xfId="13659" builtinId="9" hidden="1"/>
    <cellStyle name="Followed Hyperlink" xfId="13661" builtinId="9" hidden="1"/>
    <cellStyle name="Followed Hyperlink" xfId="13663" builtinId="9" hidden="1"/>
    <cellStyle name="Followed Hyperlink" xfId="13665" builtinId="9" hidden="1"/>
    <cellStyle name="Followed Hyperlink" xfId="13667" builtinId="9" hidden="1"/>
    <cellStyle name="Followed Hyperlink" xfId="13669" builtinId="9" hidden="1"/>
    <cellStyle name="Followed Hyperlink" xfId="13671" builtinId="9" hidden="1"/>
    <cellStyle name="Followed Hyperlink" xfId="13673" builtinId="9" hidden="1"/>
    <cellStyle name="Followed Hyperlink" xfId="13675" builtinId="9" hidden="1"/>
    <cellStyle name="Followed Hyperlink" xfId="13677" builtinId="9" hidden="1"/>
    <cellStyle name="Followed Hyperlink" xfId="13679" builtinId="9" hidden="1"/>
    <cellStyle name="Followed Hyperlink" xfId="13681" builtinId="9" hidden="1"/>
    <cellStyle name="Followed Hyperlink" xfId="13683" builtinId="9" hidden="1"/>
    <cellStyle name="Followed Hyperlink" xfId="13685" builtinId="9" hidden="1"/>
    <cellStyle name="Followed Hyperlink" xfId="13687" builtinId="9" hidden="1"/>
    <cellStyle name="Followed Hyperlink" xfId="13689" builtinId="9" hidden="1"/>
    <cellStyle name="Followed Hyperlink" xfId="13691" builtinId="9" hidden="1"/>
    <cellStyle name="Followed Hyperlink" xfId="13693" builtinId="9" hidden="1"/>
    <cellStyle name="Followed Hyperlink" xfId="13695" builtinId="9" hidden="1"/>
    <cellStyle name="Followed Hyperlink" xfId="13697" builtinId="9" hidden="1"/>
    <cellStyle name="Followed Hyperlink" xfId="13699" builtinId="9" hidden="1"/>
    <cellStyle name="Followed Hyperlink" xfId="13701" builtinId="9" hidden="1"/>
    <cellStyle name="Followed Hyperlink" xfId="13703" builtinId="9" hidden="1"/>
    <cellStyle name="Followed Hyperlink" xfId="13705" builtinId="9" hidden="1"/>
    <cellStyle name="Followed Hyperlink" xfId="13707" builtinId="9" hidden="1"/>
    <cellStyle name="Followed Hyperlink" xfId="13709" builtinId="9" hidden="1"/>
    <cellStyle name="Followed Hyperlink" xfId="13711" builtinId="9" hidden="1"/>
    <cellStyle name="Followed Hyperlink" xfId="13713" builtinId="9" hidden="1"/>
    <cellStyle name="Followed Hyperlink" xfId="13715" builtinId="9" hidden="1"/>
    <cellStyle name="Followed Hyperlink" xfId="13717" builtinId="9" hidden="1"/>
    <cellStyle name="Followed Hyperlink" xfId="13719" builtinId="9" hidden="1"/>
    <cellStyle name="Followed Hyperlink" xfId="13721" builtinId="9" hidden="1"/>
    <cellStyle name="Followed Hyperlink" xfId="13723" builtinId="9" hidden="1"/>
    <cellStyle name="Followed Hyperlink" xfId="13725" builtinId="9" hidden="1"/>
    <cellStyle name="Followed Hyperlink" xfId="13727" builtinId="9" hidden="1"/>
    <cellStyle name="Followed Hyperlink" xfId="13729" builtinId="9" hidden="1"/>
    <cellStyle name="Followed Hyperlink" xfId="13731" builtinId="9" hidden="1"/>
    <cellStyle name="Followed Hyperlink" xfId="13733" builtinId="9" hidden="1"/>
    <cellStyle name="Followed Hyperlink" xfId="13735" builtinId="9" hidden="1"/>
    <cellStyle name="Followed Hyperlink" xfId="13737" builtinId="9" hidden="1"/>
    <cellStyle name="Followed Hyperlink" xfId="13739" builtinId="9" hidden="1"/>
    <cellStyle name="Followed Hyperlink" xfId="13741" builtinId="9" hidden="1"/>
    <cellStyle name="Followed Hyperlink" xfId="13743" builtinId="9" hidden="1"/>
    <cellStyle name="Followed Hyperlink" xfId="13745" builtinId="9" hidden="1"/>
    <cellStyle name="Followed Hyperlink" xfId="13747" builtinId="9" hidden="1"/>
    <cellStyle name="Followed Hyperlink" xfId="13749" builtinId="9" hidden="1"/>
    <cellStyle name="Followed Hyperlink" xfId="13751" builtinId="9" hidden="1"/>
    <cellStyle name="Followed Hyperlink" xfId="13753" builtinId="9" hidden="1"/>
    <cellStyle name="Followed Hyperlink" xfId="13755" builtinId="9" hidden="1"/>
    <cellStyle name="Followed Hyperlink" xfId="13757" builtinId="9" hidden="1"/>
    <cellStyle name="Followed Hyperlink" xfId="13759" builtinId="9" hidden="1"/>
    <cellStyle name="Followed Hyperlink" xfId="13761" builtinId="9" hidden="1"/>
    <cellStyle name="Followed Hyperlink" xfId="13763" builtinId="9" hidden="1"/>
    <cellStyle name="Followed Hyperlink" xfId="13765" builtinId="9" hidden="1"/>
    <cellStyle name="Followed Hyperlink" xfId="13767" builtinId="9" hidden="1"/>
    <cellStyle name="Followed Hyperlink" xfId="13769" builtinId="9" hidden="1"/>
    <cellStyle name="Followed Hyperlink" xfId="13771" builtinId="9" hidden="1"/>
    <cellStyle name="Followed Hyperlink" xfId="13773" builtinId="9" hidden="1"/>
    <cellStyle name="Followed Hyperlink" xfId="13775" builtinId="9" hidden="1"/>
    <cellStyle name="Followed Hyperlink" xfId="13777" builtinId="9" hidden="1"/>
    <cellStyle name="Followed Hyperlink" xfId="13779" builtinId="9" hidden="1"/>
    <cellStyle name="Followed Hyperlink" xfId="13781" builtinId="9" hidden="1"/>
    <cellStyle name="Followed Hyperlink" xfId="13783" builtinId="9" hidden="1"/>
    <cellStyle name="Followed Hyperlink" xfId="13785" builtinId="9" hidden="1"/>
    <cellStyle name="Followed Hyperlink" xfId="13787" builtinId="9" hidden="1"/>
    <cellStyle name="Followed Hyperlink" xfId="13789" builtinId="9" hidden="1"/>
    <cellStyle name="Followed Hyperlink" xfId="13791" builtinId="9" hidden="1"/>
    <cellStyle name="Followed Hyperlink" xfId="13793" builtinId="9" hidden="1"/>
    <cellStyle name="Followed Hyperlink" xfId="13795" builtinId="9" hidden="1"/>
    <cellStyle name="Followed Hyperlink" xfId="13797" builtinId="9" hidden="1"/>
    <cellStyle name="Followed Hyperlink" xfId="13799" builtinId="9" hidden="1"/>
    <cellStyle name="Followed Hyperlink" xfId="13801" builtinId="9" hidden="1"/>
    <cellStyle name="Followed Hyperlink" xfId="13803" builtinId="9" hidden="1"/>
    <cellStyle name="Followed Hyperlink" xfId="13805" builtinId="9" hidden="1"/>
    <cellStyle name="Followed Hyperlink" xfId="13807" builtinId="9" hidden="1"/>
    <cellStyle name="Followed Hyperlink" xfId="13809" builtinId="9" hidden="1"/>
    <cellStyle name="Followed Hyperlink" xfId="13811" builtinId="9" hidden="1"/>
    <cellStyle name="Followed Hyperlink" xfId="13813" builtinId="9" hidden="1"/>
    <cellStyle name="Followed Hyperlink" xfId="13815" builtinId="9" hidden="1"/>
    <cellStyle name="Followed Hyperlink" xfId="13817" builtinId="9" hidden="1"/>
    <cellStyle name="Followed Hyperlink" xfId="13819" builtinId="9" hidden="1"/>
    <cellStyle name="Followed Hyperlink" xfId="13821" builtinId="9" hidden="1"/>
    <cellStyle name="Followed Hyperlink" xfId="13823" builtinId="9" hidden="1"/>
    <cellStyle name="Followed Hyperlink" xfId="13825" builtinId="9" hidden="1"/>
    <cellStyle name="Followed Hyperlink" xfId="13827" builtinId="9" hidden="1"/>
    <cellStyle name="Followed Hyperlink" xfId="13829" builtinId="9" hidden="1"/>
    <cellStyle name="Followed Hyperlink" xfId="13831" builtinId="9" hidden="1"/>
    <cellStyle name="Followed Hyperlink" xfId="13833" builtinId="9" hidden="1"/>
    <cellStyle name="Followed Hyperlink" xfId="13835" builtinId="9" hidden="1"/>
    <cellStyle name="Followed Hyperlink" xfId="13837" builtinId="9" hidden="1"/>
    <cellStyle name="Followed Hyperlink" xfId="13839" builtinId="9" hidden="1"/>
    <cellStyle name="Followed Hyperlink" xfId="13841" builtinId="9" hidden="1"/>
    <cellStyle name="Followed Hyperlink" xfId="13843" builtinId="9" hidden="1"/>
    <cellStyle name="Followed Hyperlink" xfId="13845" builtinId="9" hidden="1"/>
    <cellStyle name="Followed Hyperlink" xfId="13847" builtinId="9" hidden="1"/>
    <cellStyle name="Followed Hyperlink" xfId="13849" builtinId="9" hidden="1"/>
    <cellStyle name="Followed Hyperlink" xfId="13851" builtinId="9" hidden="1"/>
    <cellStyle name="Followed Hyperlink" xfId="13853" builtinId="9" hidden="1"/>
    <cellStyle name="Followed Hyperlink" xfId="13855" builtinId="9" hidden="1"/>
    <cellStyle name="Followed Hyperlink" xfId="13857" builtinId="9" hidden="1"/>
    <cellStyle name="Followed Hyperlink" xfId="13859" builtinId="9" hidden="1"/>
    <cellStyle name="Followed Hyperlink" xfId="13861" builtinId="9" hidden="1"/>
    <cellStyle name="Followed Hyperlink" xfId="13863" builtinId="9" hidden="1"/>
    <cellStyle name="Followed Hyperlink" xfId="13865" builtinId="9" hidden="1"/>
    <cellStyle name="Followed Hyperlink" xfId="13867" builtinId="9" hidden="1"/>
    <cellStyle name="Followed Hyperlink" xfId="13869" builtinId="9" hidden="1"/>
    <cellStyle name="Followed Hyperlink" xfId="13871" builtinId="9" hidden="1"/>
    <cellStyle name="Followed Hyperlink" xfId="13873" builtinId="9" hidden="1"/>
    <cellStyle name="Followed Hyperlink" xfId="13875" builtinId="9" hidden="1"/>
    <cellStyle name="Followed Hyperlink" xfId="13877" builtinId="9" hidden="1"/>
    <cellStyle name="Followed Hyperlink" xfId="13879" builtinId="9" hidden="1"/>
    <cellStyle name="Followed Hyperlink" xfId="13881" builtinId="9" hidden="1"/>
    <cellStyle name="Followed Hyperlink" xfId="13883" builtinId="9" hidden="1"/>
    <cellStyle name="Followed Hyperlink" xfId="13885" builtinId="9" hidden="1"/>
    <cellStyle name="Followed Hyperlink" xfId="13887" builtinId="9" hidden="1"/>
    <cellStyle name="Followed Hyperlink" xfId="13889" builtinId="9" hidden="1"/>
    <cellStyle name="Followed Hyperlink" xfId="13891" builtinId="9" hidden="1"/>
    <cellStyle name="Followed Hyperlink" xfId="13893" builtinId="9" hidden="1"/>
    <cellStyle name="Followed Hyperlink" xfId="13895" builtinId="9" hidden="1"/>
    <cellStyle name="Followed Hyperlink" xfId="13897" builtinId="9" hidden="1"/>
    <cellStyle name="Followed Hyperlink" xfId="13899" builtinId="9" hidden="1"/>
    <cellStyle name="Followed Hyperlink" xfId="13901" builtinId="9" hidden="1"/>
    <cellStyle name="Followed Hyperlink" xfId="13903" builtinId="9" hidden="1"/>
    <cellStyle name="Followed Hyperlink" xfId="13905" builtinId="9" hidden="1"/>
    <cellStyle name="Followed Hyperlink" xfId="13907" builtinId="9" hidden="1"/>
    <cellStyle name="Followed Hyperlink" xfId="13909" builtinId="9" hidden="1"/>
    <cellStyle name="Followed Hyperlink" xfId="13911" builtinId="9" hidden="1"/>
    <cellStyle name="Followed Hyperlink" xfId="13913" builtinId="9" hidden="1"/>
    <cellStyle name="Followed Hyperlink" xfId="13915" builtinId="9" hidden="1"/>
    <cellStyle name="Followed Hyperlink" xfId="13917" builtinId="9" hidden="1"/>
    <cellStyle name="Followed Hyperlink" xfId="13919" builtinId="9" hidden="1"/>
    <cellStyle name="Followed Hyperlink" xfId="13921" builtinId="9" hidden="1"/>
    <cellStyle name="Followed Hyperlink" xfId="13923" builtinId="9" hidden="1"/>
    <cellStyle name="Followed Hyperlink" xfId="13925" builtinId="9" hidden="1"/>
    <cellStyle name="Followed Hyperlink" xfId="13927" builtinId="9" hidden="1"/>
    <cellStyle name="Followed Hyperlink" xfId="13929" builtinId="9" hidden="1"/>
    <cellStyle name="Followed Hyperlink" xfId="13931" builtinId="9" hidden="1"/>
    <cellStyle name="Followed Hyperlink" xfId="13933" builtinId="9" hidden="1"/>
    <cellStyle name="Followed Hyperlink" xfId="13935" builtinId="9" hidden="1"/>
    <cellStyle name="Followed Hyperlink" xfId="13937" builtinId="9" hidden="1"/>
    <cellStyle name="Followed Hyperlink" xfId="13939" builtinId="9" hidden="1"/>
    <cellStyle name="Followed Hyperlink" xfId="13941" builtinId="9" hidden="1"/>
    <cellStyle name="Followed Hyperlink" xfId="13943" builtinId="9" hidden="1"/>
    <cellStyle name="Followed Hyperlink" xfId="13945" builtinId="9" hidden="1"/>
    <cellStyle name="Followed Hyperlink" xfId="13947" builtinId="9" hidden="1"/>
    <cellStyle name="Followed Hyperlink" xfId="13949" builtinId="9" hidden="1"/>
    <cellStyle name="Followed Hyperlink" xfId="13951" builtinId="9" hidden="1"/>
    <cellStyle name="Followed Hyperlink" xfId="13953" builtinId="9" hidden="1"/>
    <cellStyle name="Followed Hyperlink" xfId="13955" builtinId="9" hidden="1"/>
    <cellStyle name="Followed Hyperlink" xfId="13957" builtinId="9" hidden="1"/>
    <cellStyle name="Followed Hyperlink" xfId="13959" builtinId="9" hidden="1"/>
    <cellStyle name="Followed Hyperlink" xfId="13961" builtinId="9" hidden="1"/>
    <cellStyle name="Followed Hyperlink" xfId="13963" builtinId="9" hidden="1"/>
    <cellStyle name="Followed Hyperlink" xfId="13965" builtinId="9" hidden="1"/>
    <cellStyle name="Followed Hyperlink" xfId="13967" builtinId="9" hidden="1"/>
    <cellStyle name="Followed Hyperlink" xfId="13969" builtinId="9" hidden="1"/>
    <cellStyle name="Followed Hyperlink" xfId="13971" builtinId="9" hidden="1"/>
    <cellStyle name="Followed Hyperlink" xfId="13973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3983" builtinId="9" hidden="1"/>
    <cellStyle name="Followed Hyperlink" xfId="13985" builtinId="9" hidden="1"/>
    <cellStyle name="Followed Hyperlink" xfId="13987" builtinId="9" hidden="1"/>
    <cellStyle name="Followed Hyperlink" xfId="13989" builtinId="9" hidden="1"/>
    <cellStyle name="Followed Hyperlink" xfId="13991" builtinId="9" hidden="1"/>
    <cellStyle name="Followed Hyperlink" xfId="13993" builtinId="9" hidden="1"/>
    <cellStyle name="Followed Hyperlink" xfId="13995" builtinId="9" hidden="1"/>
    <cellStyle name="Followed Hyperlink" xfId="13997" builtinId="9" hidden="1"/>
    <cellStyle name="Followed Hyperlink" xfId="13999" builtinId="9" hidden="1"/>
    <cellStyle name="Followed Hyperlink" xfId="14001" builtinId="9" hidden="1"/>
    <cellStyle name="Followed Hyperlink" xfId="14003" builtinId="9" hidden="1"/>
    <cellStyle name="Followed Hyperlink" xfId="14005" builtinId="9" hidden="1"/>
    <cellStyle name="Followed Hyperlink" xfId="14007" builtinId="9" hidden="1"/>
    <cellStyle name="Followed Hyperlink" xfId="14009" builtinId="9" hidden="1"/>
    <cellStyle name="Followed Hyperlink" xfId="14011" builtinId="9" hidden="1"/>
    <cellStyle name="Followed Hyperlink" xfId="14013" builtinId="9" hidden="1"/>
    <cellStyle name="Followed Hyperlink" xfId="14015" builtinId="9" hidden="1"/>
    <cellStyle name="Followed Hyperlink" xfId="14017" builtinId="9" hidden="1"/>
    <cellStyle name="Followed Hyperlink" xfId="14019" builtinId="9" hidden="1"/>
    <cellStyle name="Followed Hyperlink" xfId="14021" builtinId="9" hidden="1"/>
    <cellStyle name="Followed Hyperlink" xfId="14023" builtinId="9" hidden="1"/>
    <cellStyle name="Followed Hyperlink" xfId="14025" builtinId="9" hidden="1"/>
    <cellStyle name="Followed Hyperlink" xfId="14027" builtinId="9" hidden="1"/>
    <cellStyle name="Followed Hyperlink" xfId="14029" builtinId="9" hidden="1"/>
    <cellStyle name="Followed Hyperlink" xfId="14031" builtinId="9" hidden="1"/>
    <cellStyle name="Followed Hyperlink" xfId="14033" builtinId="9" hidden="1"/>
    <cellStyle name="Followed Hyperlink" xfId="14035" builtinId="9" hidden="1"/>
    <cellStyle name="Followed Hyperlink" xfId="14037" builtinId="9" hidden="1"/>
    <cellStyle name="Followed Hyperlink" xfId="14039" builtinId="9" hidden="1"/>
    <cellStyle name="Followed Hyperlink" xfId="14041" builtinId="9" hidden="1"/>
    <cellStyle name="Followed Hyperlink" xfId="14043" builtinId="9" hidden="1"/>
    <cellStyle name="Followed Hyperlink" xfId="14045" builtinId="9" hidden="1"/>
    <cellStyle name="Followed Hyperlink" xfId="14047" builtinId="9" hidden="1"/>
    <cellStyle name="Followed Hyperlink" xfId="14049" builtinId="9" hidden="1"/>
    <cellStyle name="Followed Hyperlink" xfId="14051" builtinId="9" hidden="1"/>
    <cellStyle name="Followed Hyperlink" xfId="14053" builtinId="9" hidden="1"/>
    <cellStyle name="Followed Hyperlink" xfId="14055" builtinId="9" hidden="1"/>
    <cellStyle name="Followed Hyperlink" xfId="14057" builtinId="9" hidden="1"/>
    <cellStyle name="Followed Hyperlink" xfId="14059" builtinId="9" hidden="1"/>
    <cellStyle name="Followed Hyperlink" xfId="14061" builtinId="9" hidden="1"/>
    <cellStyle name="Followed Hyperlink" xfId="14063" builtinId="9" hidden="1"/>
    <cellStyle name="Followed Hyperlink" xfId="14065" builtinId="9" hidden="1"/>
    <cellStyle name="Followed Hyperlink" xfId="14067" builtinId="9" hidden="1"/>
    <cellStyle name="Followed Hyperlink" xfId="14069" builtinId="9" hidden="1"/>
    <cellStyle name="Followed Hyperlink" xfId="14071" builtinId="9" hidden="1"/>
    <cellStyle name="Followed Hyperlink" xfId="14073" builtinId="9" hidden="1"/>
    <cellStyle name="Followed Hyperlink" xfId="14075" builtinId="9" hidden="1"/>
    <cellStyle name="Followed Hyperlink" xfId="14077" builtinId="9" hidden="1"/>
    <cellStyle name="Followed Hyperlink" xfId="14079" builtinId="9" hidden="1"/>
    <cellStyle name="Followed Hyperlink" xfId="14081" builtinId="9" hidden="1"/>
    <cellStyle name="Followed Hyperlink" xfId="14083" builtinId="9" hidden="1"/>
    <cellStyle name="Followed Hyperlink" xfId="14085" builtinId="9" hidden="1"/>
    <cellStyle name="Followed Hyperlink" xfId="14087" builtinId="9" hidden="1"/>
    <cellStyle name="Followed Hyperlink" xfId="14089" builtinId="9" hidden="1"/>
    <cellStyle name="Followed Hyperlink" xfId="14091" builtinId="9" hidden="1"/>
    <cellStyle name="Followed Hyperlink" xfId="14093" builtinId="9" hidden="1"/>
    <cellStyle name="Followed Hyperlink" xfId="14095" builtinId="9" hidden="1"/>
    <cellStyle name="Followed Hyperlink" xfId="14097" builtinId="9" hidden="1"/>
    <cellStyle name="Followed Hyperlink" xfId="14099" builtinId="9" hidden="1"/>
    <cellStyle name="Followed Hyperlink" xfId="14101" builtinId="9" hidden="1"/>
    <cellStyle name="Followed Hyperlink" xfId="14103" builtinId="9" hidden="1"/>
    <cellStyle name="Followed Hyperlink" xfId="14105" builtinId="9" hidden="1"/>
    <cellStyle name="Followed Hyperlink" xfId="14107" builtinId="9" hidden="1"/>
    <cellStyle name="Followed Hyperlink" xfId="14109" builtinId="9" hidden="1"/>
    <cellStyle name="Followed Hyperlink" xfId="14111" builtinId="9" hidden="1"/>
    <cellStyle name="Followed Hyperlink" xfId="14113" builtinId="9" hidden="1"/>
    <cellStyle name="Followed Hyperlink" xfId="14115" builtinId="9" hidden="1"/>
    <cellStyle name="Followed Hyperlink" xfId="14117" builtinId="9" hidden="1"/>
    <cellStyle name="Followed Hyperlink" xfId="14119" builtinId="9" hidden="1"/>
    <cellStyle name="Followed Hyperlink" xfId="14121" builtinId="9" hidden="1"/>
    <cellStyle name="Followed Hyperlink" xfId="14123" builtinId="9" hidden="1"/>
    <cellStyle name="Followed Hyperlink" xfId="14125" builtinId="9" hidden="1"/>
    <cellStyle name="Followed Hyperlink" xfId="14127" builtinId="9" hidden="1"/>
    <cellStyle name="Followed Hyperlink" xfId="14129" builtinId="9" hidden="1"/>
    <cellStyle name="Followed Hyperlink" xfId="14131" builtinId="9" hidden="1"/>
    <cellStyle name="Followed Hyperlink" xfId="14133" builtinId="9" hidden="1"/>
    <cellStyle name="Followed Hyperlink" xfId="14135" builtinId="9" hidden="1"/>
    <cellStyle name="Followed Hyperlink" xfId="14137" builtinId="9" hidden="1"/>
    <cellStyle name="Followed Hyperlink" xfId="14139" builtinId="9" hidden="1"/>
    <cellStyle name="Followed Hyperlink" xfId="14141" builtinId="9" hidden="1"/>
    <cellStyle name="Followed Hyperlink" xfId="14143" builtinId="9" hidden="1"/>
    <cellStyle name="Followed Hyperlink" xfId="14145" builtinId="9" hidden="1"/>
    <cellStyle name="Followed Hyperlink" xfId="14147" builtinId="9" hidden="1"/>
    <cellStyle name="Followed Hyperlink" xfId="14149" builtinId="9" hidden="1"/>
    <cellStyle name="Followed Hyperlink" xfId="14151" builtinId="9" hidden="1"/>
    <cellStyle name="Followed Hyperlink" xfId="14153" builtinId="9" hidden="1"/>
    <cellStyle name="Followed Hyperlink" xfId="14155" builtinId="9" hidden="1"/>
    <cellStyle name="Followed Hyperlink" xfId="14157" builtinId="9" hidden="1"/>
    <cellStyle name="Followed Hyperlink" xfId="14159" builtinId="9" hidden="1"/>
    <cellStyle name="Followed Hyperlink" xfId="14161" builtinId="9" hidden="1"/>
    <cellStyle name="Followed Hyperlink" xfId="14163" builtinId="9" hidden="1"/>
    <cellStyle name="Followed Hyperlink" xfId="14165" builtinId="9" hidden="1"/>
    <cellStyle name="Followed Hyperlink" xfId="14167" builtinId="9" hidden="1"/>
    <cellStyle name="Followed Hyperlink" xfId="14169" builtinId="9" hidden="1"/>
    <cellStyle name="Followed Hyperlink" xfId="14171" builtinId="9" hidden="1"/>
    <cellStyle name="Followed Hyperlink" xfId="14173" builtinId="9" hidden="1"/>
    <cellStyle name="Followed Hyperlink" xfId="14175" builtinId="9" hidden="1"/>
    <cellStyle name="Followed Hyperlink" xfId="14177" builtinId="9" hidden="1"/>
    <cellStyle name="Followed Hyperlink" xfId="14179" builtinId="9" hidden="1"/>
    <cellStyle name="Followed Hyperlink" xfId="14181" builtinId="9" hidden="1"/>
    <cellStyle name="Followed Hyperlink" xfId="14183" builtinId="9" hidden="1"/>
    <cellStyle name="Followed Hyperlink" xfId="14185" builtinId="9" hidden="1"/>
    <cellStyle name="Followed Hyperlink" xfId="14187" builtinId="9" hidden="1"/>
    <cellStyle name="Followed Hyperlink" xfId="14189" builtinId="9" hidden="1"/>
    <cellStyle name="Followed Hyperlink" xfId="14191" builtinId="9" hidden="1"/>
    <cellStyle name="Followed Hyperlink" xfId="14193" builtinId="9" hidden="1"/>
    <cellStyle name="Followed Hyperlink" xfId="14195" builtinId="9" hidden="1"/>
    <cellStyle name="Followed Hyperlink" xfId="14197" builtinId="9" hidden="1"/>
    <cellStyle name="Followed Hyperlink" xfId="14199" builtinId="9" hidden="1"/>
    <cellStyle name="Followed Hyperlink" xfId="14201" builtinId="9" hidden="1"/>
    <cellStyle name="Followed Hyperlink" xfId="14203" builtinId="9" hidden="1"/>
    <cellStyle name="Followed Hyperlink" xfId="14205" builtinId="9" hidden="1"/>
    <cellStyle name="Followed Hyperlink" xfId="14207" builtinId="9" hidden="1"/>
    <cellStyle name="Followed Hyperlink" xfId="14209" builtinId="9" hidden="1"/>
    <cellStyle name="Followed Hyperlink" xfId="14211" builtinId="9" hidden="1"/>
    <cellStyle name="Followed Hyperlink" xfId="14213" builtinId="9" hidden="1"/>
    <cellStyle name="Followed Hyperlink" xfId="14215" builtinId="9" hidden="1"/>
    <cellStyle name="Followed Hyperlink" xfId="14217" builtinId="9" hidden="1"/>
    <cellStyle name="Followed Hyperlink" xfId="14219" builtinId="9" hidden="1"/>
    <cellStyle name="Followed Hyperlink" xfId="14221" builtinId="9" hidden="1"/>
    <cellStyle name="Followed Hyperlink" xfId="14223" builtinId="9" hidden="1"/>
    <cellStyle name="Followed Hyperlink" xfId="14225" builtinId="9" hidden="1"/>
    <cellStyle name="Followed Hyperlink" xfId="14227" builtinId="9" hidden="1"/>
    <cellStyle name="Followed Hyperlink" xfId="14229" builtinId="9" hidden="1"/>
    <cellStyle name="Followed Hyperlink" xfId="14231" builtinId="9" hidden="1"/>
    <cellStyle name="Followed Hyperlink" xfId="14233" builtinId="9" hidden="1"/>
    <cellStyle name="Followed Hyperlink" xfId="14235" builtinId="9" hidden="1"/>
    <cellStyle name="Followed Hyperlink" xfId="14237" builtinId="9" hidden="1"/>
    <cellStyle name="Followed Hyperlink" xfId="14239" builtinId="9" hidden="1"/>
    <cellStyle name="Followed Hyperlink" xfId="14241" builtinId="9" hidden="1"/>
    <cellStyle name="Followed Hyperlink" xfId="14243" builtinId="9" hidden="1"/>
    <cellStyle name="Followed Hyperlink" xfId="14245" builtinId="9" hidden="1"/>
    <cellStyle name="Followed Hyperlink" xfId="14247" builtinId="9" hidden="1"/>
    <cellStyle name="Followed Hyperlink" xfId="14249" builtinId="9" hidden="1"/>
    <cellStyle name="Followed Hyperlink" xfId="14251" builtinId="9" hidden="1"/>
    <cellStyle name="Followed Hyperlink" xfId="14253" builtinId="9" hidden="1"/>
    <cellStyle name="Followed Hyperlink" xfId="14255" builtinId="9" hidden="1"/>
    <cellStyle name="Followed Hyperlink" xfId="14257" builtinId="9" hidden="1"/>
    <cellStyle name="Followed Hyperlink" xfId="14259" builtinId="9" hidden="1"/>
    <cellStyle name="Followed Hyperlink" xfId="14261" builtinId="9" hidden="1"/>
    <cellStyle name="Followed Hyperlink" xfId="14263" builtinId="9" hidden="1"/>
    <cellStyle name="Followed Hyperlink" xfId="14265" builtinId="9" hidden="1"/>
    <cellStyle name="Followed Hyperlink" xfId="14267" builtinId="9" hidden="1"/>
    <cellStyle name="Followed Hyperlink" xfId="14269" builtinId="9" hidden="1"/>
    <cellStyle name="Followed Hyperlink" xfId="14271" builtinId="9" hidden="1"/>
    <cellStyle name="Followed Hyperlink" xfId="14273" builtinId="9" hidden="1"/>
    <cellStyle name="Followed Hyperlink" xfId="14275" builtinId="9" hidden="1"/>
    <cellStyle name="Followed Hyperlink" xfId="14277" builtinId="9" hidden="1"/>
    <cellStyle name="Followed Hyperlink" xfId="14279" builtinId="9" hidden="1"/>
    <cellStyle name="Followed Hyperlink" xfId="14281" builtinId="9" hidden="1"/>
    <cellStyle name="Followed Hyperlink" xfId="14283" builtinId="9" hidden="1"/>
    <cellStyle name="Followed Hyperlink" xfId="14285" builtinId="9" hidden="1"/>
    <cellStyle name="Followed Hyperlink" xfId="14287" builtinId="9" hidden="1"/>
    <cellStyle name="Followed Hyperlink" xfId="14289" builtinId="9" hidden="1"/>
    <cellStyle name="Followed Hyperlink" xfId="14291" builtinId="9" hidden="1"/>
    <cellStyle name="Followed Hyperlink" xfId="14293" builtinId="9" hidden="1"/>
    <cellStyle name="Followed Hyperlink" xfId="14295" builtinId="9" hidden="1"/>
    <cellStyle name="Followed Hyperlink" xfId="14297" builtinId="9" hidden="1"/>
    <cellStyle name="Followed Hyperlink" xfId="14299" builtinId="9" hidden="1"/>
    <cellStyle name="Followed Hyperlink" xfId="14301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311" builtinId="9" hidden="1"/>
    <cellStyle name="Followed Hyperlink" xfId="14313" builtinId="9" hidden="1"/>
    <cellStyle name="Followed Hyperlink" xfId="14315" builtinId="9" hidden="1"/>
    <cellStyle name="Followed Hyperlink" xfId="14317" builtinId="9" hidden="1"/>
    <cellStyle name="Followed Hyperlink" xfId="14319" builtinId="9" hidden="1"/>
    <cellStyle name="Followed Hyperlink" xfId="14321" builtinId="9" hidden="1"/>
    <cellStyle name="Followed Hyperlink" xfId="14323" builtinId="9" hidden="1"/>
    <cellStyle name="Followed Hyperlink" xfId="14325" builtinId="9" hidden="1"/>
    <cellStyle name="Followed Hyperlink" xfId="14327" builtinId="9" hidden="1"/>
    <cellStyle name="Followed Hyperlink" xfId="14329" builtinId="9" hidden="1"/>
    <cellStyle name="Followed Hyperlink" xfId="14331" builtinId="9" hidden="1"/>
    <cellStyle name="Followed Hyperlink" xfId="14333" builtinId="9" hidden="1"/>
    <cellStyle name="Followed Hyperlink" xfId="14335" builtinId="9" hidden="1"/>
    <cellStyle name="Followed Hyperlink" xfId="14337" builtinId="9" hidden="1"/>
    <cellStyle name="Followed Hyperlink" xfId="14339" builtinId="9" hidden="1"/>
    <cellStyle name="Followed Hyperlink" xfId="14341" builtinId="9" hidden="1"/>
    <cellStyle name="Followed Hyperlink" xfId="14343" builtinId="9" hidden="1"/>
    <cellStyle name="Followed Hyperlink" xfId="14345" builtinId="9" hidden="1"/>
    <cellStyle name="Followed Hyperlink" xfId="14347" builtinId="9" hidden="1"/>
    <cellStyle name="Followed Hyperlink" xfId="14349" builtinId="9" hidden="1"/>
    <cellStyle name="Followed Hyperlink" xfId="14351" builtinId="9" hidden="1"/>
    <cellStyle name="Followed Hyperlink" xfId="14353" builtinId="9" hidden="1"/>
    <cellStyle name="Followed Hyperlink" xfId="14355" builtinId="9" hidden="1"/>
    <cellStyle name="Followed Hyperlink" xfId="14357" builtinId="9" hidden="1"/>
    <cellStyle name="Followed Hyperlink" xfId="14359" builtinId="9" hidden="1"/>
    <cellStyle name="Followed Hyperlink" xfId="14361" builtinId="9" hidden="1"/>
    <cellStyle name="Followed Hyperlink" xfId="14363" builtinId="9" hidden="1"/>
    <cellStyle name="Followed Hyperlink" xfId="14365" builtinId="9" hidden="1"/>
    <cellStyle name="Followed Hyperlink" xfId="14367" builtinId="9" hidden="1"/>
    <cellStyle name="Followed Hyperlink" xfId="14369" builtinId="9" hidden="1"/>
    <cellStyle name="Followed Hyperlink" xfId="14371" builtinId="9" hidden="1"/>
    <cellStyle name="Followed Hyperlink" xfId="14373" builtinId="9" hidden="1"/>
    <cellStyle name="Followed Hyperlink" xfId="14375" builtinId="9" hidden="1"/>
    <cellStyle name="Followed Hyperlink" xfId="14377" builtinId="9" hidden="1"/>
    <cellStyle name="Followed Hyperlink" xfId="14379" builtinId="9" hidden="1"/>
    <cellStyle name="Followed Hyperlink" xfId="14381" builtinId="9" hidden="1"/>
    <cellStyle name="Followed Hyperlink" xfId="14383" builtinId="9" hidden="1"/>
    <cellStyle name="Followed Hyperlink" xfId="14385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95" builtinId="9" hidden="1"/>
    <cellStyle name="Followed Hyperlink" xfId="14397" builtinId="9" hidden="1"/>
    <cellStyle name="Followed Hyperlink" xfId="14399" builtinId="9" hidden="1"/>
    <cellStyle name="Followed Hyperlink" xfId="14401" builtinId="9" hidden="1"/>
    <cellStyle name="Followed Hyperlink" xfId="14403" builtinId="9" hidden="1"/>
    <cellStyle name="Followed Hyperlink" xfId="14405" builtinId="9" hidden="1"/>
    <cellStyle name="Followed Hyperlink" xfId="14407" builtinId="9" hidden="1"/>
    <cellStyle name="Followed Hyperlink" xfId="14409" builtinId="9" hidden="1"/>
    <cellStyle name="Followed Hyperlink" xfId="14411" builtinId="9" hidden="1"/>
    <cellStyle name="Followed Hyperlink" xfId="14413" builtinId="9" hidden="1"/>
    <cellStyle name="Followed Hyperlink" xfId="14415" builtinId="9" hidden="1"/>
    <cellStyle name="Followed Hyperlink" xfId="14417" builtinId="9" hidden="1"/>
    <cellStyle name="Followed Hyperlink" xfId="14419" builtinId="9" hidden="1"/>
    <cellStyle name="Followed Hyperlink" xfId="14421" builtinId="9" hidden="1"/>
    <cellStyle name="Followed Hyperlink" xfId="14423" builtinId="9" hidden="1"/>
    <cellStyle name="Followed Hyperlink" xfId="14425" builtinId="9" hidden="1"/>
    <cellStyle name="Followed Hyperlink" xfId="14427" builtinId="9" hidden="1"/>
    <cellStyle name="Followed Hyperlink" xfId="14429" builtinId="9" hidden="1"/>
    <cellStyle name="Followed Hyperlink" xfId="14431" builtinId="9" hidden="1"/>
    <cellStyle name="Followed Hyperlink" xfId="14433" builtinId="9" hidden="1"/>
    <cellStyle name="Followed Hyperlink" xfId="14435" builtinId="9" hidden="1"/>
    <cellStyle name="Followed Hyperlink" xfId="14437" builtinId="9" hidden="1"/>
    <cellStyle name="Followed Hyperlink" xfId="14439" builtinId="9" hidden="1"/>
    <cellStyle name="Followed Hyperlink" xfId="14441" builtinId="9" hidden="1"/>
    <cellStyle name="Followed Hyperlink" xfId="14443" builtinId="9" hidden="1"/>
    <cellStyle name="Followed Hyperlink" xfId="14445" builtinId="9" hidden="1"/>
    <cellStyle name="Followed Hyperlink" xfId="14447" builtinId="9" hidden="1"/>
    <cellStyle name="Followed Hyperlink" xfId="14449" builtinId="9" hidden="1"/>
    <cellStyle name="Followed Hyperlink" xfId="14451" builtinId="9" hidden="1"/>
    <cellStyle name="Followed Hyperlink" xfId="14453" builtinId="9" hidden="1"/>
    <cellStyle name="Followed Hyperlink" xfId="14455" builtinId="9" hidden="1"/>
    <cellStyle name="Followed Hyperlink" xfId="14457" builtinId="9" hidden="1"/>
    <cellStyle name="Followed Hyperlink" xfId="14459" builtinId="9" hidden="1"/>
    <cellStyle name="Followed Hyperlink" xfId="14461" builtinId="9" hidden="1"/>
    <cellStyle name="Followed Hyperlink" xfId="14463" builtinId="9" hidden="1"/>
    <cellStyle name="Followed Hyperlink" xfId="14465" builtinId="9" hidden="1"/>
    <cellStyle name="Followed Hyperlink" xfId="14467" builtinId="9" hidden="1"/>
    <cellStyle name="Followed Hyperlink" xfId="14469" builtinId="9" hidden="1"/>
    <cellStyle name="Followed Hyperlink" xfId="14471" builtinId="9" hidden="1"/>
    <cellStyle name="Followed Hyperlink" xfId="14473" builtinId="9" hidden="1"/>
    <cellStyle name="Followed Hyperlink" xfId="14475" builtinId="9" hidden="1"/>
    <cellStyle name="Followed Hyperlink" xfId="14477" builtinId="9" hidden="1"/>
    <cellStyle name="Followed Hyperlink" xfId="14479" builtinId="9" hidden="1"/>
    <cellStyle name="Followed Hyperlink" xfId="14481" builtinId="9" hidden="1"/>
    <cellStyle name="Followed Hyperlink" xfId="14483" builtinId="9" hidden="1"/>
    <cellStyle name="Followed Hyperlink" xfId="14485" builtinId="9" hidden="1"/>
    <cellStyle name="Followed Hyperlink" xfId="14487" builtinId="9" hidden="1"/>
    <cellStyle name="Followed Hyperlink" xfId="14489" builtinId="9" hidden="1"/>
    <cellStyle name="Followed Hyperlink" xfId="14491" builtinId="9" hidden="1"/>
    <cellStyle name="Followed Hyperlink" xfId="14493" builtinId="9" hidden="1"/>
    <cellStyle name="Followed Hyperlink" xfId="14495" builtinId="9" hidden="1"/>
    <cellStyle name="Followed Hyperlink" xfId="14497" builtinId="9" hidden="1"/>
    <cellStyle name="Followed Hyperlink" xfId="14499" builtinId="9" hidden="1"/>
    <cellStyle name="Followed Hyperlink" xfId="14501" builtinId="9" hidden="1"/>
    <cellStyle name="Followed Hyperlink" xfId="14503" builtinId="9" hidden="1"/>
    <cellStyle name="Followed Hyperlink" xfId="14505" builtinId="9" hidden="1"/>
    <cellStyle name="Followed Hyperlink" xfId="14507" builtinId="9" hidden="1"/>
    <cellStyle name="Followed Hyperlink" xfId="14509" builtinId="9" hidden="1"/>
    <cellStyle name="Followed Hyperlink" xfId="14511" builtinId="9" hidden="1"/>
    <cellStyle name="Followed Hyperlink" xfId="14513" builtinId="9" hidden="1"/>
    <cellStyle name="Followed Hyperlink" xfId="14515" builtinId="9" hidden="1"/>
    <cellStyle name="Followed Hyperlink" xfId="14517" builtinId="9" hidden="1"/>
    <cellStyle name="Followed Hyperlink" xfId="14519" builtinId="9" hidden="1"/>
    <cellStyle name="Followed Hyperlink" xfId="14521" builtinId="9" hidden="1"/>
    <cellStyle name="Followed Hyperlink" xfId="14523" builtinId="9" hidden="1"/>
    <cellStyle name="Followed Hyperlink" xfId="14525" builtinId="9" hidden="1"/>
    <cellStyle name="Followed Hyperlink" xfId="14527" builtinId="9" hidden="1"/>
    <cellStyle name="Followed Hyperlink" xfId="14529" builtinId="9" hidden="1"/>
    <cellStyle name="Followed Hyperlink" xfId="14531" builtinId="9" hidden="1"/>
    <cellStyle name="Followed Hyperlink" xfId="14533" builtinId="9" hidden="1"/>
    <cellStyle name="Followed Hyperlink" xfId="14535" builtinId="9" hidden="1"/>
    <cellStyle name="Followed Hyperlink" xfId="14537" builtinId="9" hidden="1"/>
    <cellStyle name="Followed Hyperlink" xfId="14539" builtinId="9" hidden="1"/>
    <cellStyle name="Followed Hyperlink" xfId="14541" builtinId="9" hidden="1"/>
    <cellStyle name="Followed Hyperlink" xfId="14543" builtinId="9" hidden="1"/>
    <cellStyle name="Followed Hyperlink" xfId="14545" builtinId="9" hidden="1"/>
    <cellStyle name="Followed Hyperlink" xfId="14547" builtinId="9" hidden="1"/>
    <cellStyle name="Followed Hyperlink" xfId="14549" builtinId="9" hidden="1"/>
    <cellStyle name="Followed Hyperlink" xfId="14551" builtinId="9" hidden="1"/>
    <cellStyle name="Followed Hyperlink" xfId="14553" builtinId="9" hidden="1"/>
    <cellStyle name="Followed Hyperlink" xfId="14555" builtinId="9" hidden="1"/>
    <cellStyle name="Followed Hyperlink" xfId="14557" builtinId="9" hidden="1"/>
    <cellStyle name="Followed Hyperlink" xfId="14559" builtinId="9" hidden="1"/>
    <cellStyle name="Followed Hyperlink" xfId="14561" builtinId="9" hidden="1"/>
    <cellStyle name="Followed Hyperlink" xfId="14563" builtinId="9" hidden="1"/>
    <cellStyle name="Followed Hyperlink" xfId="14565" builtinId="9" hidden="1"/>
    <cellStyle name="Followed Hyperlink" xfId="14567" builtinId="9" hidden="1"/>
    <cellStyle name="Followed Hyperlink" xfId="14569" builtinId="9" hidden="1"/>
    <cellStyle name="Followed Hyperlink" xfId="14571" builtinId="9" hidden="1"/>
    <cellStyle name="Followed Hyperlink" xfId="14573" builtinId="9" hidden="1"/>
    <cellStyle name="Followed Hyperlink" xfId="14575" builtinId="9" hidden="1"/>
    <cellStyle name="Followed Hyperlink" xfId="14577" builtinId="9" hidden="1"/>
    <cellStyle name="Followed Hyperlink" xfId="14579" builtinId="9" hidden="1"/>
    <cellStyle name="Followed Hyperlink" xfId="14581" builtinId="9" hidden="1"/>
    <cellStyle name="Followed Hyperlink" xfId="14583" builtinId="9" hidden="1"/>
    <cellStyle name="Followed Hyperlink" xfId="14585" builtinId="9" hidden="1"/>
    <cellStyle name="Followed Hyperlink" xfId="14587" builtinId="9" hidden="1"/>
    <cellStyle name="Followed Hyperlink" xfId="14589" builtinId="9" hidden="1"/>
    <cellStyle name="Followed Hyperlink" xfId="14591" builtinId="9" hidden="1"/>
    <cellStyle name="Followed Hyperlink" xfId="14593" builtinId="9" hidden="1"/>
    <cellStyle name="Followed Hyperlink" xfId="14595" builtinId="9" hidden="1"/>
    <cellStyle name="Followed Hyperlink" xfId="14597" builtinId="9" hidden="1"/>
    <cellStyle name="Followed Hyperlink" xfId="14599" builtinId="9" hidden="1"/>
    <cellStyle name="Followed Hyperlink" xfId="14601" builtinId="9" hidden="1"/>
    <cellStyle name="Followed Hyperlink" xfId="14603" builtinId="9" hidden="1"/>
    <cellStyle name="Followed Hyperlink" xfId="14605" builtinId="9" hidden="1"/>
    <cellStyle name="Followed Hyperlink" xfId="14607" builtinId="9" hidden="1"/>
    <cellStyle name="Followed Hyperlink" xfId="14609" builtinId="9" hidden="1"/>
    <cellStyle name="Followed Hyperlink" xfId="14611" builtinId="9" hidden="1"/>
    <cellStyle name="Followed Hyperlink" xfId="14613" builtinId="9" hidden="1"/>
    <cellStyle name="Followed Hyperlink" xfId="14615" builtinId="9" hidden="1"/>
    <cellStyle name="Followed Hyperlink" xfId="14617" builtinId="9" hidden="1"/>
    <cellStyle name="Followed Hyperlink" xfId="14619" builtinId="9" hidden="1"/>
    <cellStyle name="Followed Hyperlink" xfId="14621" builtinId="9" hidden="1"/>
    <cellStyle name="Followed Hyperlink" xfId="14623" builtinId="9" hidden="1"/>
    <cellStyle name="Followed Hyperlink" xfId="14625" builtinId="9" hidden="1"/>
    <cellStyle name="Followed Hyperlink" xfId="14627" builtinId="9" hidden="1"/>
    <cellStyle name="Followed Hyperlink" xfId="14629" builtinId="9" hidden="1"/>
    <cellStyle name="Followed Hyperlink" xfId="14631" builtinId="9" hidden="1"/>
    <cellStyle name="Followed Hyperlink" xfId="14633" builtinId="9" hidden="1"/>
    <cellStyle name="Followed Hyperlink" xfId="14635" builtinId="9" hidden="1"/>
    <cellStyle name="Followed Hyperlink" xfId="14637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45" builtinId="9" hidden="1"/>
    <cellStyle name="Followed Hyperlink" xfId="14647" builtinId="9" hidden="1"/>
    <cellStyle name="Followed Hyperlink" xfId="14649" builtinId="9" hidden="1"/>
    <cellStyle name="Followed Hyperlink" xfId="14651" builtinId="9" hidden="1"/>
    <cellStyle name="Followed Hyperlink" xfId="14653" builtinId="9" hidden="1"/>
    <cellStyle name="Followed Hyperlink" xfId="14655" builtinId="9" hidden="1"/>
    <cellStyle name="Followed Hyperlink" xfId="14657" builtinId="9" hidden="1"/>
    <cellStyle name="Followed Hyperlink" xfId="14659" builtinId="9" hidden="1"/>
    <cellStyle name="Followed Hyperlink" xfId="14661" builtinId="9" hidden="1"/>
    <cellStyle name="Followed Hyperlink" xfId="14663" builtinId="9" hidden="1"/>
    <cellStyle name="Followed Hyperlink" xfId="14665" builtinId="9" hidden="1"/>
    <cellStyle name="Followed Hyperlink" xfId="14667" builtinId="9" hidden="1"/>
    <cellStyle name="Followed Hyperlink" xfId="14669" builtinId="9" hidden="1"/>
    <cellStyle name="Followed Hyperlink" xfId="14671" builtinId="9" hidden="1"/>
    <cellStyle name="Followed Hyperlink" xfId="14673" builtinId="9" hidden="1"/>
    <cellStyle name="Followed Hyperlink" xfId="14675" builtinId="9" hidden="1"/>
    <cellStyle name="Followed Hyperlink" xfId="14677" builtinId="9" hidden="1"/>
    <cellStyle name="Followed Hyperlink" xfId="14679" builtinId="9" hidden="1"/>
    <cellStyle name="Followed Hyperlink" xfId="14681" builtinId="9" hidden="1"/>
    <cellStyle name="Followed Hyperlink" xfId="14683" builtinId="9" hidden="1"/>
    <cellStyle name="Followed Hyperlink" xfId="14685" builtinId="9" hidden="1"/>
    <cellStyle name="Followed Hyperlink" xfId="14687" builtinId="9" hidden="1"/>
    <cellStyle name="Followed Hyperlink" xfId="14689" builtinId="9" hidden="1"/>
    <cellStyle name="Followed Hyperlink" xfId="14691" builtinId="9" hidden="1"/>
    <cellStyle name="Followed Hyperlink" xfId="14693" builtinId="9" hidden="1"/>
    <cellStyle name="Followed Hyperlink" xfId="14695" builtinId="9" hidden="1"/>
    <cellStyle name="Followed Hyperlink" xfId="14697" builtinId="9" hidden="1"/>
    <cellStyle name="Followed Hyperlink" xfId="14699" builtinId="9" hidden="1"/>
    <cellStyle name="Followed Hyperlink" xfId="14701" builtinId="9" hidden="1"/>
    <cellStyle name="Followed Hyperlink" xfId="14703" builtinId="9" hidden="1"/>
    <cellStyle name="Followed Hyperlink" xfId="14705" builtinId="9" hidden="1"/>
    <cellStyle name="Followed Hyperlink" xfId="14707" builtinId="9" hidden="1"/>
    <cellStyle name="Followed Hyperlink" xfId="14709" builtinId="9" hidden="1"/>
    <cellStyle name="Followed Hyperlink" xfId="14711" builtinId="9" hidden="1"/>
    <cellStyle name="Followed Hyperlink" xfId="14713" builtinId="9" hidden="1"/>
    <cellStyle name="Followed Hyperlink" xfId="14715" builtinId="9" hidden="1"/>
    <cellStyle name="Followed Hyperlink" xfId="14717" builtinId="9" hidden="1"/>
    <cellStyle name="Followed Hyperlink" xfId="14719" builtinId="9" hidden="1"/>
    <cellStyle name="Followed Hyperlink" xfId="14721" builtinId="9" hidden="1"/>
    <cellStyle name="Followed Hyperlink" xfId="14723" builtinId="9" hidden="1"/>
    <cellStyle name="Followed Hyperlink" xfId="14725" builtinId="9" hidden="1"/>
    <cellStyle name="Followed Hyperlink" xfId="14727" builtinId="9" hidden="1"/>
    <cellStyle name="Followed Hyperlink" xfId="14729" builtinId="9" hidden="1"/>
    <cellStyle name="Followed Hyperlink" xfId="14731" builtinId="9" hidden="1"/>
    <cellStyle name="Followed Hyperlink" xfId="14733" builtinId="9" hidden="1"/>
    <cellStyle name="Followed Hyperlink" xfId="14735" builtinId="9" hidden="1"/>
    <cellStyle name="Followed Hyperlink" xfId="14737" builtinId="9" hidden="1"/>
    <cellStyle name="Followed Hyperlink" xfId="14739" builtinId="9" hidden="1"/>
    <cellStyle name="Followed Hyperlink" xfId="14741" builtinId="9" hidden="1"/>
    <cellStyle name="Followed Hyperlink" xfId="14743" builtinId="9" hidden="1"/>
    <cellStyle name="Followed Hyperlink" xfId="14745" builtinId="9" hidden="1"/>
    <cellStyle name="Followed Hyperlink" xfId="14747" builtinId="9" hidden="1"/>
    <cellStyle name="Followed Hyperlink" xfId="14749" builtinId="9" hidden="1"/>
    <cellStyle name="Followed Hyperlink" xfId="14751" builtinId="9" hidden="1"/>
    <cellStyle name="Followed Hyperlink" xfId="14753" builtinId="9" hidden="1"/>
    <cellStyle name="Followed Hyperlink" xfId="14755" builtinId="9" hidden="1"/>
    <cellStyle name="Followed Hyperlink" xfId="14757" builtinId="9" hidden="1"/>
    <cellStyle name="Followed Hyperlink" xfId="14759" builtinId="9" hidden="1"/>
    <cellStyle name="Followed Hyperlink" xfId="14761" builtinId="9" hidden="1"/>
    <cellStyle name="Followed Hyperlink" xfId="14763" builtinId="9" hidden="1"/>
    <cellStyle name="Followed Hyperlink" xfId="14765" builtinId="9" hidden="1"/>
    <cellStyle name="Followed Hyperlink" xfId="14767" builtinId="9" hidden="1"/>
    <cellStyle name="Followed Hyperlink" xfId="14769" builtinId="9" hidden="1"/>
    <cellStyle name="Followed Hyperlink" xfId="14771" builtinId="9" hidden="1"/>
    <cellStyle name="Followed Hyperlink" xfId="14773" builtinId="9" hidden="1"/>
    <cellStyle name="Followed Hyperlink" xfId="14775" builtinId="9" hidden="1"/>
    <cellStyle name="Followed Hyperlink" xfId="14777" builtinId="9" hidden="1"/>
    <cellStyle name="Followed Hyperlink" xfId="14779" builtinId="9" hidden="1"/>
    <cellStyle name="Followed Hyperlink" xfId="14781" builtinId="9" hidden="1"/>
    <cellStyle name="Followed Hyperlink" xfId="14783" builtinId="9" hidden="1"/>
    <cellStyle name="Followed Hyperlink" xfId="14785" builtinId="9" hidden="1"/>
    <cellStyle name="Followed Hyperlink" xfId="14787" builtinId="9" hidden="1"/>
    <cellStyle name="Followed Hyperlink" xfId="14789" builtinId="9" hidden="1"/>
    <cellStyle name="Followed Hyperlink" xfId="14791" builtinId="9" hidden="1"/>
    <cellStyle name="Followed Hyperlink" xfId="14793" builtinId="9" hidden="1"/>
    <cellStyle name="Followed Hyperlink" xfId="14795" builtinId="9" hidden="1"/>
    <cellStyle name="Followed Hyperlink" xfId="14797" builtinId="9" hidden="1"/>
    <cellStyle name="Followed Hyperlink" xfId="14799" builtinId="9" hidden="1"/>
    <cellStyle name="Followed Hyperlink" xfId="14801" builtinId="9" hidden="1"/>
    <cellStyle name="Followed Hyperlink" xfId="14803" builtinId="9" hidden="1"/>
    <cellStyle name="Followed Hyperlink" xfId="14805" builtinId="9" hidden="1"/>
    <cellStyle name="Followed Hyperlink" xfId="14807" builtinId="9" hidden="1"/>
    <cellStyle name="Followed Hyperlink" xfId="14809" builtinId="9" hidden="1"/>
    <cellStyle name="Followed Hyperlink" xfId="14811" builtinId="9" hidden="1"/>
    <cellStyle name="Followed Hyperlink" xfId="14813" builtinId="9" hidden="1"/>
    <cellStyle name="Followed Hyperlink" xfId="14815" builtinId="9" hidden="1"/>
    <cellStyle name="Followed Hyperlink" xfId="14817" builtinId="9" hidden="1"/>
    <cellStyle name="Followed Hyperlink" xfId="14819" builtinId="9" hidden="1"/>
    <cellStyle name="Followed Hyperlink" xfId="14821" builtinId="9" hidden="1"/>
    <cellStyle name="Followed Hyperlink" xfId="14823" builtinId="9" hidden="1"/>
    <cellStyle name="Followed Hyperlink" xfId="14825" builtinId="9" hidden="1"/>
    <cellStyle name="Followed Hyperlink" xfId="14827" builtinId="9" hidden="1"/>
    <cellStyle name="Followed Hyperlink" xfId="14829" builtinId="9" hidden="1"/>
    <cellStyle name="Followed Hyperlink" xfId="14831" builtinId="9" hidden="1"/>
    <cellStyle name="Followed Hyperlink" xfId="14833" builtinId="9" hidden="1"/>
    <cellStyle name="Followed Hyperlink" xfId="14835" builtinId="9" hidden="1"/>
    <cellStyle name="Followed Hyperlink" xfId="14837" builtinId="9" hidden="1"/>
    <cellStyle name="Followed Hyperlink" xfId="14839" builtinId="9" hidden="1"/>
    <cellStyle name="Followed Hyperlink" xfId="14841" builtinId="9" hidden="1"/>
    <cellStyle name="Followed Hyperlink" xfId="14843" builtinId="9" hidden="1"/>
    <cellStyle name="Followed Hyperlink" xfId="14845" builtinId="9" hidden="1"/>
    <cellStyle name="Followed Hyperlink" xfId="14847" builtinId="9" hidden="1"/>
    <cellStyle name="Followed Hyperlink" xfId="14849" builtinId="9" hidden="1"/>
    <cellStyle name="Followed Hyperlink" xfId="14851" builtinId="9" hidden="1"/>
    <cellStyle name="Followed Hyperlink" xfId="14853" builtinId="9" hidden="1"/>
    <cellStyle name="Followed Hyperlink" xfId="14855" builtinId="9" hidden="1"/>
    <cellStyle name="Followed Hyperlink" xfId="14857" builtinId="9" hidden="1"/>
    <cellStyle name="Followed Hyperlink" xfId="14859" builtinId="9" hidden="1"/>
    <cellStyle name="Followed Hyperlink" xfId="14861" builtinId="9" hidden="1"/>
    <cellStyle name="Followed Hyperlink" xfId="14863" builtinId="9" hidden="1"/>
    <cellStyle name="Followed Hyperlink" xfId="14865" builtinId="9" hidden="1"/>
    <cellStyle name="Followed Hyperlink" xfId="14867" builtinId="9" hidden="1"/>
    <cellStyle name="Followed Hyperlink" xfId="14869" builtinId="9" hidden="1"/>
    <cellStyle name="Followed Hyperlink" xfId="14871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969" builtinId="9" hidden="1"/>
    <cellStyle name="Followed Hyperlink" xfId="14971" builtinId="9" hidden="1"/>
    <cellStyle name="Followed Hyperlink" xfId="14973" builtinId="9" hidden="1"/>
    <cellStyle name="Followed Hyperlink" xfId="14975" builtinId="9" hidden="1"/>
    <cellStyle name="Followed Hyperlink" xfId="14977" builtinId="9" hidden="1"/>
    <cellStyle name="Followed Hyperlink" xfId="14979" builtinId="9" hidden="1"/>
    <cellStyle name="Followed Hyperlink" xfId="14981" builtinId="9" hidden="1"/>
    <cellStyle name="Followed Hyperlink" xfId="14983" builtinId="9" hidden="1"/>
    <cellStyle name="Followed Hyperlink" xfId="14985" builtinId="9" hidden="1"/>
    <cellStyle name="Followed Hyperlink" xfId="14987" builtinId="9" hidden="1"/>
    <cellStyle name="Followed Hyperlink" xfId="14989" builtinId="9" hidden="1"/>
    <cellStyle name="Followed Hyperlink" xfId="14991" builtinId="9" hidden="1"/>
    <cellStyle name="Followed Hyperlink" xfId="14993" builtinId="9" hidden="1"/>
    <cellStyle name="Followed Hyperlink" xfId="14995" builtinId="9" hidden="1"/>
    <cellStyle name="Followed Hyperlink" xfId="14997" builtinId="9" hidden="1"/>
    <cellStyle name="Followed Hyperlink" xfId="14999" builtinId="9" hidden="1"/>
    <cellStyle name="Followed Hyperlink" xfId="15001" builtinId="9" hidden="1"/>
    <cellStyle name="Followed Hyperlink" xfId="15003" builtinId="9" hidden="1"/>
    <cellStyle name="Followed Hyperlink" xfId="15005" builtinId="9" hidden="1"/>
    <cellStyle name="Followed Hyperlink" xfId="15007" builtinId="9" hidden="1"/>
    <cellStyle name="Followed Hyperlink" xfId="15009" builtinId="9" hidden="1"/>
    <cellStyle name="Followed Hyperlink" xfId="15011" builtinId="9" hidden="1"/>
    <cellStyle name="Followed Hyperlink" xfId="15013" builtinId="9" hidden="1"/>
    <cellStyle name="Followed Hyperlink" xfId="15015" builtinId="9" hidden="1"/>
    <cellStyle name="Followed Hyperlink" xfId="15017" builtinId="9" hidden="1"/>
    <cellStyle name="Followed Hyperlink" xfId="15019" builtinId="9" hidden="1"/>
    <cellStyle name="Followed Hyperlink" xfId="15021" builtinId="9" hidden="1"/>
    <cellStyle name="Followed Hyperlink" xfId="15023" builtinId="9" hidden="1"/>
    <cellStyle name="Followed Hyperlink" xfId="15025" builtinId="9" hidden="1"/>
    <cellStyle name="Followed Hyperlink" xfId="15027" builtinId="9" hidden="1"/>
    <cellStyle name="Followed Hyperlink" xfId="15029" builtinId="9" hidden="1"/>
    <cellStyle name="Followed Hyperlink" xfId="15031" builtinId="9" hidden="1"/>
    <cellStyle name="Followed Hyperlink" xfId="15033" builtinId="9" hidden="1"/>
    <cellStyle name="Followed Hyperlink" xfId="15035" builtinId="9" hidden="1"/>
    <cellStyle name="Followed Hyperlink" xfId="15037" builtinId="9" hidden="1"/>
    <cellStyle name="Followed Hyperlink" xfId="15039" builtinId="9" hidden="1"/>
    <cellStyle name="Followed Hyperlink" xfId="15041" builtinId="9" hidden="1"/>
    <cellStyle name="Followed Hyperlink" xfId="15043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51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59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67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75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83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91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9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107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115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29" builtinId="9" hidden="1"/>
    <cellStyle name="Followed Hyperlink" xfId="15131" builtinId="9" hidden="1"/>
    <cellStyle name="Followed Hyperlink" xfId="15133" builtinId="9" hidden="1"/>
    <cellStyle name="Followed Hyperlink" xfId="15135" builtinId="9" hidden="1"/>
    <cellStyle name="Followed Hyperlink" xfId="15137" builtinId="9" hidden="1"/>
    <cellStyle name="Followed Hyperlink" xfId="15139" builtinId="9" hidden="1"/>
    <cellStyle name="Followed Hyperlink" xfId="15141" builtinId="9" hidden="1"/>
    <cellStyle name="Followed Hyperlink" xfId="15143" builtinId="9" hidden="1"/>
    <cellStyle name="Followed Hyperlink" xfId="15145" builtinId="9" hidden="1"/>
    <cellStyle name="Followed Hyperlink" xfId="15147" builtinId="9" hidden="1"/>
    <cellStyle name="Followed Hyperlink" xfId="15149" builtinId="9" hidden="1"/>
    <cellStyle name="Followed Hyperlink" xfId="15151" builtinId="9" hidden="1"/>
    <cellStyle name="Followed Hyperlink" xfId="15153" builtinId="9" hidden="1"/>
    <cellStyle name="Followed Hyperlink" xfId="15155" builtinId="9" hidden="1"/>
    <cellStyle name="Followed Hyperlink" xfId="15157" builtinId="9" hidden="1"/>
    <cellStyle name="Followed Hyperlink" xfId="15159" builtinId="9" hidden="1"/>
    <cellStyle name="Followed Hyperlink" xfId="15161" builtinId="9" hidden="1"/>
    <cellStyle name="Followed Hyperlink" xfId="15163" builtinId="9" hidden="1"/>
    <cellStyle name="Followed Hyperlink" xfId="15165" builtinId="9" hidden="1"/>
    <cellStyle name="Followed Hyperlink" xfId="15167" builtinId="9" hidden="1"/>
    <cellStyle name="Followed Hyperlink" xfId="15169" builtinId="9" hidden="1"/>
    <cellStyle name="Followed Hyperlink" xfId="15171" builtinId="9" hidden="1"/>
    <cellStyle name="Followed Hyperlink" xfId="15173" builtinId="9" hidden="1"/>
    <cellStyle name="Followed Hyperlink" xfId="15175" builtinId="9" hidden="1"/>
    <cellStyle name="Followed Hyperlink" xfId="15177" builtinId="9" hidden="1"/>
    <cellStyle name="Followed Hyperlink" xfId="15179" builtinId="9" hidden="1"/>
    <cellStyle name="Followed Hyperlink" xfId="15181" builtinId="9" hidden="1"/>
    <cellStyle name="Followed Hyperlink" xfId="15183" builtinId="9" hidden="1"/>
    <cellStyle name="Followed Hyperlink" xfId="15185" builtinId="9" hidden="1"/>
    <cellStyle name="Followed Hyperlink" xfId="15187" builtinId="9" hidden="1"/>
    <cellStyle name="Followed Hyperlink" xfId="15189" builtinId="9" hidden="1"/>
    <cellStyle name="Followed Hyperlink" xfId="15191" builtinId="9" hidden="1"/>
    <cellStyle name="Followed Hyperlink" xfId="15193" builtinId="9" hidden="1"/>
    <cellStyle name="Followed Hyperlink" xfId="15195" builtinId="9" hidden="1"/>
    <cellStyle name="Followed Hyperlink" xfId="15197" builtinId="9" hidden="1"/>
    <cellStyle name="Followed Hyperlink" xfId="15199" builtinId="9" hidden="1"/>
    <cellStyle name="Followed Hyperlink" xfId="15201" builtinId="9" hidden="1"/>
    <cellStyle name="Followed Hyperlink" xfId="15203" builtinId="9" hidden="1"/>
    <cellStyle name="Followed Hyperlink" xfId="15205" builtinId="9" hidden="1"/>
    <cellStyle name="Followed Hyperlink" xfId="15207" builtinId="9" hidden="1"/>
    <cellStyle name="Followed Hyperlink" xfId="15209" builtinId="9" hidden="1"/>
    <cellStyle name="Followed Hyperlink" xfId="15211" builtinId="9" hidden="1"/>
    <cellStyle name="Followed Hyperlink" xfId="15213" builtinId="9" hidden="1"/>
    <cellStyle name="Followed Hyperlink" xfId="15215" builtinId="9" hidden="1"/>
    <cellStyle name="Followed Hyperlink" xfId="15217" builtinId="9" hidden="1"/>
    <cellStyle name="Followed Hyperlink" xfId="15219" builtinId="9" hidden="1"/>
    <cellStyle name="Followed Hyperlink" xfId="15221" builtinId="9" hidden="1"/>
    <cellStyle name="Followed Hyperlink" xfId="15223" builtinId="9" hidden="1"/>
    <cellStyle name="Followed Hyperlink" xfId="15225" builtinId="9" hidden="1"/>
    <cellStyle name="Followed Hyperlink" xfId="15227" builtinId="9" hidden="1"/>
    <cellStyle name="Followed Hyperlink" xfId="15229" builtinId="9" hidden="1"/>
    <cellStyle name="Followed Hyperlink" xfId="15231" builtinId="9" hidden="1"/>
    <cellStyle name="Followed Hyperlink" xfId="15233" builtinId="9" hidden="1"/>
    <cellStyle name="Followed Hyperlink" xfId="15235" builtinId="9" hidden="1"/>
    <cellStyle name="Followed Hyperlink" xfId="15237" builtinId="9" hidden="1"/>
    <cellStyle name="Followed Hyperlink" xfId="15239" builtinId="9" hidden="1"/>
    <cellStyle name="Followed Hyperlink" xfId="15241" builtinId="9" hidden="1"/>
    <cellStyle name="Followed Hyperlink" xfId="15243" builtinId="9" hidden="1"/>
    <cellStyle name="Followed Hyperlink" xfId="15245" builtinId="9" hidden="1"/>
    <cellStyle name="Followed Hyperlink" xfId="15247" builtinId="9" hidden="1"/>
    <cellStyle name="Followed Hyperlink" xfId="15249" builtinId="9" hidden="1"/>
    <cellStyle name="Followed Hyperlink" xfId="15251" builtinId="9" hidden="1"/>
    <cellStyle name="Followed Hyperlink" xfId="15253" builtinId="9" hidden="1"/>
    <cellStyle name="Followed Hyperlink" xfId="15255" builtinId="9" hidden="1"/>
    <cellStyle name="Followed Hyperlink" xfId="15257" builtinId="9" hidden="1"/>
    <cellStyle name="Followed Hyperlink" xfId="15259" builtinId="9" hidden="1"/>
    <cellStyle name="Followed Hyperlink" xfId="15261" builtinId="9" hidden="1"/>
    <cellStyle name="Followed Hyperlink" xfId="15263" builtinId="9" hidden="1"/>
    <cellStyle name="Followed Hyperlink" xfId="15265" builtinId="9" hidden="1"/>
    <cellStyle name="Followed Hyperlink" xfId="15267" builtinId="9" hidden="1"/>
    <cellStyle name="Followed Hyperlink" xfId="15269" builtinId="9" hidden="1"/>
    <cellStyle name="Followed Hyperlink" xfId="15271" builtinId="9" hidden="1"/>
    <cellStyle name="Followed Hyperlink" xfId="15273" builtinId="9" hidden="1"/>
    <cellStyle name="Followed Hyperlink" xfId="15275" builtinId="9" hidden="1"/>
    <cellStyle name="Followed Hyperlink" xfId="15277" builtinId="9" hidden="1"/>
    <cellStyle name="Followed Hyperlink" xfId="15279" builtinId="9" hidden="1"/>
    <cellStyle name="Followed Hyperlink" xfId="15281" builtinId="9" hidden="1"/>
    <cellStyle name="Followed Hyperlink" xfId="15283" builtinId="9" hidden="1"/>
    <cellStyle name="Followed Hyperlink" xfId="15285" builtinId="9" hidden="1"/>
    <cellStyle name="Followed Hyperlink" xfId="15287" builtinId="9" hidden="1"/>
    <cellStyle name="Followed Hyperlink" xfId="15289" builtinId="9" hidden="1"/>
    <cellStyle name="Followed Hyperlink" xfId="15291" builtinId="9" hidden="1"/>
    <cellStyle name="Followed Hyperlink" xfId="15293" builtinId="9" hidden="1"/>
    <cellStyle name="Followed Hyperlink" xfId="15295" builtinId="9" hidden="1"/>
    <cellStyle name="Followed Hyperlink" xfId="15297" builtinId="9" hidden="1"/>
    <cellStyle name="Followed Hyperlink" xfId="15299" builtinId="9" hidden="1"/>
    <cellStyle name="Followed Hyperlink" xfId="15301" builtinId="9" hidden="1"/>
    <cellStyle name="Followed Hyperlink" xfId="15303" builtinId="9" hidden="1"/>
    <cellStyle name="Followed Hyperlink" xfId="15305" builtinId="9" hidden="1"/>
    <cellStyle name="Followed Hyperlink" xfId="15307" builtinId="9" hidden="1"/>
    <cellStyle name="Followed Hyperlink" xfId="15309" builtinId="9" hidden="1"/>
    <cellStyle name="Followed Hyperlink" xfId="15311" builtinId="9" hidden="1"/>
    <cellStyle name="Followed Hyperlink" xfId="15313" builtinId="9" hidden="1"/>
    <cellStyle name="Followed Hyperlink" xfId="15315" builtinId="9" hidden="1"/>
    <cellStyle name="Followed Hyperlink" xfId="15317" builtinId="9" hidden="1"/>
    <cellStyle name="Followed Hyperlink" xfId="15319" builtinId="9" hidden="1"/>
    <cellStyle name="Followed Hyperlink" xfId="15321" builtinId="9" hidden="1"/>
    <cellStyle name="Followed Hyperlink" xfId="15323" builtinId="9" hidden="1"/>
    <cellStyle name="Followed Hyperlink" xfId="15325" builtinId="9" hidden="1"/>
    <cellStyle name="Followed Hyperlink" xfId="15327" builtinId="9" hidden="1"/>
    <cellStyle name="Followed Hyperlink" xfId="15329" builtinId="9" hidden="1"/>
    <cellStyle name="Followed Hyperlink" xfId="15331" builtinId="9" hidden="1"/>
    <cellStyle name="Followed Hyperlink" xfId="15333" builtinId="9" hidden="1"/>
    <cellStyle name="Followed Hyperlink" xfId="15335" builtinId="9" hidden="1"/>
    <cellStyle name="Followed Hyperlink" xfId="15337" builtinId="9" hidden="1"/>
    <cellStyle name="Followed Hyperlink" xfId="15339" builtinId="9" hidden="1"/>
    <cellStyle name="Followed Hyperlink" xfId="15341" builtinId="9" hidden="1"/>
    <cellStyle name="Followed Hyperlink" xfId="15343" builtinId="9" hidden="1"/>
    <cellStyle name="Followed Hyperlink" xfId="15345" builtinId="9" hidden="1"/>
    <cellStyle name="Followed Hyperlink" xfId="15347" builtinId="9" hidden="1"/>
    <cellStyle name="Followed Hyperlink" xfId="15349" builtinId="9" hidden="1"/>
    <cellStyle name="Followed Hyperlink" xfId="15351" builtinId="9" hidden="1"/>
    <cellStyle name="Followed Hyperlink" xfId="15353" builtinId="9" hidden="1"/>
    <cellStyle name="Followed Hyperlink" xfId="15355" builtinId="9" hidden="1"/>
    <cellStyle name="Followed Hyperlink" xfId="15357" builtinId="9" hidden="1"/>
    <cellStyle name="Followed Hyperlink" xfId="15359" builtinId="9" hidden="1"/>
    <cellStyle name="Followed Hyperlink" xfId="15361" builtinId="9" hidden="1"/>
    <cellStyle name="Followed Hyperlink" xfId="15363" builtinId="9" hidden="1"/>
    <cellStyle name="Followed Hyperlink" xfId="15365" builtinId="9" hidden="1"/>
    <cellStyle name="Followed Hyperlink" xfId="15367" builtinId="9" hidden="1"/>
    <cellStyle name="Followed Hyperlink" xfId="15369" builtinId="9" hidden="1"/>
    <cellStyle name="Followed Hyperlink" xfId="15371" builtinId="9" hidden="1"/>
    <cellStyle name="Followed Hyperlink" xfId="15373" builtinId="9" hidden="1"/>
    <cellStyle name="Followed Hyperlink" xfId="15375" builtinId="9" hidden="1"/>
    <cellStyle name="Followed Hyperlink" xfId="15377" builtinId="9" hidden="1"/>
    <cellStyle name="Followed Hyperlink" xfId="15379" builtinId="9" hidden="1"/>
    <cellStyle name="Followed Hyperlink" xfId="15381" builtinId="9" hidden="1"/>
    <cellStyle name="Followed Hyperlink" xfId="15383" builtinId="9" hidden="1"/>
    <cellStyle name="Followed Hyperlink" xfId="15385" builtinId="9" hidden="1"/>
    <cellStyle name="Followed Hyperlink" xfId="15387" builtinId="9" hidden="1"/>
    <cellStyle name="Followed Hyperlink" xfId="15389" builtinId="9" hidden="1"/>
    <cellStyle name="Followed Hyperlink" xfId="15391" builtinId="9" hidden="1"/>
    <cellStyle name="Followed Hyperlink" xfId="15393" builtinId="9" hidden="1"/>
    <cellStyle name="Followed Hyperlink" xfId="15395" builtinId="9" hidden="1"/>
    <cellStyle name="Followed Hyperlink" xfId="15397" builtinId="9" hidden="1"/>
    <cellStyle name="Followed Hyperlink" xfId="15399" builtinId="9" hidden="1"/>
    <cellStyle name="Followed Hyperlink" xfId="15401" builtinId="9" hidden="1"/>
    <cellStyle name="Followed Hyperlink" xfId="15403" builtinId="9" hidden="1"/>
    <cellStyle name="Followed Hyperlink" xfId="15405" builtinId="9" hidden="1"/>
    <cellStyle name="Followed Hyperlink" xfId="15407" builtinId="9" hidden="1"/>
    <cellStyle name="Followed Hyperlink" xfId="15409" builtinId="9" hidden="1"/>
    <cellStyle name="Followed Hyperlink" xfId="15411" builtinId="9" hidden="1"/>
    <cellStyle name="Followed Hyperlink" xfId="15413" builtinId="9" hidden="1"/>
    <cellStyle name="Followed Hyperlink" xfId="15415" builtinId="9" hidden="1"/>
    <cellStyle name="Followed Hyperlink" xfId="15417" builtinId="9" hidden="1"/>
    <cellStyle name="Followed Hyperlink" xfId="15419" builtinId="9" hidden="1"/>
    <cellStyle name="Followed Hyperlink" xfId="15421" builtinId="9" hidden="1"/>
    <cellStyle name="Followed Hyperlink" xfId="15423" builtinId="9" hidden="1"/>
    <cellStyle name="Followed Hyperlink" xfId="15425" builtinId="9" hidden="1"/>
    <cellStyle name="Followed Hyperlink" xfId="15427" builtinId="9" hidden="1"/>
    <cellStyle name="Followed Hyperlink" xfId="15429" builtinId="9" hidden="1"/>
    <cellStyle name="Followed Hyperlink" xfId="15431" builtinId="9" hidden="1"/>
    <cellStyle name="Followed Hyperlink" xfId="15433" builtinId="9" hidden="1"/>
    <cellStyle name="Followed Hyperlink" xfId="15435" builtinId="9" hidden="1"/>
    <cellStyle name="Followed Hyperlink" xfId="15437" builtinId="9" hidden="1"/>
    <cellStyle name="Followed Hyperlink" xfId="15439" builtinId="9" hidden="1"/>
    <cellStyle name="Followed Hyperlink" xfId="15441" builtinId="9" hidden="1"/>
    <cellStyle name="Followed Hyperlink" xfId="15443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453" builtinId="9" hidden="1"/>
    <cellStyle name="Followed Hyperlink" xfId="15455" builtinId="9" hidden="1"/>
    <cellStyle name="Followed Hyperlink" xfId="15457" builtinId="9" hidden="1"/>
    <cellStyle name="Followed Hyperlink" xfId="15459" builtinId="9" hidden="1"/>
    <cellStyle name="Followed Hyperlink" xfId="15461" builtinId="9" hidden="1"/>
    <cellStyle name="Followed Hyperlink" xfId="15463" builtinId="9" hidden="1"/>
    <cellStyle name="Followed Hyperlink" xfId="15465" builtinId="9" hidden="1"/>
    <cellStyle name="Followed Hyperlink" xfId="15467" builtinId="9" hidden="1"/>
    <cellStyle name="Followed Hyperlink" xfId="15469" builtinId="9" hidden="1"/>
    <cellStyle name="Followed Hyperlink" xfId="15471" builtinId="9" hidden="1"/>
    <cellStyle name="Followed Hyperlink" xfId="15473" builtinId="9" hidden="1"/>
    <cellStyle name="Followed Hyperlink" xfId="15475" builtinId="9" hidden="1"/>
    <cellStyle name="Followed Hyperlink" xfId="15477" builtinId="9" hidden="1"/>
    <cellStyle name="Followed Hyperlink" xfId="15479" builtinId="9" hidden="1"/>
    <cellStyle name="Followed Hyperlink" xfId="15481" builtinId="9" hidden="1"/>
    <cellStyle name="Followed Hyperlink" xfId="15483" builtinId="9" hidden="1"/>
    <cellStyle name="Followed Hyperlink" xfId="15485" builtinId="9" hidden="1"/>
    <cellStyle name="Followed Hyperlink" xfId="15487" builtinId="9" hidden="1"/>
    <cellStyle name="Followed Hyperlink" xfId="15489" builtinId="9" hidden="1"/>
    <cellStyle name="Followed Hyperlink" xfId="15491" builtinId="9" hidden="1"/>
    <cellStyle name="Followed Hyperlink" xfId="15493" builtinId="9" hidden="1"/>
    <cellStyle name="Followed Hyperlink" xfId="15495" builtinId="9" hidden="1"/>
    <cellStyle name="Followed Hyperlink" xfId="15497" builtinId="9" hidden="1"/>
    <cellStyle name="Followed Hyperlink" xfId="15499" builtinId="9" hidden="1"/>
    <cellStyle name="Followed Hyperlink" xfId="15501" builtinId="9" hidden="1"/>
    <cellStyle name="Followed Hyperlink" xfId="15503" builtinId="9" hidden="1"/>
    <cellStyle name="Followed Hyperlink" xfId="15505" builtinId="9" hidden="1"/>
    <cellStyle name="Followed Hyperlink" xfId="15507" builtinId="9" hidden="1"/>
    <cellStyle name="Followed Hyperlink" xfId="15509" builtinId="9" hidden="1"/>
    <cellStyle name="Followed Hyperlink" xfId="15511" builtinId="9" hidden="1"/>
    <cellStyle name="Followed Hyperlink" xfId="15513" builtinId="9" hidden="1"/>
    <cellStyle name="Followed Hyperlink" xfId="15515" builtinId="9" hidden="1"/>
    <cellStyle name="Followed Hyperlink" xfId="15517" builtinId="9" hidden="1"/>
    <cellStyle name="Followed Hyperlink" xfId="15519" builtinId="9" hidden="1"/>
    <cellStyle name="Followed Hyperlink" xfId="15521" builtinId="9" hidden="1"/>
    <cellStyle name="Followed Hyperlink" xfId="15523" builtinId="9" hidden="1"/>
    <cellStyle name="Followed Hyperlink" xfId="15525" builtinId="9" hidden="1"/>
    <cellStyle name="Followed Hyperlink" xfId="15527" builtinId="9" hidden="1"/>
    <cellStyle name="Followed Hyperlink" xfId="15529" builtinId="9" hidden="1"/>
    <cellStyle name="Followed Hyperlink" xfId="15531" builtinId="9" hidden="1"/>
    <cellStyle name="Followed Hyperlink" xfId="15533" builtinId="9" hidden="1"/>
    <cellStyle name="Followed Hyperlink" xfId="15535" builtinId="9" hidden="1"/>
    <cellStyle name="Followed Hyperlink" xfId="15537" builtinId="9" hidden="1"/>
    <cellStyle name="Followed Hyperlink" xfId="15539" builtinId="9" hidden="1"/>
    <cellStyle name="Followed Hyperlink" xfId="15541" builtinId="9" hidden="1"/>
    <cellStyle name="Followed Hyperlink" xfId="15543" builtinId="9" hidden="1"/>
    <cellStyle name="Followed Hyperlink" xfId="15545" builtinId="9" hidden="1"/>
    <cellStyle name="Followed Hyperlink" xfId="15547" builtinId="9" hidden="1"/>
    <cellStyle name="Followed Hyperlink" xfId="15549" builtinId="9" hidden="1"/>
    <cellStyle name="Followed Hyperlink" xfId="15551" builtinId="9" hidden="1"/>
    <cellStyle name="Followed Hyperlink" xfId="15553" builtinId="9" hidden="1"/>
    <cellStyle name="Followed Hyperlink" xfId="15555" builtinId="9" hidden="1"/>
    <cellStyle name="Followed Hyperlink" xfId="15557" builtinId="9" hidden="1"/>
    <cellStyle name="Followed Hyperlink" xfId="15559" builtinId="9" hidden="1"/>
    <cellStyle name="Followed Hyperlink" xfId="15561" builtinId="9" hidden="1"/>
    <cellStyle name="Followed Hyperlink" xfId="15563" builtinId="9" hidden="1"/>
    <cellStyle name="Followed Hyperlink" xfId="15565" builtinId="9" hidden="1"/>
    <cellStyle name="Followed Hyperlink" xfId="15567" builtinId="9" hidden="1"/>
    <cellStyle name="Followed Hyperlink" xfId="15569" builtinId="9" hidden="1"/>
    <cellStyle name="Followed Hyperlink" xfId="15571" builtinId="9" hidden="1"/>
    <cellStyle name="Followed Hyperlink" xfId="15573" builtinId="9" hidden="1"/>
    <cellStyle name="Followed Hyperlink" xfId="15575" builtinId="9" hidden="1"/>
    <cellStyle name="Followed Hyperlink" xfId="15577" builtinId="9" hidden="1"/>
    <cellStyle name="Followed Hyperlink" xfId="15579" builtinId="9" hidden="1"/>
    <cellStyle name="Followed Hyperlink" xfId="15581" builtinId="9" hidden="1"/>
    <cellStyle name="Followed Hyperlink" xfId="15583" builtinId="9" hidden="1"/>
    <cellStyle name="Followed Hyperlink" xfId="15585" builtinId="9" hidden="1"/>
    <cellStyle name="Followed Hyperlink" xfId="15587" builtinId="9" hidden="1"/>
    <cellStyle name="Followed Hyperlink" xfId="15589" builtinId="9" hidden="1"/>
    <cellStyle name="Followed Hyperlink" xfId="15591" builtinId="9" hidden="1"/>
    <cellStyle name="Followed Hyperlink" xfId="15593" builtinId="9" hidden="1"/>
    <cellStyle name="Followed Hyperlink" xfId="15595" builtinId="9" hidden="1"/>
    <cellStyle name="Followed Hyperlink" xfId="15597" builtinId="9" hidden="1"/>
    <cellStyle name="Followed Hyperlink" xfId="15599" builtinId="9" hidden="1"/>
    <cellStyle name="Followed Hyperlink" xfId="15601" builtinId="9" hidden="1"/>
    <cellStyle name="Followed Hyperlink" xfId="15603" builtinId="9" hidden="1"/>
    <cellStyle name="Followed Hyperlink" xfId="15605" builtinId="9" hidden="1"/>
    <cellStyle name="Followed Hyperlink" xfId="15607" builtinId="9" hidden="1"/>
    <cellStyle name="Followed Hyperlink" xfId="15609" builtinId="9" hidden="1"/>
    <cellStyle name="Followed Hyperlink" xfId="15611" builtinId="9" hidden="1"/>
    <cellStyle name="Followed Hyperlink" xfId="15613" builtinId="9" hidden="1"/>
    <cellStyle name="Followed Hyperlink" xfId="15615" builtinId="9" hidden="1"/>
    <cellStyle name="Followed Hyperlink" xfId="15617" builtinId="9" hidden="1"/>
    <cellStyle name="Followed Hyperlink" xfId="15619" builtinId="9" hidden="1"/>
    <cellStyle name="Followed Hyperlink" xfId="15621" builtinId="9" hidden="1"/>
    <cellStyle name="Followed Hyperlink" xfId="15623" builtinId="9" hidden="1"/>
    <cellStyle name="Followed Hyperlink" xfId="15625" builtinId="9" hidden="1"/>
    <cellStyle name="Followed Hyperlink" xfId="15627" builtinId="9" hidden="1"/>
    <cellStyle name="Followed Hyperlink" xfId="15629" builtinId="9" hidden="1"/>
    <cellStyle name="Followed Hyperlink" xfId="15631" builtinId="9" hidden="1"/>
    <cellStyle name="Followed Hyperlink" xfId="15633" builtinId="9" hidden="1"/>
    <cellStyle name="Followed Hyperlink" xfId="15635" builtinId="9" hidden="1"/>
    <cellStyle name="Followed Hyperlink" xfId="15637" builtinId="9" hidden="1"/>
    <cellStyle name="Followed Hyperlink" xfId="15639" builtinId="9" hidden="1"/>
    <cellStyle name="Followed Hyperlink" xfId="15641" builtinId="9" hidden="1"/>
    <cellStyle name="Followed Hyperlink" xfId="15643" builtinId="9" hidden="1"/>
    <cellStyle name="Followed Hyperlink" xfId="15645" builtinId="9" hidden="1"/>
    <cellStyle name="Followed Hyperlink" xfId="15647" builtinId="9" hidden="1"/>
    <cellStyle name="Followed Hyperlink" xfId="15649" builtinId="9" hidden="1"/>
    <cellStyle name="Followed Hyperlink" xfId="15651" builtinId="9" hidden="1"/>
    <cellStyle name="Followed Hyperlink" xfId="15653" builtinId="9" hidden="1"/>
    <cellStyle name="Followed Hyperlink" xfId="15655" builtinId="9" hidden="1"/>
    <cellStyle name="Followed Hyperlink" xfId="15657" builtinId="9" hidden="1"/>
    <cellStyle name="Followed Hyperlink" xfId="15659" builtinId="9" hidden="1"/>
    <cellStyle name="Followed Hyperlink" xfId="15661" builtinId="9" hidden="1"/>
    <cellStyle name="Followed Hyperlink" xfId="15663" builtinId="9" hidden="1"/>
    <cellStyle name="Followed Hyperlink" xfId="15665" builtinId="9" hidden="1"/>
    <cellStyle name="Followed Hyperlink" xfId="15667" builtinId="9" hidden="1"/>
    <cellStyle name="Followed Hyperlink" xfId="15669" builtinId="9" hidden="1"/>
    <cellStyle name="Followed Hyperlink" xfId="15671" builtinId="9" hidden="1"/>
    <cellStyle name="Followed Hyperlink" xfId="15673" builtinId="9" hidden="1"/>
    <cellStyle name="Followed Hyperlink" xfId="15675" builtinId="9" hidden="1"/>
    <cellStyle name="Followed Hyperlink" xfId="15677" builtinId="9" hidden="1"/>
    <cellStyle name="Followed Hyperlink" xfId="15679" builtinId="9" hidden="1"/>
    <cellStyle name="Followed Hyperlink" xfId="15681" builtinId="9" hidden="1"/>
    <cellStyle name="Followed Hyperlink" xfId="15683" builtinId="9" hidden="1"/>
    <cellStyle name="Followed Hyperlink" xfId="15685" builtinId="9" hidden="1"/>
    <cellStyle name="Followed Hyperlink" xfId="15687" builtinId="9" hidden="1"/>
    <cellStyle name="Followed Hyperlink" xfId="15689" builtinId="9" hidden="1"/>
    <cellStyle name="Followed Hyperlink" xfId="15691" builtinId="9" hidden="1"/>
    <cellStyle name="Followed Hyperlink" xfId="15693" builtinId="9" hidden="1"/>
    <cellStyle name="Followed Hyperlink" xfId="15695" builtinId="9" hidden="1"/>
    <cellStyle name="Followed Hyperlink" xfId="15697" builtinId="9" hidden="1"/>
    <cellStyle name="Followed Hyperlink" xfId="15699" builtinId="9" hidden="1"/>
    <cellStyle name="Followed Hyperlink" xfId="15701" builtinId="9" hidden="1"/>
    <cellStyle name="Followed Hyperlink" xfId="15703" builtinId="9" hidden="1"/>
    <cellStyle name="Followed Hyperlink" xfId="15705" builtinId="9" hidden="1"/>
    <cellStyle name="Followed Hyperlink" xfId="15707" builtinId="9" hidden="1"/>
    <cellStyle name="Followed Hyperlink" xfId="15709" builtinId="9" hidden="1"/>
    <cellStyle name="Followed Hyperlink" xfId="15711" builtinId="9" hidden="1"/>
    <cellStyle name="Followed Hyperlink" xfId="15713" builtinId="9" hidden="1"/>
    <cellStyle name="Followed Hyperlink" xfId="15715" builtinId="9" hidden="1"/>
    <cellStyle name="Followed Hyperlink" xfId="15717" builtinId="9" hidden="1"/>
    <cellStyle name="Followed Hyperlink" xfId="15719" builtinId="9" hidden="1"/>
    <cellStyle name="Followed Hyperlink" xfId="15721" builtinId="9" hidden="1"/>
    <cellStyle name="Followed Hyperlink" xfId="15723" builtinId="9" hidden="1"/>
    <cellStyle name="Followed Hyperlink" xfId="15725" builtinId="9" hidden="1"/>
    <cellStyle name="Followed Hyperlink" xfId="15727" builtinId="9" hidden="1"/>
    <cellStyle name="Followed Hyperlink" xfId="15729" builtinId="9" hidden="1"/>
    <cellStyle name="Followed Hyperlink" xfId="15731" builtinId="9" hidden="1"/>
    <cellStyle name="Followed Hyperlink" xfId="15733" builtinId="9" hidden="1"/>
    <cellStyle name="Followed Hyperlink" xfId="15735" builtinId="9" hidden="1"/>
    <cellStyle name="Followed Hyperlink" xfId="15737" builtinId="9" hidden="1"/>
    <cellStyle name="Followed Hyperlink" xfId="15739" builtinId="9" hidden="1"/>
    <cellStyle name="Followed Hyperlink" xfId="15741" builtinId="9" hidden="1"/>
    <cellStyle name="Followed Hyperlink" xfId="15743" builtinId="9" hidden="1"/>
    <cellStyle name="Followed Hyperlink" xfId="15745" builtinId="9" hidden="1"/>
    <cellStyle name="Followed Hyperlink" xfId="15747" builtinId="9" hidden="1"/>
    <cellStyle name="Followed Hyperlink" xfId="15749" builtinId="9" hidden="1"/>
    <cellStyle name="Followed Hyperlink" xfId="15751" builtinId="9" hidden="1"/>
    <cellStyle name="Followed Hyperlink" xfId="15753" builtinId="9" hidden="1"/>
    <cellStyle name="Followed Hyperlink" xfId="15755" builtinId="9" hidden="1"/>
    <cellStyle name="Followed Hyperlink" xfId="15757" builtinId="9" hidden="1"/>
    <cellStyle name="Followed Hyperlink" xfId="15759" builtinId="9" hidden="1"/>
    <cellStyle name="Followed Hyperlink" xfId="15761" builtinId="9" hidden="1"/>
    <cellStyle name="Followed Hyperlink" xfId="15763" builtinId="9" hidden="1"/>
    <cellStyle name="Followed Hyperlink" xfId="15765" builtinId="9" hidden="1"/>
    <cellStyle name="Followed Hyperlink" xfId="15767" builtinId="9" hidden="1"/>
    <cellStyle name="Followed Hyperlink" xfId="15769" builtinId="9" hidden="1"/>
    <cellStyle name="Followed Hyperlink" xfId="15771" builtinId="9" hidden="1"/>
    <cellStyle name="Followed Hyperlink" xfId="15773" builtinId="9" hidden="1"/>
    <cellStyle name="Followed Hyperlink" xfId="15775" builtinId="9" hidden="1"/>
    <cellStyle name="Followed Hyperlink" xfId="15777" builtinId="9" hidden="1"/>
    <cellStyle name="Followed Hyperlink" xfId="15779" builtinId="9" hidden="1"/>
    <cellStyle name="Followed Hyperlink" xfId="15781" builtinId="9" hidden="1"/>
    <cellStyle name="Followed Hyperlink" xfId="15783" builtinId="9" hidden="1"/>
    <cellStyle name="Followed Hyperlink" xfId="15785" builtinId="9" hidden="1"/>
    <cellStyle name="Followed Hyperlink" xfId="15787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01" builtinId="9" hidden="1"/>
    <cellStyle name="Followed Hyperlink" xfId="15803" builtinId="9" hidden="1"/>
    <cellStyle name="Followed Hyperlink" xfId="15805" builtinId="9" hidden="1"/>
    <cellStyle name="Followed Hyperlink" xfId="15807" builtinId="9" hidden="1"/>
    <cellStyle name="Followed Hyperlink" xfId="15809" builtinId="9" hidden="1"/>
    <cellStyle name="Followed Hyperlink" xfId="15811" builtinId="9" hidden="1"/>
    <cellStyle name="Followed Hyperlink" xfId="15813" builtinId="9" hidden="1"/>
    <cellStyle name="Followed Hyperlink" xfId="15815" builtinId="9" hidden="1"/>
    <cellStyle name="Followed Hyperlink" xfId="15817" builtinId="9" hidden="1"/>
    <cellStyle name="Followed Hyperlink" xfId="15819" builtinId="9" hidden="1"/>
    <cellStyle name="Followed Hyperlink" xfId="15821" builtinId="9" hidden="1"/>
    <cellStyle name="Followed Hyperlink" xfId="15823" builtinId="9" hidden="1"/>
    <cellStyle name="Followed Hyperlink" xfId="15825" builtinId="9" hidden="1"/>
    <cellStyle name="Followed Hyperlink" xfId="15827" builtinId="9" hidden="1"/>
    <cellStyle name="Followed Hyperlink" xfId="15829" builtinId="9" hidden="1"/>
    <cellStyle name="Followed Hyperlink" xfId="15831" builtinId="9" hidden="1"/>
    <cellStyle name="Followed Hyperlink" xfId="15833" builtinId="9" hidden="1"/>
    <cellStyle name="Followed Hyperlink" xfId="15835" builtinId="9" hidden="1"/>
    <cellStyle name="Followed Hyperlink" xfId="15837" builtinId="9" hidden="1"/>
    <cellStyle name="Followed Hyperlink" xfId="15839" builtinId="9" hidden="1"/>
    <cellStyle name="Followed Hyperlink" xfId="15841" builtinId="9" hidden="1"/>
    <cellStyle name="Followed Hyperlink" xfId="15843" builtinId="9" hidden="1"/>
    <cellStyle name="Followed Hyperlink" xfId="15845" builtinId="9" hidden="1"/>
    <cellStyle name="Followed Hyperlink" xfId="15847" builtinId="9" hidden="1"/>
    <cellStyle name="Followed Hyperlink" xfId="15849" builtinId="9" hidden="1"/>
    <cellStyle name="Followed Hyperlink" xfId="15851" builtinId="9" hidden="1"/>
    <cellStyle name="Followed Hyperlink" xfId="15853" builtinId="9" hidden="1"/>
    <cellStyle name="Followed Hyperlink" xfId="15855" builtinId="9" hidden="1"/>
    <cellStyle name="Followed Hyperlink" xfId="15857" builtinId="9" hidden="1"/>
    <cellStyle name="Followed Hyperlink" xfId="15859" builtinId="9" hidden="1"/>
    <cellStyle name="Followed Hyperlink" xfId="15861" builtinId="9" hidden="1"/>
    <cellStyle name="Followed Hyperlink" xfId="15863" builtinId="9" hidden="1"/>
    <cellStyle name="Followed Hyperlink" xfId="15865" builtinId="9" hidden="1"/>
    <cellStyle name="Followed Hyperlink" xfId="15867" builtinId="9" hidden="1"/>
    <cellStyle name="Followed Hyperlink" xfId="15869" builtinId="9" hidden="1"/>
    <cellStyle name="Followed Hyperlink" xfId="15871" builtinId="9" hidden="1"/>
    <cellStyle name="Followed Hyperlink" xfId="15873" builtinId="9" hidden="1"/>
    <cellStyle name="Followed Hyperlink" xfId="15875" builtinId="9" hidden="1"/>
    <cellStyle name="Followed Hyperlink" xfId="15877" builtinId="9" hidden="1"/>
    <cellStyle name="Followed Hyperlink" xfId="15879" builtinId="9" hidden="1"/>
    <cellStyle name="Followed Hyperlink" xfId="15881" builtinId="9" hidden="1"/>
    <cellStyle name="Followed Hyperlink" xfId="15883" builtinId="9" hidden="1"/>
    <cellStyle name="Followed Hyperlink" xfId="15885" builtinId="9" hidden="1"/>
    <cellStyle name="Followed Hyperlink" xfId="15887" builtinId="9" hidden="1"/>
    <cellStyle name="Followed Hyperlink" xfId="15889" builtinId="9" hidden="1"/>
    <cellStyle name="Followed Hyperlink" xfId="15891" builtinId="9" hidden="1"/>
    <cellStyle name="Followed Hyperlink" xfId="15893" builtinId="9" hidden="1"/>
    <cellStyle name="Followed Hyperlink" xfId="15895" builtinId="9" hidden="1"/>
    <cellStyle name="Followed Hyperlink" xfId="15897" builtinId="9" hidden="1"/>
    <cellStyle name="Followed Hyperlink" xfId="15899" builtinId="9" hidden="1"/>
    <cellStyle name="Followed Hyperlink" xfId="15901" builtinId="9" hidden="1"/>
    <cellStyle name="Followed Hyperlink" xfId="15903" builtinId="9" hidden="1"/>
    <cellStyle name="Followed Hyperlink" xfId="15905" builtinId="9" hidden="1"/>
    <cellStyle name="Followed Hyperlink" xfId="15907" builtinId="9" hidden="1"/>
    <cellStyle name="Followed Hyperlink" xfId="15909" builtinId="9" hidden="1"/>
    <cellStyle name="Followed Hyperlink" xfId="15911" builtinId="9" hidden="1"/>
    <cellStyle name="Followed Hyperlink" xfId="15913" builtinId="9" hidden="1"/>
    <cellStyle name="Followed Hyperlink" xfId="15915" builtinId="9" hidden="1"/>
    <cellStyle name="Followed Hyperlink" xfId="15917" builtinId="9" hidden="1"/>
    <cellStyle name="Followed Hyperlink" xfId="15919" builtinId="9" hidden="1"/>
    <cellStyle name="Followed Hyperlink" xfId="15921" builtinId="9" hidden="1"/>
    <cellStyle name="Followed Hyperlink" xfId="15923" builtinId="9" hidden="1"/>
    <cellStyle name="Followed Hyperlink" xfId="15925" builtinId="9" hidden="1"/>
    <cellStyle name="Followed Hyperlink" xfId="15927" builtinId="9" hidden="1"/>
    <cellStyle name="Followed Hyperlink" xfId="15929" builtinId="9" hidden="1"/>
    <cellStyle name="Followed Hyperlink" xfId="15931" builtinId="9" hidden="1"/>
    <cellStyle name="Followed Hyperlink" xfId="15933" builtinId="9" hidden="1"/>
    <cellStyle name="Followed Hyperlink" xfId="15935" builtinId="9" hidden="1"/>
    <cellStyle name="Followed Hyperlink" xfId="15937" builtinId="9" hidden="1"/>
    <cellStyle name="Followed Hyperlink" xfId="15939" builtinId="9" hidden="1"/>
    <cellStyle name="Followed Hyperlink" xfId="15941" builtinId="9" hidden="1"/>
    <cellStyle name="Followed Hyperlink" xfId="15943" builtinId="9" hidden="1"/>
    <cellStyle name="Followed Hyperlink" xfId="15945" builtinId="9" hidden="1"/>
    <cellStyle name="Followed Hyperlink" xfId="15947" builtinId="9" hidden="1"/>
    <cellStyle name="Followed Hyperlink" xfId="15949" builtinId="9" hidden="1"/>
    <cellStyle name="Followed Hyperlink" xfId="15951" builtinId="9" hidden="1"/>
    <cellStyle name="Followed Hyperlink" xfId="15953" builtinId="9" hidden="1"/>
    <cellStyle name="Followed Hyperlink" xfId="15955" builtinId="9" hidden="1"/>
    <cellStyle name="Followed Hyperlink" xfId="15957" builtinId="9" hidden="1"/>
    <cellStyle name="Followed Hyperlink" xfId="15959" builtinId="9" hidden="1"/>
    <cellStyle name="Followed Hyperlink" xfId="15961" builtinId="9" hidden="1"/>
    <cellStyle name="Followed Hyperlink" xfId="15963" builtinId="9" hidden="1"/>
    <cellStyle name="Followed Hyperlink" xfId="15965" builtinId="9" hidden="1"/>
    <cellStyle name="Followed Hyperlink" xfId="15967" builtinId="9" hidden="1"/>
    <cellStyle name="Followed Hyperlink" xfId="15969" builtinId="9" hidden="1"/>
    <cellStyle name="Followed Hyperlink" xfId="15971" builtinId="9" hidden="1"/>
    <cellStyle name="Followed Hyperlink" xfId="15973" builtinId="9" hidden="1"/>
    <cellStyle name="Followed Hyperlink" xfId="15975" builtinId="9" hidden="1"/>
    <cellStyle name="Followed Hyperlink" xfId="15977" builtinId="9" hidden="1"/>
    <cellStyle name="Followed Hyperlink" xfId="15979" builtinId="9" hidden="1"/>
    <cellStyle name="Followed Hyperlink" xfId="15981" builtinId="9" hidden="1"/>
    <cellStyle name="Followed Hyperlink" xfId="15983" builtinId="9" hidden="1"/>
    <cellStyle name="Followed Hyperlink" xfId="15985" builtinId="9" hidden="1"/>
    <cellStyle name="Followed Hyperlink" xfId="15987" builtinId="9" hidden="1"/>
    <cellStyle name="Followed Hyperlink" xfId="15989" builtinId="9" hidden="1"/>
    <cellStyle name="Followed Hyperlink" xfId="15991" builtinId="9" hidden="1"/>
    <cellStyle name="Followed Hyperlink" xfId="15993" builtinId="9" hidden="1"/>
    <cellStyle name="Followed Hyperlink" xfId="15995" builtinId="9" hidden="1"/>
    <cellStyle name="Followed Hyperlink" xfId="15997" builtinId="9" hidden="1"/>
    <cellStyle name="Followed Hyperlink" xfId="15999" builtinId="9" hidden="1"/>
    <cellStyle name="Followed Hyperlink" xfId="16001" builtinId="9" hidden="1"/>
    <cellStyle name="Followed Hyperlink" xfId="16003" builtinId="9" hidden="1"/>
    <cellStyle name="Followed Hyperlink" xfId="16005" builtinId="9" hidden="1"/>
    <cellStyle name="Followed Hyperlink" xfId="16007" builtinId="9" hidden="1"/>
    <cellStyle name="Followed Hyperlink" xfId="16009" builtinId="9" hidden="1"/>
    <cellStyle name="Followed Hyperlink" xfId="16011" builtinId="9" hidden="1"/>
    <cellStyle name="Followed Hyperlink" xfId="16013" builtinId="9" hidden="1"/>
    <cellStyle name="Followed Hyperlink" xfId="16015" builtinId="9" hidden="1"/>
    <cellStyle name="Followed Hyperlink" xfId="16017" builtinId="9" hidden="1"/>
    <cellStyle name="Followed Hyperlink" xfId="16019" builtinId="9" hidden="1"/>
    <cellStyle name="Followed Hyperlink" xfId="16021" builtinId="9" hidden="1"/>
    <cellStyle name="Followed Hyperlink" xfId="16023" builtinId="9" hidden="1"/>
    <cellStyle name="Followed Hyperlink" xfId="16025" builtinId="9" hidden="1"/>
    <cellStyle name="Followed Hyperlink" xfId="16027" builtinId="9" hidden="1"/>
    <cellStyle name="Followed Hyperlink" xfId="16029" builtinId="9" hidden="1"/>
    <cellStyle name="Followed Hyperlink" xfId="16031" builtinId="9" hidden="1"/>
    <cellStyle name="Followed Hyperlink" xfId="16033" builtinId="9" hidden="1"/>
    <cellStyle name="Followed Hyperlink" xfId="16035" builtinId="9" hidden="1"/>
    <cellStyle name="Followed Hyperlink" xfId="16037" builtinId="9" hidden="1"/>
    <cellStyle name="Followed Hyperlink" xfId="16039" builtinId="9" hidden="1"/>
    <cellStyle name="Followed Hyperlink" xfId="16041" builtinId="9" hidden="1"/>
    <cellStyle name="Followed Hyperlink" xfId="16043" builtinId="9" hidden="1"/>
    <cellStyle name="Followed Hyperlink" xfId="16045" builtinId="9" hidden="1"/>
    <cellStyle name="Followed Hyperlink" xfId="16047" builtinId="9" hidden="1"/>
    <cellStyle name="Followed Hyperlink" xfId="16049" builtinId="9" hidden="1"/>
    <cellStyle name="Followed Hyperlink" xfId="16051" builtinId="9" hidden="1"/>
    <cellStyle name="Followed Hyperlink" xfId="16053" builtinId="9" hidden="1"/>
    <cellStyle name="Followed Hyperlink" xfId="16055" builtinId="9" hidden="1"/>
    <cellStyle name="Followed Hyperlink" xfId="16057" builtinId="9" hidden="1"/>
    <cellStyle name="Followed Hyperlink" xfId="16059" builtinId="9" hidden="1"/>
    <cellStyle name="Followed Hyperlink" xfId="16061" builtinId="9" hidden="1"/>
    <cellStyle name="Followed Hyperlink" xfId="16063" builtinId="9" hidden="1"/>
    <cellStyle name="Followed Hyperlink" xfId="16065" builtinId="9" hidden="1"/>
    <cellStyle name="Followed Hyperlink" xfId="16067" builtinId="9" hidden="1"/>
    <cellStyle name="Followed Hyperlink" xfId="16069" builtinId="9" hidden="1"/>
    <cellStyle name="Followed Hyperlink" xfId="16071" builtinId="9" hidden="1"/>
    <cellStyle name="Followed Hyperlink" xfId="16073" builtinId="9" hidden="1"/>
    <cellStyle name="Followed Hyperlink" xfId="16075" builtinId="9" hidden="1"/>
    <cellStyle name="Followed Hyperlink" xfId="16077" builtinId="9" hidden="1"/>
    <cellStyle name="Followed Hyperlink" xfId="16079" builtinId="9" hidden="1"/>
    <cellStyle name="Followed Hyperlink" xfId="16081" builtinId="9" hidden="1"/>
    <cellStyle name="Followed Hyperlink" xfId="16083" builtinId="9" hidden="1"/>
    <cellStyle name="Followed Hyperlink" xfId="16085" builtinId="9" hidden="1"/>
    <cellStyle name="Followed Hyperlink" xfId="16087" builtinId="9" hidden="1"/>
    <cellStyle name="Followed Hyperlink" xfId="16089" builtinId="9" hidden="1"/>
    <cellStyle name="Followed Hyperlink" xfId="16091" builtinId="9" hidden="1"/>
    <cellStyle name="Followed Hyperlink" xfId="16093" builtinId="9" hidden="1"/>
    <cellStyle name="Followed Hyperlink" xfId="16095" builtinId="9" hidden="1"/>
    <cellStyle name="Followed Hyperlink" xfId="16097" builtinId="9" hidden="1"/>
    <cellStyle name="Followed Hyperlink" xfId="16099" builtinId="9" hidden="1"/>
    <cellStyle name="Followed Hyperlink" xfId="16101" builtinId="9" hidden="1"/>
    <cellStyle name="Followed Hyperlink" xfId="16103" builtinId="9" hidden="1"/>
    <cellStyle name="Followed Hyperlink" xfId="16105" builtinId="9" hidden="1"/>
    <cellStyle name="Followed Hyperlink" xfId="16107" builtinId="9" hidden="1"/>
    <cellStyle name="Followed Hyperlink" xfId="16109" builtinId="9" hidden="1"/>
    <cellStyle name="Followed Hyperlink" xfId="16111" builtinId="9" hidden="1"/>
    <cellStyle name="Followed Hyperlink" xfId="16113" builtinId="9" hidden="1"/>
    <cellStyle name="Followed Hyperlink" xfId="16115" builtinId="9" hidden="1"/>
    <cellStyle name="Followed Hyperlink" xfId="16117" builtinId="9" hidden="1"/>
    <cellStyle name="Followed Hyperlink" xfId="16119" builtinId="9" hidden="1"/>
    <cellStyle name="Followed Hyperlink" xfId="16121" builtinId="9" hidden="1"/>
    <cellStyle name="Followed Hyperlink" xfId="16123" builtinId="9" hidden="1"/>
    <cellStyle name="Followed Hyperlink" xfId="16125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39" builtinId="9" hidden="1"/>
    <cellStyle name="Followed Hyperlink" xfId="16141" builtinId="9" hidden="1"/>
    <cellStyle name="Followed Hyperlink" xfId="16143" builtinId="9" hidden="1"/>
    <cellStyle name="Followed Hyperlink" xfId="16145" builtinId="9" hidden="1"/>
    <cellStyle name="Followed Hyperlink" xfId="16147" builtinId="9" hidden="1"/>
    <cellStyle name="Followed Hyperlink" xfId="16149" builtinId="9" hidden="1"/>
    <cellStyle name="Followed Hyperlink" xfId="16151" builtinId="9" hidden="1"/>
    <cellStyle name="Followed Hyperlink" xfId="16153" builtinId="9" hidden="1"/>
    <cellStyle name="Followed Hyperlink" xfId="16155" builtinId="9" hidden="1"/>
    <cellStyle name="Followed Hyperlink" xfId="16157" builtinId="9" hidden="1"/>
    <cellStyle name="Followed Hyperlink" xfId="16159" builtinId="9" hidden="1"/>
    <cellStyle name="Followed Hyperlink" xfId="16161" builtinId="9" hidden="1"/>
    <cellStyle name="Followed Hyperlink" xfId="16163" builtinId="9" hidden="1"/>
    <cellStyle name="Followed Hyperlink" xfId="16165" builtinId="9" hidden="1"/>
    <cellStyle name="Followed Hyperlink" xfId="16167" builtinId="9" hidden="1"/>
    <cellStyle name="Followed Hyperlink" xfId="16169" builtinId="9" hidden="1"/>
    <cellStyle name="Followed Hyperlink" xfId="16171" builtinId="9" hidden="1"/>
    <cellStyle name="Followed Hyperlink" xfId="16173" builtinId="9" hidden="1"/>
    <cellStyle name="Followed Hyperlink" xfId="16175" builtinId="9" hidden="1"/>
    <cellStyle name="Followed Hyperlink" xfId="16177" builtinId="9" hidden="1"/>
    <cellStyle name="Followed Hyperlink" xfId="16179" builtinId="9" hidden="1"/>
    <cellStyle name="Followed Hyperlink" xfId="16181" builtinId="9" hidden="1"/>
    <cellStyle name="Followed Hyperlink" xfId="16183" builtinId="9" hidden="1"/>
    <cellStyle name="Followed Hyperlink" xfId="16185" builtinId="9" hidden="1"/>
    <cellStyle name="Followed Hyperlink" xfId="16187" builtinId="9" hidden="1"/>
    <cellStyle name="Followed Hyperlink" xfId="16189" builtinId="9" hidden="1"/>
    <cellStyle name="Followed Hyperlink" xfId="16191" builtinId="9" hidden="1"/>
    <cellStyle name="Followed Hyperlink" xfId="16193" builtinId="9" hidden="1"/>
    <cellStyle name="Followed Hyperlink" xfId="16195" builtinId="9" hidden="1"/>
    <cellStyle name="Followed Hyperlink" xfId="16197" builtinId="9" hidden="1"/>
    <cellStyle name="Followed Hyperlink" xfId="16199" builtinId="9" hidden="1"/>
    <cellStyle name="Followed Hyperlink" xfId="16201" builtinId="9" hidden="1"/>
    <cellStyle name="Followed Hyperlink" xfId="16203" builtinId="9" hidden="1"/>
    <cellStyle name="Followed Hyperlink" xfId="16205" builtinId="9" hidden="1"/>
    <cellStyle name="Followed Hyperlink" xfId="16207" builtinId="9" hidden="1"/>
    <cellStyle name="Followed Hyperlink" xfId="16209" builtinId="9" hidden="1"/>
    <cellStyle name="Followed Hyperlink" xfId="16211" builtinId="9" hidden="1"/>
    <cellStyle name="Followed Hyperlink" xfId="16213" builtinId="9" hidden="1"/>
    <cellStyle name="Followed Hyperlink" xfId="16215" builtinId="9" hidden="1"/>
    <cellStyle name="Followed Hyperlink" xfId="16217" builtinId="9" hidden="1"/>
    <cellStyle name="Followed Hyperlink" xfId="16219" builtinId="9" hidden="1"/>
    <cellStyle name="Followed Hyperlink" xfId="16221" builtinId="9" hidden="1"/>
    <cellStyle name="Followed Hyperlink" xfId="16223" builtinId="9" hidden="1"/>
    <cellStyle name="Followed Hyperlink" xfId="16225" builtinId="9" hidden="1"/>
    <cellStyle name="Followed Hyperlink" xfId="16227" builtinId="9" hidden="1"/>
    <cellStyle name="Followed Hyperlink" xfId="16229" builtinId="9" hidden="1"/>
    <cellStyle name="Followed Hyperlink" xfId="16231" builtinId="9" hidden="1"/>
    <cellStyle name="Followed Hyperlink" xfId="16233" builtinId="9" hidden="1"/>
    <cellStyle name="Followed Hyperlink" xfId="16235" builtinId="9" hidden="1"/>
    <cellStyle name="Followed Hyperlink" xfId="16237" builtinId="9" hidden="1"/>
    <cellStyle name="Followed Hyperlink" xfId="16239" builtinId="9" hidden="1"/>
    <cellStyle name="Followed Hyperlink" xfId="16241" builtinId="9" hidden="1"/>
    <cellStyle name="Followed Hyperlink" xfId="16243" builtinId="9" hidden="1"/>
    <cellStyle name="Followed Hyperlink" xfId="16245" builtinId="9" hidden="1"/>
    <cellStyle name="Followed Hyperlink" xfId="16247" builtinId="9" hidden="1"/>
    <cellStyle name="Followed Hyperlink" xfId="16249" builtinId="9" hidden="1"/>
    <cellStyle name="Followed Hyperlink" xfId="16251" builtinId="9" hidden="1"/>
    <cellStyle name="Followed Hyperlink" xfId="16253" builtinId="9" hidden="1"/>
    <cellStyle name="Followed Hyperlink" xfId="16255" builtinId="9" hidden="1"/>
    <cellStyle name="Followed Hyperlink" xfId="16257" builtinId="9" hidden="1"/>
    <cellStyle name="Followed Hyperlink" xfId="16259" builtinId="9" hidden="1"/>
    <cellStyle name="Followed Hyperlink" xfId="16261" builtinId="9" hidden="1"/>
    <cellStyle name="Followed Hyperlink" xfId="16263" builtinId="9" hidden="1"/>
    <cellStyle name="Followed Hyperlink" xfId="16265" builtinId="9" hidden="1"/>
    <cellStyle name="Followed Hyperlink" xfId="16267" builtinId="9" hidden="1"/>
    <cellStyle name="Followed Hyperlink" xfId="16269" builtinId="9" hidden="1"/>
    <cellStyle name="Followed Hyperlink" xfId="16271" builtinId="9" hidden="1"/>
    <cellStyle name="Followed Hyperlink" xfId="16273" builtinId="9" hidden="1"/>
    <cellStyle name="Followed Hyperlink" xfId="16275" builtinId="9" hidden="1"/>
    <cellStyle name="Followed Hyperlink" xfId="16277" builtinId="9" hidden="1"/>
    <cellStyle name="Followed Hyperlink" xfId="16279" builtinId="9" hidden="1"/>
    <cellStyle name="Followed Hyperlink" xfId="16281" builtinId="9" hidden="1"/>
    <cellStyle name="Followed Hyperlink" xfId="16283" builtinId="9" hidden="1"/>
    <cellStyle name="Followed Hyperlink" xfId="16285" builtinId="9" hidden="1"/>
    <cellStyle name="Followed Hyperlink" xfId="16287" builtinId="9" hidden="1"/>
    <cellStyle name="Followed Hyperlink" xfId="16289" builtinId="9" hidden="1"/>
    <cellStyle name="Followed Hyperlink" xfId="16291" builtinId="9" hidden="1"/>
    <cellStyle name="Followed Hyperlink" xfId="16293" builtinId="9" hidden="1"/>
    <cellStyle name="Followed Hyperlink" xfId="16295" builtinId="9" hidden="1"/>
    <cellStyle name="Followed Hyperlink" xfId="16297" builtinId="9" hidden="1"/>
    <cellStyle name="Followed Hyperlink" xfId="16299" builtinId="9" hidden="1"/>
    <cellStyle name="Followed Hyperlink" xfId="16301" builtinId="9" hidden="1"/>
    <cellStyle name="Followed Hyperlink" xfId="16303" builtinId="9" hidden="1"/>
    <cellStyle name="Followed Hyperlink" xfId="16305" builtinId="9" hidden="1"/>
    <cellStyle name="Followed Hyperlink" xfId="16307" builtinId="9" hidden="1"/>
    <cellStyle name="Followed Hyperlink" xfId="16309" builtinId="9" hidden="1"/>
    <cellStyle name="Followed Hyperlink" xfId="16311" builtinId="9" hidden="1"/>
    <cellStyle name="Followed Hyperlink" xfId="16313" builtinId="9" hidden="1"/>
    <cellStyle name="Followed Hyperlink" xfId="16315" builtinId="9" hidden="1"/>
    <cellStyle name="Followed Hyperlink" xfId="16317" builtinId="9" hidden="1"/>
    <cellStyle name="Followed Hyperlink" xfId="16319" builtinId="9" hidden="1"/>
    <cellStyle name="Followed Hyperlink" xfId="16321" builtinId="9" hidden="1"/>
    <cellStyle name="Followed Hyperlink" xfId="16323" builtinId="9" hidden="1"/>
    <cellStyle name="Followed Hyperlink" xfId="16325" builtinId="9" hidden="1"/>
    <cellStyle name="Followed Hyperlink" xfId="16327" builtinId="9" hidden="1"/>
    <cellStyle name="Followed Hyperlink" xfId="16329" builtinId="9" hidden="1"/>
    <cellStyle name="Followed Hyperlink" xfId="16331" builtinId="9" hidden="1"/>
    <cellStyle name="Followed Hyperlink" xfId="16333" builtinId="9" hidden="1"/>
    <cellStyle name="Followed Hyperlink" xfId="16335" builtinId="9" hidden="1"/>
    <cellStyle name="Followed Hyperlink" xfId="16337" builtinId="9" hidden="1"/>
    <cellStyle name="Followed Hyperlink" xfId="16339" builtinId="9" hidden="1"/>
    <cellStyle name="Followed Hyperlink" xfId="16341" builtinId="9" hidden="1"/>
    <cellStyle name="Followed Hyperlink" xfId="16343" builtinId="9" hidden="1"/>
    <cellStyle name="Followed Hyperlink" xfId="16345" builtinId="9" hidden="1"/>
    <cellStyle name="Followed Hyperlink" xfId="16347" builtinId="9" hidden="1"/>
    <cellStyle name="Followed Hyperlink" xfId="16349" builtinId="9" hidden="1"/>
    <cellStyle name="Followed Hyperlink" xfId="16351" builtinId="9" hidden="1"/>
    <cellStyle name="Followed Hyperlink" xfId="16353" builtinId="9" hidden="1"/>
    <cellStyle name="Followed Hyperlink" xfId="16355" builtinId="9" hidden="1"/>
    <cellStyle name="Followed Hyperlink" xfId="16357" builtinId="9" hidden="1"/>
    <cellStyle name="Followed Hyperlink" xfId="16359" builtinId="9" hidden="1"/>
    <cellStyle name="Followed Hyperlink" xfId="16361" builtinId="9" hidden="1"/>
    <cellStyle name="Followed Hyperlink" xfId="16363" builtinId="9" hidden="1"/>
    <cellStyle name="Followed Hyperlink" xfId="16365" builtinId="9" hidden="1"/>
    <cellStyle name="Followed Hyperlink" xfId="16367" builtinId="9" hidden="1"/>
    <cellStyle name="Followed Hyperlink" xfId="16369" builtinId="9" hidden="1"/>
    <cellStyle name="Followed Hyperlink" xfId="16371" builtinId="9" hidden="1"/>
    <cellStyle name="Followed Hyperlink" xfId="16373" builtinId="9" hidden="1"/>
    <cellStyle name="Followed Hyperlink" xfId="16375" builtinId="9" hidden="1"/>
    <cellStyle name="Followed Hyperlink" xfId="16377" builtinId="9" hidden="1"/>
    <cellStyle name="Followed Hyperlink" xfId="16379" builtinId="9" hidden="1"/>
    <cellStyle name="Followed Hyperlink" xfId="16381" builtinId="9" hidden="1"/>
    <cellStyle name="Followed Hyperlink" xfId="16383" builtinId="9" hidden="1"/>
    <cellStyle name="Followed Hyperlink" xfId="16385" builtinId="9" hidden="1"/>
    <cellStyle name="Followed Hyperlink" xfId="16387" builtinId="9" hidden="1"/>
    <cellStyle name="Followed Hyperlink" xfId="16389" builtinId="9" hidden="1"/>
    <cellStyle name="Followed Hyperlink" xfId="16391" builtinId="9" hidden="1"/>
    <cellStyle name="Followed Hyperlink" xfId="16393" builtinId="9" hidden="1"/>
    <cellStyle name="Followed Hyperlink" xfId="16395" builtinId="9" hidden="1"/>
    <cellStyle name="Followed Hyperlink" xfId="16397" builtinId="9" hidden="1"/>
    <cellStyle name="Followed Hyperlink" xfId="16399" builtinId="9" hidden="1"/>
    <cellStyle name="Followed Hyperlink" xfId="16401" builtinId="9" hidden="1"/>
    <cellStyle name="Followed Hyperlink" xfId="16403" builtinId="9" hidden="1"/>
    <cellStyle name="Followed Hyperlink" xfId="16405" builtinId="9" hidden="1"/>
    <cellStyle name="Followed Hyperlink" xfId="16407" builtinId="9" hidden="1"/>
    <cellStyle name="Followed Hyperlink" xfId="16409" builtinId="9" hidden="1"/>
    <cellStyle name="Followed Hyperlink" xfId="16411" builtinId="9" hidden="1"/>
    <cellStyle name="Followed Hyperlink" xfId="16413" builtinId="9" hidden="1"/>
    <cellStyle name="Followed Hyperlink" xfId="16415" builtinId="9" hidden="1"/>
    <cellStyle name="Followed Hyperlink" xfId="16417" builtinId="9" hidden="1"/>
    <cellStyle name="Followed Hyperlink" xfId="16419" builtinId="9" hidden="1"/>
    <cellStyle name="Followed Hyperlink" xfId="16421" builtinId="9" hidden="1"/>
    <cellStyle name="Followed Hyperlink" xfId="16423" builtinId="9" hidden="1"/>
    <cellStyle name="Followed Hyperlink" xfId="16425" builtinId="9" hidden="1"/>
    <cellStyle name="Followed Hyperlink" xfId="16427" builtinId="9" hidden="1"/>
    <cellStyle name="Followed Hyperlink" xfId="16429" builtinId="9" hidden="1"/>
    <cellStyle name="Followed Hyperlink" xfId="16431" builtinId="9" hidden="1"/>
    <cellStyle name="Followed Hyperlink" xfId="16433" builtinId="9" hidden="1"/>
    <cellStyle name="Followed Hyperlink" xfId="16435" builtinId="9" hidden="1"/>
    <cellStyle name="Followed Hyperlink" xfId="16437" builtinId="9" hidden="1"/>
    <cellStyle name="Followed Hyperlink" xfId="16439" builtinId="9" hidden="1"/>
    <cellStyle name="Followed Hyperlink" xfId="16441" builtinId="9" hidden="1"/>
    <cellStyle name="Followed Hyperlink" xfId="16443" builtinId="9" hidden="1"/>
    <cellStyle name="Followed Hyperlink" xfId="16445" builtinId="9" hidden="1"/>
    <cellStyle name="Followed Hyperlink" xfId="16447" builtinId="9" hidden="1"/>
    <cellStyle name="Followed Hyperlink" xfId="16449" builtinId="9" hidden="1"/>
    <cellStyle name="Followed Hyperlink" xfId="16451" builtinId="9" hidden="1"/>
    <cellStyle name="Followed Hyperlink" xfId="16453" builtinId="9" hidden="1"/>
    <cellStyle name="Followed Hyperlink" xfId="16455" builtinId="9" hidden="1"/>
    <cellStyle name="Followed Hyperlink" xfId="16457" builtinId="9" hidden="1"/>
    <cellStyle name="Followed Hyperlink" xfId="16459" builtinId="9" hidden="1"/>
    <cellStyle name="Followed Hyperlink" xfId="16461" builtinId="9" hidden="1"/>
    <cellStyle name="Followed Hyperlink" xfId="16463" builtinId="9" hidden="1"/>
    <cellStyle name="Followed Hyperlink" xfId="16465" builtinId="9" hidden="1"/>
    <cellStyle name="Followed Hyperlink" xfId="16467" builtinId="9" hidden="1"/>
    <cellStyle name="Followed Hyperlink" xfId="16469" builtinId="9" hidden="1"/>
    <cellStyle name="Followed Hyperlink" xfId="16471" builtinId="9" hidden="1"/>
    <cellStyle name="Followed Hyperlink" xfId="16473" builtinId="9" hidden="1"/>
    <cellStyle name="Followed Hyperlink" xfId="16475" builtinId="9" hidden="1"/>
    <cellStyle name="Followed Hyperlink" xfId="16477" builtinId="9" hidden="1"/>
    <cellStyle name="Followed Hyperlink" xfId="16479" builtinId="9" hidden="1"/>
    <cellStyle name="Followed Hyperlink" xfId="16481" builtinId="9" hidden="1"/>
    <cellStyle name="Followed Hyperlink" xfId="16483" builtinId="9" hidden="1"/>
    <cellStyle name="Followed Hyperlink" xfId="16485" builtinId="9" hidden="1"/>
    <cellStyle name="Followed Hyperlink" xfId="16487" builtinId="9" hidden="1"/>
    <cellStyle name="Followed Hyperlink" xfId="16489" builtinId="9" hidden="1"/>
    <cellStyle name="Followed Hyperlink" xfId="16491" builtinId="9" hidden="1"/>
    <cellStyle name="Followed Hyperlink" xfId="16493" builtinId="9" hidden="1"/>
    <cellStyle name="Followed Hyperlink" xfId="16495" builtinId="9" hidden="1"/>
    <cellStyle name="Followed Hyperlink" xfId="16497" builtinId="9" hidden="1"/>
    <cellStyle name="Followed Hyperlink" xfId="16499" builtinId="9" hidden="1"/>
    <cellStyle name="Followed Hyperlink" xfId="16501" builtinId="9" hidden="1"/>
    <cellStyle name="Followed Hyperlink" xfId="16503" builtinId="9" hidden="1"/>
    <cellStyle name="Followed Hyperlink" xfId="16505" builtinId="9" hidden="1"/>
    <cellStyle name="Followed Hyperlink" xfId="16507" builtinId="9" hidden="1"/>
    <cellStyle name="Followed Hyperlink" xfId="16509" builtinId="9" hidden="1"/>
    <cellStyle name="Followed Hyperlink" xfId="16511" builtinId="9" hidden="1"/>
    <cellStyle name="Followed Hyperlink" xfId="16513" builtinId="9" hidden="1"/>
    <cellStyle name="Followed Hyperlink" xfId="16515" builtinId="9" hidden="1"/>
    <cellStyle name="Followed Hyperlink" xfId="16517" builtinId="9" hidden="1"/>
    <cellStyle name="Followed Hyperlink" xfId="16519" builtinId="9" hidden="1"/>
    <cellStyle name="Followed Hyperlink" xfId="16521" builtinId="9" hidden="1"/>
    <cellStyle name="Followed Hyperlink" xfId="16523" builtinId="9" hidden="1"/>
    <cellStyle name="Followed Hyperlink" xfId="16525" builtinId="9" hidden="1"/>
    <cellStyle name="Followed Hyperlink" xfId="16527" builtinId="9" hidden="1"/>
    <cellStyle name="Followed Hyperlink" xfId="16529" builtinId="9" hidden="1"/>
    <cellStyle name="Followed Hyperlink" xfId="16531" builtinId="9" hidden="1"/>
    <cellStyle name="Followed Hyperlink" xfId="16533" builtinId="9" hidden="1"/>
    <cellStyle name="Followed Hyperlink" xfId="16535" builtinId="9" hidden="1"/>
    <cellStyle name="Followed Hyperlink" xfId="16537" builtinId="9" hidden="1"/>
    <cellStyle name="Followed Hyperlink" xfId="16539" builtinId="9" hidden="1"/>
    <cellStyle name="Followed Hyperlink" xfId="16541" builtinId="9" hidden="1"/>
    <cellStyle name="Followed Hyperlink" xfId="16543" builtinId="9" hidden="1"/>
    <cellStyle name="Followed Hyperlink" xfId="16545" builtinId="9" hidden="1"/>
    <cellStyle name="Followed Hyperlink" xfId="16547" builtinId="9" hidden="1"/>
    <cellStyle name="Followed Hyperlink" xfId="16549" builtinId="9" hidden="1"/>
    <cellStyle name="Followed Hyperlink" xfId="16551" builtinId="9" hidden="1"/>
    <cellStyle name="Followed Hyperlink" xfId="16553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561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69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77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585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93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601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609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617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6625" builtinId="9" hidden="1"/>
    <cellStyle name="Followed Hyperlink" xfId="16627" builtinId="9" hidden="1"/>
    <cellStyle name="Followed Hyperlink" xfId="16629" builtinId="9" hidden="1"/>
    <cellStyle name="Followed Hyperlink" xfId="16631" builtinId="9" hidden="1"/>
    <cellStyle name="Followed Hyperlink" xfId="16633" builtinId="9" hidden="1"/>
    <cellStyle name="Followed Hyperlink" xfId="16635" builtinId="9" hidden="1"/>
    <cellStyle name="Followed Hyperlink" xfId="16637" builtinId="9" hidden="1"/>
    <cellStyle name="Followed Hyperlink" xfId="16639" builtinId="9" hidden="1"/>
    <cellStyle name="Followed Hyperlink" xfId="16641" builtinId="9" hidden="1"/>
    <cellStyle name="Followed Hyperlink" xfId="16643" builtinId="9" hidden="1"/>
    <cellStyle name="Followed Hyperlink" xfId="16645" builtinId="9" hidden="1"/>
    <cellStyle name="Followed Hyperlink" xfId="16647" builtinId="9" hidden="1"/>
    <cellStyle name="Followed Hyperlink" xfId="16649" builtinId="9" hidden="1"/>
    <cellStyle name="Followed Hyperlink" xfId="16651" builtinId="9" hidden="1"/>
    <cellStyle name="Followed Hyperlink" xfId="16653" builtinId="9" hidden="1"/>
    <cellStyle name="Followed Hyperlink" xfId="16655" builtinId="9" hidden="1"/>
    <cellStyle name="Followed Hyperlink" xfId="16657" builtinId="9" hidden="1"/>
    <cellStyle name="Followed Hyperlink" xfId="16659" builtinId="9" hidden="1"/>
    <cellStyle name="Followed Hyperlink" xfId="16661" builtinId="9" hidden="1"/>
    <cellStyle name="Followed Hyperlink" xfId="16663" builtinId="9" hidden="1"/>
    <cellStyle name="Followed Hyperlink" xfId="16665" builtinId="9" hidden="1"/>
    <cellStyle name="Followed Hyperlink" xfId="16667" builtinId="9" hidden="1"/>
    <cellStyle name="Followed Hyperlink" xfId="16669" builtinId="9" hidden="1"/>
    <cellStyle name="Followed Hyperlink" xfId="16671" builtinId="9" hidden="1"/>
    <cellStyle name="Followed Hyperlink" xfId="16673" builtinId="9" hidden="1"/>
    <cellStyle name="Followed Hyperlink" xfId="16675" builtinId="9" hidden="1"/>
    <cellStyle name="Followed Hyperlink" xfId="16677" builtinId="9" hidden="1"/>
    <cellStyle name="Followed Hyperlink" xfId="16679" builtinId="9" hidden="1"/>
    <cellStyle name="Followed Hyperlink" xfId="16681" builtinId="9" hidden="1"/>
    <cellStyle name="Followed Hyperlink" xfId="16683" builtinId="9" hidden="1"/>
    <cellStyle name="Followed Hyperlink" xfId="16685" builtinId="9" hidden="1"/>
    <cellStyle name="Followed Hyperlink" xfId="16687" builtinId="9" hidden="1"/>
    <cellStyle name="Followed Hyperlink" xfId="16689" builtinId="9" hidden="1"/>
    <cellStyle name="Followed Hyperlink" xfId="16691" builtinId="9" hidden="1"/>
    <cellStyle name="Followed Hyperlink" xfId="16693" builtinId="9" hidden="1"/>
    <cellStyle name="Followed Hyperlink" xfId="16695" builtinId="9" hidden="1"/>
    <cellStyle name="Followed Hyperlink" xfId="16697" builtinId="9" hidden="1"/>
    <cellStyle name="Followed Hyperlink" xfId="16699" builtinId="9" hidden="1"/>
    <cellStyle name="Followed Hyperlink" xfId="16701" builtinId="9" hidden="1"/>
    <cellStyle name="Followed Hyperlink" xfId="16703" builtinId="9" hidden="1"/>
    <cellStyle name="Followed Hyperlink" xfId="16705" builtinId="9" hidden="1"/>
    <cellStyle name="Followed Hyperlink" xfId="16707" builtinId="9" hidden="1"/>
    <cellStyle name="Followed Hyperlink" xfId="16709" builtinId="9" hidden="1"/>
    <cellStyle name="Followed Hyperlink" xfId="16711" builtinId="9" hidden="1"/>
    <cellStyle name="Followed Hyperlink" xfId="16713" builtinId="9" hidden="1"/>
    <cellStyle name="Followed Hyperlink" xfId="16715" builtinId="9" hidden="1"/>
    <cellStyle name="Followed Hyperlink" xfId="16717" builtinId="9" hidden="1"/>
    <cellStyle name="Followed Hyperlink" xfId="16719" builtinId="9" hidden="1"/>
    <cellStyle name="Followed Hyperlink" xfId="16721" builtinId="9" hidden="1"/>
    <cellStyle name="Followed Hyperlink" xfId="16723" builtinId="9" hidden="1"/>
    <cellStyle name="Followed Hyperlink" xfId="16725" builtinId="9" hidden="1"/>
    <cellStyle name="Followed Hyperlink" xfId="16727" builtinId="9" hidden="1"/>
    <cellStyle name="Followed Hyperlink" xfId="16729" builtinId="9" hidden="1"/>
    <cellStyle name="Followed Hyperlink" xfId="16731" builtinId="9" hidden="1"/>
    <cellStyle name="Followed Hyperlink" xfId="16733" builtinId="9" hidden="1"/>
    <cellStyle name="Followed Hyperlink" xfId="16735" builtinId="9" hidden="1"/>
    <cellStyle name="Followed Hyperlink" xfId="16737" builtinId="9" hidden="1"/>
    <cellStyle name="Followed Hyperlink" xfId="16739" builtinId="9" hidden="1"/>
    <cellStyle name="Followed Hyperlink" xfId="16741" builtinId="9" hidden="1"/>
    <cellStyle name="Followed Hyperlink" xfId="16743" builtinId="9" hidden="1"/>
    <cellStyle name="Followed Hyperlink" xfId="16745" builtinId="9" hidden="1"/>
    <cellStyle name="Followed Hyperlink" xfId="16747" builtinId="9" hidden="1"/>
    <cellStyle name="Followed Hyperlink" xfId="16749" builtinId="9" hidden="1"/>
    <cellStyle name="Followed Hyperlink" xfId="16751" builtinId="9" hidden="1"/>
    <cellStyle name="Followed Hyperlink" xfId="16753" builtinId="9" hidden="1"/>
    <cellStyle name="Followed Hyperlink" xfId="16755" builtinId="9" hidden="1"/>
    <cellStyle name="Followed Hyperlink" xfId="16757" builtinId="9" hidden="1"/>
    <cellStyle name="Followed Hyperlink" xfId="16759" builtinId="9" hidden="1"/>
    <cellStyle name="Followed Hyperlink" xfId="16761" builtinId="9" hidden="1"/>
    <cellStyle name="Followed Hyperlink" xfId="16763" builtinId="9" hidden="1"/>
    <cellStyle name="Followed Hyperlink" xfId="16765" builtinId="9" hidden="1"/>
    <cellStyle name="Followed Hyperlink" xfId="16767" builtinId="9" hidden="1"/>
    <cellStyle name="Followed Hyperlink" xfId="16769" builtinId="9" hidden="1"/>
    <cellStyle name="Followed Hyperlink" xfId="16771" builtinId="9" hidden="1"/>
    <cellStyle name="Followed Hyperlink" xfId="16773" builtinId="9" hidden="1"/>
    <cellStyle name="Followed Hyperlink" xfId="16775" builtinId="9" hidden="1"/>
    <cellStyle name="Followed Hyperlink" xfId="16777" builtinId="9" hidden="1"/>
    <cellStyle name="Followed Hyperlink" xfId="16779" builtinId="9" hidden="1"/>
    <cellStyle name="Followed Hyperlink" xfId="16781" builtinId="9" hidden="1"/>
    <cellStyle name="Followed Hyperlink" xfId="16783" builtinId="9" hidden="1"/>
    <cellStyle name="Followed Hyperlink" xfId="16785" builtinId="9" hidden="1"/>
    <cellStyle name="Followed Hyperlink" xfId="16787" builtinId="9" hidden="1"/>
    <cellStyle name="Followed Hyperlink" xfId="16789" builtinId="9" hidden="1"/>
    <cellStyle name="Followed Hyperlink" xfId="16791" builtinId="9" hidden="1"/>
    <cellStyle name="Followed Hyperlink" xfId="16793" builtinId="9" hidden="1"/>
    <cellStyle name="Followed Hyperlink" xfId="16795" builtinId="9" hidden="1"/>
    <cellStyle name="Followed Hyperlink" xfId="16797" builtinId="9" hidden="1"/>
    <cellStyle name="Followed Hyperlink" xfId="16799" builtinId="9" hidden="1"/>
    <cellStyle name="Followed Hyperlink" xfId="16801" builtinId="9" hidden="1"/>
    <cellStyle name="Followed Hyperlink" xfId="16803" builtinId="9" hidden="1"/>
    <cellStyle name="Followed Hyperlink" xfId="16805" builtinId="9" hidden="1"/>
    <cellStyle name="Followed Hyperlink" xfId="16807" builtinId="9" hidden="1"/>
    <cellStyle name="Followed Hyperlink" xfId="16809" builtinId="9" hidden="1"/>
    <cellStyle name="Followed Hyperlink" xfId="16811" builtinId="9" hidden="1"/>
    <cellStyle name="Followed Hyperlink" xfId="16813" builtinId="9" hidden="1"/>
    <cellStyle name="Followed Hyperlink" xfId="16815" builtinId="9" hidden="1"/>
    <cellStyle name="Followed Hyperlink" xfId="16817" builtinId="9" hidden="1"/>
    <cellStyle name="Followed Hyperlink" xfId="16819" builtinId="9" hidden="1"/>
    <cellStyle name="Followed Hyperlink" xfId="16821" builtinId="9" hidden="1"/>
    <cellStyle name="Followed Hyperlink" xfId="16823" builtinId="9" hidden="1"/>
    <cellStyle name="Followed Hyperlink" xfId="16825" builtinId="9" hidden="1"/>
    <cellStyle name="Followed Hyperlink" xfId="16827" builtinId="9" hidden="1"/>
    <cellStyle name="Followed Hyperlink" xfId="16829" builtinId="9" hidden="1"/>
    <cellStyle name="Followed Hyperlink" xfId="16831" builtinId="9" hidden="1"/>
    <cellStyle name="Followed Hyperlink" xfId="16833" builtinId="9" hidden="1"/>
    <cellStyle name="Followed Hyperlink" xfId="16835" builtinId="9" hidden="1"/>
    <cellStyle name="Followed Hyperlink" xfId="16837" builtinId="9" hidden="1"/>
    <cellStyle name="Followed Hyperlink" xfId="16839" builtinId="9" hidden="1"/>
    <cellStyle name="Followed Hyperlink" xfId="16841" builtinId="9" hidden="1"/>
    <cellStyle name="Followed Hyperlink" xfId="16843" builtinId="9" hidden="1"/>
    <cellStyle name="Followed Hyperlink" xfId="16845" builtinId="9" hidden="1"/>
    <cellStyle name="Followed Hyperlink" xfId="16847" builtinId="9" hidden="1"/>
    <cellStyle name="Followed Hyperlink" xfId="16849" builtinId="9" hidden="1"/>
    <cellStyle name="Followed Hyperlink" xfId="16851" builtinId="9" hidden="1"/>
    <cellStyle name="Followed Hyperlink" xfId="16853" builtinId="9" hidden="1"/>
    <cellStyle name="Followed Hyperlink" xfId="16855" builtinId="9" hidden="1"/>
    <cellStyle name="Followed Hyperlink" xfId="16857" builtinId="9" hidden="1"/>
    <cellStyle name="Followed Hyperlink" xfId="16859" builtinId="9" hidden="1"/>
    <cellStyle name="Followed Hyperlink" xfId="16861" builtinId="9" hidden="1"/>
    <cellStyle name="Followed Hyperlink" xfId="16863" builtinId="9" hidden="1"/>
    <cellStyle name="Followed Hyperlink" xfId="16865" builtinId="9" hidden="1"/>
    <cellStyle name="Followed Hyperlink" xfId="16867" builtinId="9" hidden="1"/>
    <cellStyle name="Followed Hyperlink" xfId="16869" builtinId="9" hidden="1"/>
    <cellStyle name="Followed Hyperlink" xfId="16871" builtinId="9" hidden="1"/>
    <cellStyle name="Followed Hyperlink" xfId="16873" builtinId="9" hidden="1"/>
    <cellStyle name="Followed Hyperlink" xfId="16875" builtinId="9" hidden="1"/>
    <cellStyle name="Followed Hyperlink" xfId="16877" builtinId="9" hidden="1"/>
    <cellStyle name="Followed Hyperlink" xfId="16879" builtinId="9" hidden="1"/>
    <cellStyle name="Followed Hyperlink" xfId="16881" builtinId="9" hidden="1"/>
    <cellStyle name="Followed Hyperlink" xfId="16883" builtinId="9" hidden="1"/>
    <cellStyle name="Followed Hyperlink" xfId="16885" builtinId="9" hidden="1"/>
    <cellStyle name="Followed Hyperlink" xfId="16887" builtinId="9" hidden="1"/>
    <cellStyle name="Followed Hyperlink" xfId="16889" builtinId="9" hidden="1"/>
    <cellStyle name="Followed Hyperlink" xfId="16891" builtinId="9" hidden="1"/>
    <cellStyle name="Followed Hyperlink" xfId="16893" builtinId="9" hidden="1"/>
    <cellStyle name="Followed Hyperlink" xfId="16895" builtinId="9" hidden="1"/>
    <cellStyle name="Followed Hyperlink" xfId="16897" builtinId="9" hidden="1"/>
    <cellStyle name="Followed Hyperlink" xfId="16899" builtinId="9" hidden="1"/>
    <cellStyle name="Followed Hyperlink" xfId="16901" builtinId="9" hidden="1"/>
    <cellStyle name="Followed Hyperlink" xfId="16903" builtinId="9" hidden="1"/>
    <cellStyle name="Followed Hyperlink" xfId="16905" builtinId="9" hidden="1"/>
    <cellStyle name="Followed Hyperlink" xfId="16907" builtinId="9" hidden="1"/>
    <cellStyle name="Followed Hyperlink" xfId="16909" builtinId="9" hidden="1"/>
    <cellStyle name="Followed Hyperlink" xfId="16911" builtinId="9" hidden="1"/>
    <cellStyle name="Followed Hyperlink" xfId="16913" builtinId="9" hidden="1"/>
    <cellStyle name="Followed Hyperlink" xfId="16915" builtinId="9" hidden="1"/>
    <cellStyle name="Followed Hyperlink" xfId="16917" builtinId="9" hidden="1"/>
    <cellStyle name="Followed Hyperlink" xfId="16919" builtinId="9" hidden="1"/>
    <cellStyle name="Followed Hyperlink" xfId="16921" builtinId="9" hidden="1"/>
    <cellStyle name="Followed Hyperlink" xfId="16923" builtinId="9" hidden="1"/>
    <cellStyle name="Followed Hyperlink" xfId="16925" builtinId="9" hidden="1"/>
    <cellStyle name="Followed Hyperlink" xfId="16927" builtinId="9" hidden="1"/>
    <cellStyle name="Followed Hyperlink" xfId="16929" builtinId="9" hidden="1"/>
    <cellStyle name="Followed Hyperlink" xfId="16931" builtinId="9" hidden="1"/>
    <cellStyle name="Followed Hyperlink" xfId="16933" builtinId="9" hidden="1"/>
    <cellStyle name="Followed Hyperlink" xfId="16935" builtinId="9" hidden="1"/>
    <cellStyle name="Followed Hyperlink" xfId="16937" builtinId="9" hidden="1"/>
    <cellStyle name="Followed Hyperlink" xfId="16939" builtinId="9" hidden="1"/>
    <cellStyle name="Followed Hyperlink" xfId="16941" builtinId="9" hidden="1"/>
    <cellStyle name="Followed Hyperlink" xfId="16943" builtinId="9" hidden="1"/>
    <cellStyle name="Followed Hyperlink" xfId="16945" builtinId="9" hidden="1"/>
    <cellStyle name="Followed Hyperlink" xfId="16947" builtinId="9" hidden="1"/>
    <cellStyle name="Followed Hyperlink" xfId="16949" builtinId="9" hidden="1"/>
    <cellStyle name="Followed Hyperlink" xfId="16951" builtinId="9" hidden="1"/>
    <cellStyle name="Followed Hyperlink" xfId="16953" builtinId="9" hidden="1"/>
    <cellStyle name="Followed Hyperlink" xfId="16955" builtinId="9" hidden="1"/>
    <cellStyle name="Followed Hyperlink" xfId="16957" builtinId="9" hidden="1"/>
    <cellStyle name="Followed Hyperlink" xfId="16959" builtinId="9" hidden="1"/>
    <cellStyle name="Followed Hyperlink" xfId="16961" builtinId="9" hidden="1"/>
    <cellStyle name="Followed Hyperlink" xfId="16963" builtinId="9" hidden="1"/>
    <cellStyle name="Followed Hyperlink" xfId="16965" builtinId="9" hidden="1"/>
    <cellStyle name="Followed Hyperlink" xfId="16967" builtinId="9" hidden="1"/>
    <cellStyle name="Followed Hyperlink" xfId="16969" builtinId="9" hidden="1"/>
    <cellStyle name="Followed Hyperlink" xfId="16971" builtinId="9" hidden="1"/>
    <cellStyle name="Followed Hyperlink" xfId="16973" builtinId="9" hidden="1"/>
    <cellStyle name="Followed Hyperlink" xfId="16975" builtinId="9" hidden="1"/>
    <cellStyle name="Followed Hyperlink" xfId="16977" builtinId="9" hidden="1"/>
    <cellStyle name="Followed Hyperlink" xfId="16979" builtinId="9" hidden="1"/>
    <cellStyle name="Followed Hyperlink" xfId="16981" builtinId="9" hidden="1"/>
    <cellStyle name="Followed Hyperlink" xfId="16983" builtinId="9" hidden="1"/>
    <cellStyle name="Followed Hyperlink" xfId="16985" builtinId="9" hidden="1"/>
    <cellStyle name="Followed Hyperlink" xfId="16987" builtinId="9" hidden="1"/>
    <cellStyle name="Followed Hyperlink" xfId="16989" builtinId="9" hidden="1"/>
    <cellStyle name="Followed Hyperlink" xfId="16991" builtinId="9" hidden="1"/>
    <cellStyle name="Followed Hyperlink" xfId="16993" builtinId="9" hidden="1"/>
    <cellStyle name="Followed Hyperlink" xfId="16995" builtinId="9" hidden="1"/>
    <cellStyle name="Followed Hyperlink" xfId="16997" builtinId="9" hidden="1"/>
    <cellStyle name="Followed Hyperlink" xfId="16999" builtinId="9" hidden="1"/>
    <cellStyle name="Followed Hyperlink" xfId="17001" builtinId="9" hidden="1"/>
    <cellStyle name="Followed Hyperlink" xfId="17003" builtinId="9" hidden="1"/>
    <cellStyle name="Followed Hyperlink" xfId="17005" builtinId="9" hidden="1"/>
    <cellStyle name="Followed Hyperlink" xfId="17007" builtinId="9" hidden="1"/>
    <cellStyle name="Followed Hyperlink" xfId="17009" builtinId="9" hidden="1"/>
    <cellStyle name="Followed Hyperlink" xfId="17011" builtinId="9" hidden="1"/>
    <cellStyle name="Followed Hyperlink" xfId="17013" builtinId="9" hidden="1"/>
    <cellStyle name="Followed Hyperlink" xfId="17015" builtinId="9" hidden="1"/>
    <cellStyle name="Followed Hyperlink" xfId="17017" builtinId="9" hidden="1"/>
    <cellStyle name="Followed Hyperlink" xfId="17019" builtinId="9" hidden="1"/>
    <cellStyle name="Followed Hyperlink" xfId="17021" builtinId="9" hidden="1"/>
    <cellStyle name="Followed Hyperlink" xfId="17023" builtinId="9" hidden="1"/>
    <cellStyle name="Followed Hyperlink" xfId="17025" builtinId="9" hidden="1"/>
    <cellStyle name="Followed Hyperlink" xfId="17027" builtinId="9" hidden="1"/>
    <cellStyle name="Followed Hyperlink" xfId="17029" builtinId="9" hidden="1"/>
    <cellStyle name="Followed Hyperlink" xfId="17031" builtinId="9" hidden="1"/>
    <cellStyle name="Followed Hyperlink" xfId="17033" builtinId="9" hidden="1"/>
    <cellStyle name="Followed Hyperlink" xfId="17035" builtinId="9" hidden="1"/>
    <cellStyle name="Followed Hyperlink" xfId="17037" builtinId="9" hidden="1"/>
    <cellStyle name="Followed Hyperlink" xfId="17039" builtinId="9" hidden="1"/>
    <cellStyle name="Followed Hyperlink" xfId="17041" builtinId="9" hidden="1"/>
    <cellStyle name="Followed Hyperlink" xfId="17043" builtinId="9" hidden="1"/>
    <cellStyle name="Followed Hyperlink" xfId="17045" builtinId="9" hidden="1"/>
    <cellStyle name="Followed Hyperlink" xfId="17047" builtinId="9" hidden="1"/>
    <cellStyle name="Followed Hyperlink" xfId="17049" builtinId="9" hidden="1"/>
    <cellStyle name="Followed Hyperlink" xfId="17051" builtinId="9" hidden="1"/>
    <cellStyle name="Followed Hyperlink" xfId="17053" builtinId="9" hidden="1"/>
    <cellStyle name="Followed Hyperlink" xfId="17055" builtinId="9" hidden="1"/>
    <cellStyle name="Followed Hyperlink" xfId="17057" builtinId="9" hidden="1"/>
    <cellStyle name="Followed Hyperlink" xfId="17059" builtinId="9" hidden="1"/>
    <cellStyle name="Followed Hyperlink" xfId="17061" builtinId="9" hidden="1"/>
    <cellStyle name="Followed Hyperlink" xfId="17063" builtinId="9" hidden="1"/>
    <cellStyle name="Followed Hyperlink" xfId="17065" builtinId="9" hidden="1"/>
    <cellStyle name="Followed Hyperlink" xfId="17067" builtinId="9" hidden="1"/>
    <cellStyle name="Followed Hyperlink" xfId="17069" builtinId="9" hidden="1"/>
    <cellStyle name="Followed Hyperlink" xfId="17071" builtinId="9" hidden="1"/>
    <cellStyle name="Followed Hyperlink" xfId="17073" builtinId="9" hidden="1"/>
    <cellStyle name="Followed Hyperlink" xfId="17075" builtinId="9" hidden="1"/>
    <cellStyle name="Followed Hyperlink" xfId="17077" builtinId="9" hidden="1"/>
    <cellStyle name="Followed Hyperlink" xfId="17079" builtinId="9" hidden="1"/>
    <cellStyle name="Followed Hyperlink" xfId="17081" builtinId="9" hidden="1"/>
    <cellStyle name="Followed Hyperlink" xfId="17083" builtinId="9" hidden="1"/>
    <cellStyle name="Followed Hyperlink" xfId="17085" builtinId="9" hidden="1"/>
    <cellStyle name="Followed Hyperlink" xfId="17087" builtinId="9" hidden="1"/>
    <cellStyle name="Followed Hyperlink" xfId="17089" builtinId="9" hidden="1"/>
    <cellStyle name="Followed Hyperlink" xfId="17091" builtinId="9" hidden="1"/>
    <cellStyle name="Followed Hyperlink" xfId="17093" builtinId="9" hidden="1"/>
    <cellStyle name="Followed Hyperlink" xfId="17095" builtinId="9" hidden="1"/>
    <cellStyle name="Followed Hyperlink" xfId="17097" builtinId="9" hidden="1"/>
    <cellStyle name="Followed Hyperlink" xfId="17099" builtinId="9" hidden="1"/>
    <cellStyle name="Followed Hyperlink" xfId="17101" builtinId="9" hidden="1"/>
    <cellStyle name="Followed Hyperlink" xfId="17103" builtinId="9" hidden="1"/>
    <cellStyle name="Followed Hyperlink" xfId="17105" builtinId="9" hidden="1"/>
    <cellStyle name="Followed Hyperlink" xfId="17107" builtinId="9" hidden="1"/>
    <cellStyle name="Followed Hyperlink" xfId="17109" builtinId="9" hidden="1"/>
    <cellStyle name="Followed Hyperlink" xfId="17111" builtinId="9" hidden="1"/>
    <cellStyle name="Followed Hyperlink" xfId="17113" builtinId="9" hidden="1"/>
    <cellStyle name="Followed Hyperlink" xfId="17115" builtinId="9" hidden="1"/>
    <cellStyle name="Followed Hyperlink" xfId="17117" builtinId="9" hidden="1"/>
    <cellStyle name="Followed Hyperlink" xfId="17119" builtinId="9" hidden="1"/>
    <cellStyle name="Followed Hyperlink" xfId="17121" builtinId="9" hidden="1"/>
    <cellStyle name="Followed Hyperlink" xfId="17123" builtinId="9" hidden="1"/>
    <cellStyle name="Followed Hyperlink" xfId="17125" builtinId="9" hidden="1"/>
    <cellStyle name="Followed Hyperlink" xfId="17127" builtinId="9" hidden="1"/>
    <cellStyle name="Followed Hyperlink" xfId="17129" builtinId="9" hidden="1"/>
    <cellStyle name="Followed Hyperlink" xfId="17131" builtinId="9" hidden="1"/>
    <cellStyle name="Followed Hyperlink" xfId="17133" builtinId="9" hidden="1"/>
    <cellStyle name="Followed Hyperlink" xfId="17135" builtinId="9" hidden="1"/>
    <cellStyle name="Followed Hyperlink" xfId="17137" builtinId="9" hidden="1"/>
    <cellStyle name="Hyperlink" xfId="1" builtinId="8" hidden="1"/>
    <cellStyle name="Hyperlink" xfId="3" builtinId="8" hidden="1"/>
    <cellStyle name="Hyperlink" xfId="5" builtinId="8" hidden="1"/>
    <cellStyle name="Hyperlink" xfId="8" builtinId="8" hidden="1"/>
    <cellStyle name="Hyperlink" xfId="10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Hyperlink" xfId="6616" builtinId="8" hidden="1"/>
    <cellStyle name="Hyperlink" xfId="6618" builtinId="8" hidden="1"/>
    <cellStyle name="Hyperlink" xfId="6620" builtinId="8" hidden="1"/>
    <cellStyle name="Hyperlink" xfId="6622" builtinId="8" hidden="1"/>
    <cellStyle name="Hyperlink" xfId="6624" builtinId="8" hidden="1"/>
    <cellStyle name="Hyperlink" xfId="6626" builtinId="8" hidden="1"/>
    <cellStyle name="Hyperlink" xfId="6628" builtinId="8" hidden="1"/>
    <cellStyle name="Hyperlink" xfId="6630" builtinId="8" hidden="1"/>
    <cellStyle name="Hyperlink" xfId="6632" builtinId="8" hidden="1"/>
    <cellStyle name="Hyperlink" xfId="6634" builtinId="8" hidden="1"/>
    <cellStyle name="Hyperlink" xfId="6636" builtinId="8" hidden="1"/>
    <cellStyle name="Hyperlink" xfId="6638" builtinId="8" hidden="1"/>
    <cellStyle name="Hyperlink" xfId="6640" builtinId="8" hidden="1"/>
    <cellStyle name="Hyperlink" xfId="6642" builtinId="8" hidden="1"/>
    <cellStyle name="Hyperlink" xfId="6644" builtinId="8" hidden="1"/>
    <cellStyle name="Hyperlink" xfId="6646" builtinId="8" hidden="1"/>
    <cellStyle name="Hyperlink" xfId="6648" builtinId="8" hidden="1"/>
    <cellStyle name="Hyperlink" xfId="6650" builtinId="8" hidden="1"/>
    <cellStyle name="Hyperlink" xfId="6652" builtinId="8" hidden="1"/>
    <cellStyle name="Hyperlink" xfId="6654" builtinId="8" hidden="1"/>
    <cellStyle name="Hyperlink" xfId="6656" builtinId="8" hidden="1"/>
    <cellStyle name="Hyperlink" xfId="6658" builtinId="8" hidden="1"/>
    <cellStyle name="Hyperlink" xfId="6660" builtinId="8" hidden="1"/>
    <cellStyle name="Hyperlink" xfId="6662" builtinId="8" hidden="1"/>
    <cellStyle name="Hyperlink" xfId="6664" builtinId="8" hidden="1"/>
    <cellStyle name="Hyperlink" xfId="6666" builtinId="8" hidden="1"/>
    <cellStyle name="Hyperlink" xfId="6668" builtinId="8" hidden="1"/>
    <cellStyle name="Hyperlink" xfId="6670" builtinId="8" hidden="1"/>
    <cellStyle name="Hyperlink" xfId="6672" builtinId="8" hidden="1"/>
    <cellStyle name="Hyperlink" xfId="6674" builtinId="8" hidden="1"/>
    <cellStyle name="Hyperlink" xfId="6676" builtinId="8" hidden="1"/>
    <cellStyle name="Hyperlink" xfId="6678" builtinId="8" hidden="1"/>
    <cellStyle name="Hyperlink" xfId="668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694" builtinId="8" hidden="1"/>
    <cellStyle name="Hyperlink" xfId="6696" builtinId="8" hidden="1"/>
    <cellStyle name="Hyperlink" xfId="6698" builtinId="8" hidden="1"/>
    <cellStyle name="Hyperlink" xfId="6700" builtinId="8" hidden="1"/>
    <cellStyle name="Hyperlink" xfId="6702" builtinId="8" hidden="1"/>
    <cellStyle name="Hyperlink" xfId="6704" builtinId="8" hidden="1"/>
    <cellStyle name="Hyperlink" xfId="6706" builtinId="8" hidden="1"/>
    <cellStyle name="Hyperlink" xfId="6708" builtinId="8" hidden="1"/>
    <cellStyle name="Hyperlink" xfId="6710" builtinId="8" hidden="1"/>
    <cellStyle name="Hyperlink" xfId="6712" builtinId="8" hidden="1"/>
    <cellStyle name="Hyperlink" xfId="6714" builtinId="8" hidden="1"/>
    <cellStyle name="Hyperlink" xfId="6716" builtinId="8" hidden="1"/>
    <cellStyle name="Hyperlink" xfId="6718" builtinId="8" hidden="1"/>
    <cellStyle name="Hyperlink" xfId="6720" builtinId="8" hidden="1"/>
    <cellStyle name="Hyperlink" xfId="6722" builtinId="8" hidden="1"/>
    <cellStyle name="Hyperlink" xfId="6724" builtinId="8" hidden="1"/>
    <cellStyle name="Hyperlink" xfId="6726" builtinId="8" hidden="1"/>
    <cellStyle name="Hyperlink" xfId="6728" builtinId="8" hidden="1"/>
    <cellStyle name="Hyperlink" xfId="6730" builtinId="8" hidden="1"/>
    <cellStyle name="Hyperlink" xfId="6732" builtinId="8" hidden="1"/>
    <cellStyle name="Hyperlink" xfId="6734" builtinId="8" hidden="1"/>
    <cellStyle name="Hyperlink" xfId="6736" builtinId="8" hidden="1"/>
    <cellStyle name="Hyperlink" xfId="6738" builtinId="8" hidden="1"/>
    <cellStyle name="Hyperlink" xfId="6740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6846" builtinId="8" hidden="1"/>
    <cellStyle name="Hyperlink" xfId="6848" builtinId="8" hidden="1"/>
    <cellStyle name="Hyperlink" xfId="6850" builtinId="8" hidden="1"/>
    <cellStyle name="Hyperlink" xfId="6852" builtinId="8" hidden="1"/>
    <cellStyle name="Hyperlink" xfId="6854" builtinId="8" hidden="1"/>
    <cellStyle name="Hyperlink" xfId="6856" builtinId="8" hidden="1"/>
    <cellStyle name="Hyperlink" xfId="6858" builtinId="8" hidden="1"/>
    <cellStyle name="Hyperlink" xfId="6860" builtinId="8" hidden="1"/>
    <cellStyle name="Hyperlink" xfId="6862" builtinId="8" hidden="1"/>
    <cellStyle name="Hyperlink" xfId="6864" builtinId="8" hidden="1"/>
    <cellStyle name="Hyperlink" xfId="6866" builtinId="8" hidden="1"/>
    <cellStyle name="Hyperlink" xfId="6868" builtinId="8" hidden="1"/>
    <cellStyle name="Hyperlink" xfId="6870" builtinId="8" hidden="1"/>
    <cellStyle name="Hyperlink" xfId="6872" builtinId="8" hidden="1"/>
    <cellStyle name="Hyperlink" xfId="6874" builtinId="8" hidden="1"/>
    <cellStyle name="Hyperlink" xfId="6876" builtinId="8" hidden="1"/>
    <cellStyle name="Hyperlink" xfId="6878" builtinId="8" hidden="1"/>
    <cellStyle name="Hyperlink" xfId="6880" builtinId="8" hidden="1"/>
    <cellStyle name="Hyperlink" xfId="6882" builtinId="8" hidden="1"/>
    <cellStyle name="Hyperlink" xfId="6884" builtinId="8" hidden="1"/>
    <cellStyle name="Hyperlink" xfId="6886" builtinId="8" hidden="1"/>
    <cellStyle name="Hyperlink" xfId="6888" builtinId="8" hidden="1"/>
    <cellStyle name="Hyperlink" xfId="6890" builtinId="8" hidden="1"/>
    <cellStyle name="Hyperlink" xfId="6892" builtinId="8" hidden="1"/>
    <cellStyle name="Hyperlink" xfId="6894" builtinId="8" hidden="1"/>
    <cellStyle name="Hyperlink" xfId="6896" builtinId="8" hidden="1"/>
    <cellStyle name="Hyperlink" xfId="6898" builtinId="8" hidden="1"/>
    <cellStyle name="Hyperlink" xfId="6900" builtinId="8" hidden="1"/>
    <cellStyle name="Hyperlink" xfId="6902" builtinId="8" hidden="1"/>
    <cellStyle name="Hyperlink" xfId="6904" builtinId="8" hidden="1"/>
    <cellStyle name="Hyperlink" xfId="6906" builtinId="8" hidden="1"/>
    <cellStyle name="Hyperlink" xfId="6908" builtinId="8" hidden="1"/>
    <cellStyle name="Hyperlink" xfId="6910" builtinId="8" hidden="1"/>
    <cellStyle name="Hyperlink" xfId="6912" builtinId="8" hidden="1"/>
    <cellStyle name="Hyperlink" xfId="6914" builtinId="8" hidden="1"/>
    <cellStyle name="Hyperlink" xfId="6916" builtinId="8" hidden="1"/>
    <cellStyle name="Hyperlink" xfId="6918" builtinId="8" hidden="1"/>
    <cellStyle name="Hyperlink" xfId="6920" builtinId="8" hidden="1"/>
    <cellStyle name="Hyperlink" xfId="6922" builtinId="8" hidden="1"/>
    <cellStyle name="Hyperlink" xfId="6924" builtinId="8" hidden="1"/>
    <cellStyle name="Hyperlink" xfId="6926" builtinId="8" hidden="1"/>
    <cellStyle name="Hyperlink" xfId="6928" builtinId="8" hidden="1"/>
    <cellStyle name="Hyperlink" xfId="6930" builtinId="8" hidden="1"/>
    <cellStyle name="Hyperlink" xfId="6932" builtinId="8" hidden="1"/>
    <cellStyle name="Hyperlink" xfId="6934" builtinId="8" hidden="1"/>
    <cellStyle name="Hyperlink" xfId="6936" builtinId="8" hidden="1"/>
    <cellStyle name="Hyperlink" xfId="6938" builtinId="8" hidden="1"/>
    <cellStyle name="Hyperlink" xfId="6940" builtinId="8" hidden="1"/>
    <cellStyle name="Hyperlink" xfId="6942" builtinId="8" hidden="1"/>
    <cellStyle name="Hyperlink" xfId="6944" builtinId="8" hidden="1"/>
    <cellStyle name="Hyperlink" xfId="6946" builtinId="8" hidden="1"/>
    <cellStyle name="Hyperlink" xfId="6948" builtinId="8" hidden="1"/>
    <cellStyle name="Hyperlink" xfId="6950" builtinId="8" hidden="1"/>
    <cellStyle name="Hyperlink" xfId="6952" builtinId="8" hidden="1"/>
    <cellStyle name="Hyperlink" xfId="6954" builtinId="8" hidden="1"/>
    <cellStyle name="Hyperlink" xfId="6956" builtinId="8" hidden="1"/>
    <cellStyle name="Hyperlink" xfId="6958" builtinId="8" hidden="1"/>
    <cellStyle name="Hyperlink" xfId="6960" builtinId="8" hidden="1"/>
    <cellStyle name="Hyperlink" xfId="6962" builtinId="8" hidden="1"/>
    <cellStyle name="Hyperlink" xfId="6964" builtinId="8" hidden="1"/>
    <cellStyle name="Hyperlink" xfId="6966" builtinId="8" hidden="1"/>
    <cellStyle name="Hyperlink" xfId="6968" builtinId="8" hidden="1"/>
    <cellStyle name="Hyperlink" xfId="6970" builtinId="8" hidden="1"/>
    <cellStyle name="Hyperlink" xfId="6972" builtinId="8" hidden="1"/>
    <cellStyle name="Hyperlink" xfId="6974" builtinId="8" hidden="1"/>
    <cellStyle name="Hyperlink" xfId="6976" builtinId="8" hidden="1"/>
    <cellStyle name="Hyperlink" xfId="6978" builtinId="8" hidden="1"/>
    <cellStyle name="Hyperlink" xfId="6980" builtinId="8" hidden="1"/>
    <cellStyle name="Hyperlink" xfId="6982" builtinId="8" hidden="1"/>
    <cellStyle name="Hyperlink" xfId="6984" builtinId="8" hidden="1"/>
    <cellStyle name="Hyperlink" xfId="6986" builtinId="8" hidden="1"/>
    <cellStyle name="Hyperlink" xfId="6988" builtinId="8" hidden="1"/>
    <cellStyle name="Hyperlink" xfId="6990" builtinId="8" hidden="1"/>
    <cellStyle name="Hyperlink" xfId="6992" builtinId="8" hidden="1"/>
    <cellStyle name="Hyperlink" xfId="6994" builtinId="8" hidden="1"/>
    <cellStyle name="Hyperlink" xfId="6996" builtinId="8" hidden="1"/>
    <cellStyle name="Hyperlink" xfId="6998" builtinId="8" hidden="1"/>
    <cellStyle name="Hyperlink" xfId="7000" builtinId="8" hidden="1"/>
    <cellStyle name="Hyperlink" xfId="7002" builtinId="8" hidden="1"/>
    <cellStyle name="Hyperlink" xfId="7004" builtinId="8" hidden="1"/>
    <cellStyle name="Hyperlink" xfId="7006" builtinId="8" hidden="1"/>
    <cellStyle name="Hyperlink" xfId="7008" builtinId="8" hidden="1"/>
    <cellStyle name="Hyperlink" xfId="7010" builtinId="8" hidden="1"/>
    <cellStyle name="Hyperlink" xfId="7012" builtinId="8" hidden="1"/>
    <cellStyle name="Hyperlink" xfId="7014" builtinId="8" hidden="1"/>
    <cellStyle name="Hyperlink" xfId="7016" builtinId="8" hidden="1"/>
    <cellStyle name="Hyperlink" xfId="7018" builtinId="8" hidden="1"/>
    <cellStyle name="Hyperlink" xfId="7020" builtinId="8" hidden="1"/>
    <cellStyle name="Hyperlink" xfId="7022" builtinId="8" hidden="1"/>
    <cellStyle name="Hyperlink" xfId="7024" builtinId="8" hidden="1"/>
    <cellStyle name="Hyperlink" xfId="7026" builtinId="8" hidden="1"/>
    <cellStyle name="Hyperlink" xfId="7028" builtinId="8" hidden="1"/>
    <cellStyle name="Hyperlink" xfId="7030" builtinId="8" hidden="1"/>
    <cellStyle name="Hyperlink" xfId="7032" builtinId="8" hidden="1"/>
    <cellStyle name="Hyperlink" xfId="7034" builtinId="8" hidden="1"/>
    <cellStyle name="Hyperlink" xfId="7036" builtinId="8" hidden="1"/>
    <cellStyle name="Hyperlink" xfId="7038" builtinId="8" hidden="1"/>
    <cellStyle name="Hyperlink" xfId="7040" builtinId="8" hidden="1"/>
    <cellStyle name="Hyperlink" xfId="7042" builtinId="8" hidden="1"/>
    <cellStyle name="Hyperlink" xfId="7044" builtinId="8" hidden="1"/>
    <cellStyle name="Hyperlink" xfId="7046" builtinId="8" hidden="1"/>
    <cellStyle name="Hyperlink" xfId="7048" builtinId="8" hidden="1"/>
    <cellStyle name="Hyperlink" xfId="7050" builtinId="8" hidden="1"/>
    <cellStyle name="Hyperlink" xfId="7052" builtinId="8" hidden="1"/>
    <cellStyle name="Hyperlink" xfId="7054" builtinId="8" hidden="1"/>
    <cellStyle name="Hyperlink" xfId="7056" builtinId="8" hidden="1"/>
    <cellStyle name="Hyperlink" xfId="7058" builtinId="8" hidden="1"/>
    <cellStyle name="Hyperlink" xfId="7060" builtinId="8" hidden="1"/>
    <cellStyle name="Hyperlink" xfId="7062" builtinId="8" hidden="1"/>
    <cellStyle name="Hyperlink" xfId="7064" builtinId="8" hidden="1"/>
    <cellStyle name="Hyperlink" xfId="7066" builtinId="8" hidden="1"/>
    <cellStyle name="Hyperlink" xfId="7068" builtinId="8" hidden="1"/>
    <cellStyle name="Hyperlink" xfId="7070" builtinId="8" hidden="1"/>
    <cellStyle name="Hyperlink" xfId="7072" builtinId="8" hidden="1"/>
    <cellStyle name="Hyperlink" xfId="7074" builtinId="8" hidden="1"/>
    <cellStyle name="Hyperlink" xfId="7076" builtinId="8" hidden="1"/>
    <cellStyle name="Hyperlink" xfId="7078" builtinId="8" hidden="1"/>
    <cellStyle name="Hyperlink" xfId="7080" builtinId="8" hidden="1"/>
    <cellStyle name="Hyperlink" xfId="7082" builtinId="8" hidden="1"/>
    <cellStyle name="Hyperlink" xfId="7084" builtinId="8" hidden="1"/>
    <cellStyle name="Hyperlink" xfId="7086" builtinId="8" hidden="1"/>
    <cellStyle name="Hyperlink" xfId="7088" builtinId="8" hidden="1"/>
    <cellStyle name="Hyperlink" xfId="7090" builtinId="8" hidden="1"/>
    <cellStyle name="Hyperlink" xfId="7092" builtinId="8" hidden="1"/>
    <cellStyle name="Hyperlink" xfId="7094" builtinId="8" hidden="1"/>
    <cellStyle name="Hyperlink" xfId="7096" builtinId="8" hidden="1"/>
    <cellStyle name="Hyperlink" xfId="7098" builtinId="8" hidden="1"/>
    <cellStyle name="Hyperlink" xfId="7100" builtinId="8" hidden="1"/>
    <cellStyle name="Hyperlink" xfId="7102" builtinId="8" hidden="1"/>
    <cellStyle name="Hyperlink" xfId="7104" builtinId="8" hidden="1"/>
    <cellStyle name="Hyperlink" xfId="7106" builtinId="8" hidden="1"/>
    <cellStyle name="Hyperlink" xfId="7108" builtinId="8" hidden="1"/>
    <cellStyle name="Hyperlink" xfId="7110" builtinId="8" hidden="1"/>
    <cellStyle name="Hyperlink" xfId="7112" builtinId="8" hidden="1"/>
    <cellStyle name="Hyperlink" xfId="7114" builtinId="8" hidden="1"/>
    <cellStyle name="Hyperlink" xfId="7116" builtinId="8" hidden="1"/>
    <cellStyle name="Hyperlink" xfId="7118" builtinId="8" hidden="1"/>
    <cellStyle name="Hyperlink" xfId="7120" builtinId="8" hidden="1"/>
    <cellStyle name="Hyperlink" xfId="7122" builtinId="8" hidden="1"/>
    <cellStyle name="Hyperlink" xfId="7124" builtinId="8" hidden="1"/>
    <cellStyle name="Hyperlink" xfId="7126" builtinId="8" hidden="1"/>
    <cellStyle name="Hyperlink" xfId="7128" builtinId="8" hidden="1"/>
    <cellStyle name="Hyperlink" xfId="7130" builtinId="8" hidden="1"/>
    <cellStyle name="Hyperlink" xfId="7132" builtinId="8" hidden="1"/>
    <cellStyle name="Hyperlink" xfId="7134" builtinId="8" hidden="1"/>
    <cellStyle name="Hyperlink" xfId="7136" builtinId="8" hidden="1"/>
    <cellStyle name="Hyperlink" xfId="7138" builtinId="8" hidden="1"/>
    <cellStyle name="Hyperlink" xfId="7140" builtinId="8" hidden="1"/>
    <cellStyle name="Hyperlink" xfId="7142" builtinId="8" hidden="1"/>
    <cellStyle name="Hyperlink" xfId="7144" builtinId="8" hidden="1"/>
    <cellStyle name="Hyperlink" xfId="7146" builtinId="8" hidden="1"/>
    <cellStyle name="Hyperlink" xfId="7148" builtinId="8" hidden="1"/>
    <cellStyle name="Hyperlink" xfId="7150" builtinId="8" hidden="1"/>
    <cellStyle name="Hyperlink" xfId="7152" builtinId="8" hidden="1"/>
    <cellStyle name="Hyperlink" xfId="7154" builtinId="8" hidden="1"/>
    <cellStyle name="Hyperlink" xfId="7156" builtinId="8" hidden="1"/>
    <cellStyle name="Hyperlink" xfId="7158" builtinId="8" hidden="1"/>
    <cellStyle name="Hyperlink" xfId="7160" builtinId="8" hidden="1"/>
    <cellStyle name="Hyperlink" xfId="7162" builtinId="8" hidden="1"/>
    <cellStyle name="Hyperlink" xfId="7164" builtinId="8" hidden="1"/>
    <cellStyle name="Hyperlink" xfId="7166" builtinId="8" hidden="1"/>
    <cellStyle name="Hyperlink" xfId="7168" builtinId="8" hidden="1"/>
    <cellStyle name="Hyperlink" xfId="7170" builtinId="8" hidden="1"/>
    <cellStyle name="Hyperlink" xfId="7172" builtinId="8" hidden="1"/>
    <cellStyle name="Hyperlink" xfId="7174" builtinId="8" hidden="1"/>
    <cellStyle name="Hyperlink" xfId="7176" builtinId="8" hidden="1"/>
    <cellStyle name="Hyperlink" xfId="717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192" builtinId="8" hidden="1"/>
    <cellStyle name="Hyperlink" xfId="7194" builtinId="8" hidden="1"/>
    <cellStyle name="Hyperlink" xfId="7196" builtinId="8" hidden="1"/>
    <cellStyle name="Hyperlink" xfId="7198" builtinId="8" hidden="1"/>
    <cellStyle name="Hyperlink" xfId="7200" builtinId="8" hidden="1"/>
    <cellStyle name="Hyperlink" xfId="7202" builtinId="8" hidden="1"/>
    <cellStyle name="Hyperlink" xfId="7204" builtinId="8" hidden="1"/>
    <cellStyle name="Hyperlink" xfId="7206" builtinId="8" hidden="1"/>
    <cellStyle name="Hyperlink" xfId="7208" builtinId="8" hidden="1"/>
    <cellStyle name="Hyperlink" xfId="7210" builtinId="8" hidden="1"/>
    <cellStyle name="Hyperlink" xfId="7212" builtinId="8" hidden="1"/>
    <cellStyle name="Hyperlink" xfId="7214" builtinId="8" hidden="1"/>
    <cellStyle name="Hyperlink" xfId="7216" builtinId="8" hidden="1"/>
    <cellStyle name="Hyperlink" xfId="7218" builtinId="8" hidden="1"/>
    <cellStyle name="Hyperlink" xfId="7220" builtinId="8" hidden="1"/>
    <cellStyle name="Hyperlink" xfId="7222" builtinId="8" hidden="1"/>
    <cellStyle name="Hyperlink" xfId="7224" builtinId="8" hidden="1"/>
    <cellStyle name="Hyperlink" xfId="7226" builtinId="8" hidden="1"/>
    <cellStyle name="Hyperlink" xfId="7228" builtinId="8" hidden="1"/>
    <cellStyle name="Hyperlink" xfId="7230" builtinId="8" hidden="1"/>
    <cellStyle name="Hyperlink" xfId="7232" builtinId="8" hidden="1"/>
    <cellStyle name="Hyperlink" xfId="7234" builtinId="8" hidden="1"/>
    <cellStyle name="Hyperlink" xfId="7236" builtinId="8" hidden="1"/>
    <cellStyle name="Hyperlink" xfId="7238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348" builtinId="8" hidden="1"/>
    <cellStyle name="Hyperlink" xfId="7350" builtinId="8" hidden="1"/>
    <cellStyle name="Hyperlink" xfId="7352" builtinId="8" hidden="1"/>
    <cellStyle name="Hyperlink" xfId="7354" builtinId="8" hidden="1"/>
    <cellStyle name="Hyperlink" xfId="7356" builtinId="8" hidden="1"/>
    <cellStyle name="Hyperlink" xfId="7358" builtinId="8" hidden="1"/>
    <cellStyle name="Hyperlink" xfId="7360" builtinId="8" hidden="1"/>
    <cellStyle name="Hyperlink" xfId="7362" builtinId="8" hidden="1"/>
    <cellStyle name="Hyperlink" xfId="7364" builtinId="8" hidden="1"/>
    <cellStyle name="Hyperlink" xfId="7366" builtinId="8" hidden="1"/>
    <cellStyle name="Hyperlink" xfId="7368" builtinId="8" hidden="1"/>
    <cellStyle name="Hyperlink" xfId="7370" builtinId="8" hidden="1"/>
    <cellStyle name="Hyperlink" xfId="7372" builtinId="8" hidden="1"/>
    <cellStyle name="Hyperlink" xfId="7374" builtinId="8" hidden="1"/>
    <cellStyle name="Hyperlink" xfId="7376" builtinId="8" hidden="1"/>
    <cellStyle name="Hyperlink" xfId="7378" builtinId="8" hidden="1"/>
    <cellStyle name="Hyperlink" xfId="7380" builtinId="8" hidden="1"/>
    <cellStyle name="Hyperlink" xfId="7382" builtinId="8" hidden="1"/>
    <cellStyle name="Hyperlink" xfId="7384" builtinId="8" hidden="1"/>
    <cellStyle name="Hyperlink" xfId="7386" builtinId="8" hidden="1"/>
    <cellStyle name="Hyperlink" xfId="7388" builtinId="8" hidden="1"/>
    <cellStyle name="Hyperlink" xfId="7390" builtinId="8" hidden="1"/>
    <cellStyle name="Hyperlink" xfId="7392" builtinId="8" hidden="1"/>
    <cellStyle name="Hyperlink" xfId="7394" builtinId="8" hidden="1"/>
    <cellStyle name="Hyperlink" xfId="7396" builtinId="8" hidden="1"/>
    <cellStyle name="Hyperlink" xfId="7398" builtinId="8" hidden="1"/>
    <cellStyle name="Hyperlink" xfId="7400" builtinId="8" hidden="1"/>
    <cellStyle name="Hyperlink" xfId="7402" builtinId="8" hidden="1"/>
    <cellStyle name="Hyperlink" xfId="7404" builtinId="8" hidden="1"/>
    <cellStyle name="Hyperlink" xfId="7406" builtinId="8" hidden="1"/>
    <cellStyle name="Hyperlink" xfId="7408" builtinId="8" hidden="1"/>
    <cellStyle name="Hyperlink" xfId="7410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0" builtinId="8" hidden="1"/>
    <cellStyle name="Hyperlink" xfId="7422" builtinId="8" hidden="1"/>
    <cellStyle name="Hyperlink" xfId="7424" builtinId="8" hidden="1"/>
    <cellStyle name="Hyperlink" xfId="7426" builtinId="8" hidden="1"/>
    <cellStyle name="Hyperlink" xfId="7428" builtinId="8" hidden="1"/>
    <cellStyle name="Hyperlink" xfId="7430" builtinId="8" hidden="1"/>
    <cellStyle name="Hyperlink" xfId="7432" builtinId="8" hidden="1"/>
    <cellStyle name="Hyperlink" xfId="7434" builtinId="8" hidden="1"/>
    <cellStyle name="Hyperlink" xfId="7436" builtinId="8" hidden="1"/>
    <cellStyle name="Hyperlink" xfId="7438" builtinId="8" hidden="1"/>
    <cellStyle name="Hyperlink" xfId="7440" builtinId="8" hidden="1"/>
    <cellStyle name="Hyperlink" xfId="7442" builtinId="8" hidden="1"/>
    <cellStyle name="Hyperlink" xfId="7444" builtinId="8" hidden="1"/>
    <cellStyle name="Hyperlink" xfId="7446" builtinId="8" hidden="1"/>
    <cellStyle name="Hyperlink" xfId="7448" builtinId="8" hidden="1"/>
    <cellStyle name="Hyperlink" xfId="7450" builtinId="8" hidden="1"/>
    <cellStyle name="Hyperlink" xfId="7452" builtinId="8" hidden="1"/>
    <cellStyle name="Hyperlink" xfId="7454" builtinId="8" hidden="1"/>
    <cellStyle name="Hyperlink" xfId="7456" builtinId="8" hidden="1"/>
    <cellStyle name="Hyperlink" xfId="7458" builtinId="8" hidden="1"/>
    <cellStyle name="Hyperlink" xfId="7460" builtinId="8" hidden="1"/>
    <cellStyle name="Hyperlink" xfId="7462" builtinId="8" hidden="1"/>
    <cellStyle name="Hyperlink" xfId="7464" builtinId="8" hidden="1"/>
    <cellStyle name="Hyperlink" xfId="7466" builtinId="8" hidden="1"/>
    <cellStyle name="Hyperlink" xfId="7468" builtinId="8" hidden="1"/>
    <cellStyle name="Hyperlink" xfId="7470" builtinId="8" hidden="1"/>
    <cellStyle name="Hyperlink" xfId="7472" builtinId="8" hidden="1"/>
    <cellStyle name="Hyperlink" xfId="7474" builtinId="8" hidden="1"/>
    <cellStyle name="Hyperlink" xfId="7476" builtinId="8" hidden="1"/>
    <cellStyle name="Hyperlink" xfId="7478" builtinId="8" hidden="1"/>
    <cellStyle name="Hyperlink" xfId="7480" builtinId="8" hidden="1"/>
    <cellStyle name="Hyperlink" xfId="7482" builtinId="8" hidden="1"/>
    <cellStyle name="Hyperlink" xfId="7484" builtinId="8" hidden="1"/>
    <cellStyle name="Hyperlink" xfId="7486" builtinId="8" hidden="1"/>
    <cellStyle name="Hyperlink" xfId="7488" builtinId="8" hidden="1"/>
    <cellStyle name="Hyperlink" xfId="7490" builtinId="8" hidden="1"/>
    <cellStyle name="Hyperlink" xfId="7492" builtinId="8" hidden="1"/>
    <cellStyle name="Hyperlink" xfId="7494" builtinId="8" hidden="1"/>
    <cellStyle name="Hyperlink" xfId="7496" builtinId="8" hidden="1"/>
    <cellStyle name="Hyperlink" xfId="7498" builtinId="8" hidden="1"/>
    <cellStyle name="Hyperlink" xfId="7500" builtinId="8" hidden="1"/>
    <cellStyle name="Hyperlink" xfId="7502" builtinId="8" hidden="1"/>
    <cellStyle name="Hyperlink" xfId="7504" builtinId="8" hidden="1"/>
    <cellStyle name="Hyperlink" xfId="7506" builtinId="8" hidden="1"/>
    <cellStyle name="Hyperlink" xfId="7508" builtinId="8" hidden="1"/>
    <cellStyle name="Hyperlink" xfId="7510" builtinId="8" hidden="1"/>
    <cellStyle name="Hyperlink" xfId="7512" builtinId="8" hidden="1"/>
    <cellStyle name="Hyperlink" xfId="7514" builtinId="8" hidden="1"/>
    <cellStyle name="Hyperlink" xfId="7516" builtinId="8" hidden="1"/>
    <cellStyle name="Hyperlink" xfId="7518" builtinId="8" hidden="1"/>
    <cellStyle name="Hyperlink" xfId="7520" builtinId="8" hidden="1"/>
    <cellStyle name="Hyperlink" xfId="7522" builtinId="8" hidden="1"/>
    <cellStyle name="Hyperlink" xfId="7524" builtinId="8" hidden="1"/>
    <cellStyle name="Hyperlink" xfId="7526" builtinId="8" hidden="1"/>
    <cellStyle name="Hyperlink" xfId="7528" builtinId="8" hidden="1"/>
    <cellStyle name="Hyperlink" xfId="7530" builtinId="8" hidden="1"/>
    <cellStyle name="Hyperlink" xfId="7532" builtinId="8" hidden="1"/>
    <cellStyle name="Hyperlink" xfId="7534" builtinId="8" hidden="1"/>
    <cellStyle name="Hyperlink" xfId="7536" builtinId="8" hidden="1"/>
    <cellStyle name="Hyperlink" xfId="7538" builtinId="8" hidden="1"/>
    <cellStyle name="Hyperlink" xfId="7540" builtinId="8" hidden="1"/>
    <cellStyle name="Hyperlink" xfId="7542" builtinId="8" hidden="1"/>
    <cellStyle name="Hyperlink" xfId="7544" builtinId="8" hidden="1"/>
    <cellStyle name="Hyperlink" xfId="7546" builtinId="8" hidden="1"/>
    <cellStyle name="Hyperlink" xfId="7548" builtinId="8" hidden="1"/>
    <cellStyle name="Hyperlink" xfId="7550" builtinId="8" hidden="1"/>
    <cellStyle name="Hyperlink" xfId="7552" builtinId="8" hidden="1"/>
    <cellStyle name="Hyperlink" xfId="7554" builtinId="8" hidden="1"/>
    <cellStyle name="Hyperlink" xfId="7556" builtinId="8" hidden="1"/>
    <cellStyle name="Hyperlink" xfId="7558" builtinId="8" hidden="1"/>
    <cellStyle name="Hyperlink" xfId="7560" builtinId="8" hidden="1"/>
    <cellStyle name="Hyperlink" xfId="7562" builtinId="8" hidden="1"/>
    <cellStyle name="Hyperlink" xfId="7564" builtinId="8" hidden="1"/>
    <cellStyle name="Hyperlink" xfId="7566" builtinId="8" hidden="1"/>
    <cellStyle name="Hyperlink" xfId="7568" builtinId="8" hidden="1"/>
    <cellStyle name="Hyperlink" xfId="7570" builtinId="8" hidden="1"/>
    <cellStyle name="Hyperlink" xfId="7572" builtinId="8" hidden="1"/>
    <cellStyle name="Hyperlink" xfId="7574" builtinId="8" hidden="1"/>
    <cellStyle name="Hyperlink" xfId="7576" builtinId="8" hidden="1"/>
    <cellStyle name="Hyperlink" xfId="7578" builtinId="8" hidden="1"/>
    <cellStyle name="Hyperlink" xfId="7580" builtinId="8" hidden="1"/>
    <cellStyle name="Hyperlink" xfId="7582" builtinId="8" hidden="1"/>
    <cellStyle name="Hyperlink" xfId="7584" builtinId="8" hidden="1"/>
    <cellStyle name="Hyperlink" xfId="7586" builtinId="8" hidden="1"/>
    <cellStyle name="Hyperlink" xfId="7588" builtinId="8" hidden="1"/>
    <cellStyle name="Hyperlink" xfId="7590" builtinId="8" hidden="1"/>
    <cellStyle name="Hyperlink" xfId="7592" builtinId="8" hidden="1"/>
    <cellStyle name="Hyperlink" xfId="7594" builtinId="8" hidden="1"/>
    <cellStyle name="Hyperlink" xfId="7596" builtinId="8" hidden="1"/>
    <cellStyle name="Hyperlink" xfId="7598" builtinId="8" hidden="1"/>
    <cellStyle name="Hyperlink" xfId="7600" builtinId="8" hidden="1"/>
    <cellStyle name="Hyperlink" xfId="7602" builtinId="8" hidden="1"/>
    <cellStyle name="Hyperlink" xfId="7604" builtinId="8" hidden="1"/>
    <cellStyle name="Hyperlink" xfId="7606" builtinId="8" hidden="1"/>
    <cellStyle name="Hyperlink" xfId="7608" builtinId="8" hidden="1"/>
    <cellStyle name="Hyperlink" xfId="7610" builtinId="8" hidden="1"/>
    <cellStyle name="Hyperlink" xfId="7612" builtinId="8" hidden="1"/>
    <cellStyle name="Hyperlink" xfId="7614" builtinId="8" hidden="1"/>
    <cellStyle name="Hyperlink" xfId="7616" builtinId="8" hidden="1"/>
    <cellStyle name="Hyperlink" xfId="7618" builtinId="8" hidden="1"/>
    <cellStyle name="Hyperlink" xfId="7620" builtinId="8" hidden="1"/>
    <cellStyle name="Hyperlink" xfId="7622" builtinId="8" hidden="1"/>
    <cellStyle name="Hyperlink" xfId="7624" builtinId="8" hidden="1"/>
    <cellStyle name="Hyperlink" xfId="7626" builtinId="8" hidden="1"/>
    <cellStyle name="Hyperlink" xfId="7628" builtinId="8" hidden="1"/>
    <cellStyle name="Hyperlink" xfId="7630" builtinId="8" hidden="1"/>
    <cellStyle name="Hyperlink" xfId="7632" builtinId="8" hidden="1"/>
    <cellStyle name="Hyperlink" xfId="7634" builtinId="8" hidden="1"/>
    <cellStyle name="Hyperlink" xfId="7636" builtinId="8" hidden="1"/>
    <cellStyle name="Hyperlink" xfId="7638" builtinId="8" hidden="1"/>
    <cellStyle name="Hyperlink" xfId="7640" builtinId="8" hidden="1"/>
    <cellStyle name="Hyperlink" xfId="7642" builtinId="8" hidden="1"/>
    <cellStyle name="Hyperlink" xfId="7644" builtinId="8" hidden="1"/>
    <cellStyle name="Hyperlink" xfId="7646" builtinId="8" hidden="1"/>
    <cellStyle name="Hyperlink" xfId="7648" builtinId="8" hidden="1"/>
    <cellStyle name="Hyperlink" xfId="7650" builtinId="8" hidden="1"/>
    <cellStyle name="Hyperlink" xfId="7652" builtinId="8" hidden="1"/>
    <cellStyle name="Hyperlink" xfId="7654" builtinId="8" hidden="1"/>
    <cellStyle name="Hyperlink" xfId="7656" builtinId="8" hidden="1"/>
    <cellStyle name="Hyperlink" xfId="7658" builtinId="8" hidden="1"/>
    <cellStyle name="Hyperlink" xfId="7660" builtinId="8" hidden="1"/>
    <cellStyle name="Hyperlink" xfId="7662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2" builtinId="8" hidden="1"/>
    <cellStyle name="Hyperlink" xfId="7674" builtinId="8" hidden="1"/>
    <cellStyle name="Hyperlink" xfId="7676" builtinId="8" hidden="1"/>
    <cellStyle name="Hyperlink" xfId="7678" builtinId="8" hidden="1"/>
    <cellStyle name="Hyperlink" xfId="7680" builtinId="8" hidden="1"/>
    <cellStyle name="Hyperlink" xfId="7682" builtinId="8" hidden="1"/>
    <cellStyle name="Hyperlink" xfId="7684" builtinId="8" hidden="1"/>
    <cellStyle name="Hyperlink" xfId="7686" builtinId="8" hidden="1"/>
    <cellStyle name="Hyperlink" xfId="7688" builtinId="8" hidden="1"/>
    <cellStyle name="Hyperlink" xfId="7690" builtinId="8" hidden="1"/>
    <cellStyle name="Hyperlink" xfId="7692" builtinId="8" hidden="1"/>
    <cellStyle name="Hyperlink" xfId="7694" builtinId="8" hidden="1"/>
    <cellStyle name="Hyperlink" xfId="7696" builtinId="8" hidden="1"/>
    <cellStyle name="Hyperlink" xfId="7698" builtinId="8" hidden="1"/>
    <cellStyle name="Hyperlink" xfId="7700" builtinId="8" hidden="1"/>
    <cellStyle name="Hyperlink" xfId="7702" builtinId="8" hidden="1"/>
    <cellStyle name="Hyperlink" xfId="7704" builtinId="8" hidden="1"/>
    <cellStyle name="Hyperlink" xfId="7706" builtinId="8" hidden="1"/>
    <cellStyle name="Hyperlink" xfId="7708" builtinId="8" hidden="1"/>
    <cellStyle name="Hyperlink" xfId="7710" builtinId="8" hidden="1"/>
    <cellStyle name="Hyperlink" xfId="7712" builtinId="8" hidden="1"/>
    <cellStyle name="Hyperlink" xfId="7714" builtinId="8" hidden="1"/>
    <cellStyle name="Hyperlink" xfId="7716" builtinId="8" hidden="1"/>
    <cellStyle name="Hyperlink" xfId="7718" builtinId="8" hidden="1"/>
    <cellStyle name="Hyperlink" xfId="7720" builtinId="8" hidden="1"/>
    <cellStyle name="Hyperlink" xfId="7722" builtinId="8" hidden="1"/>
    <cellStyle name="Hyperlink" xfId="7724" builtinId="8" hidden="1"/>
    <cellStyle name="Hyperlink" xfId="7726" builtinId="8" hidden="1"/>
    <cellStyle name="Hyperlink" xfId="7728" builtinId="8" hidden="1"/>
    <cellStyle name="Hyperlink" xfId="7730" builtinId="8" hidden="1"/>
    <cellStyle name="Hyperlink" xfId="7732" builtinId="8" hidden="1"/>
    <cellStyle name="Hyperlink" xfId="7734" builtinId="8" hidden="1"/>
    <cellStyle name="Hyperlink" xfId="7736" builtinId="8" hidden="1"/>
    <cellStyle name="Hyperlink" xfId="7738" builtinId="8" hidden="1"/>
    <cellStyle name="Hyperlink" xfId="7740" builtinId="8" hidden="1"/>
    <cellStyle name="Hyperlink" xfId="7742" builtinId="8" hidden="1"/>
    <cellStyle name="Hyperlink" xfId="7744" builtinId="8" hidden="1"/>
    <cellStyle name="Hyperlink" xfId="7746" builtinId="8" hidden="1"/>
    <cellStyle name="Hyperlink" xfId="7748" builtinId="8" hidden="1"/>
    <cellStyle name="Hyperlink" xfId="7750" builtinId="8" hidden="1"/>
    <cellStyle name="Hyperlink" xfId="7752" builtinId="8" hidden="1"/>
    <cellStyle name="Hyperlink" xfId="7754" builtinId="8" hidden="1"/>
    <cellStyle name="Hyperlink" xfId="7756" builtinId="8" hidden="1"/>
    <cellStyle name="Hyperlink" xfId="7758" builtinId="8" hidden="1"/>
    <cellStyle name="Hyperlink" xfId="7760" builtinId="8" hidden="1"/>
    <cellStyle name="Hyperlink" xfId="7762" builtinId="8" hidden="1"/>
    <cellStyle name="Hyperlink" xfId="7764" builtinId="8" hidden="1"/>
    <cellStyle name="Hyperlink" xfId="7766" builtinId="8" hidden="1"/>
    <cellStyle name="Hyperlink" xfId="7768" builtinId="8" hidden="1"/>
    <cellStyle name="Hyperlink" xfId="7770" builtinId="8" hidden="1"/>
    <cellStyle name="Hyperlink" xfId="7772" builtinId="8" hidden="1"/>
    <cellStyle name="Hyperlink" xfId="7774" builtinId="8" hidden="1"/>
    <cellStyle name="Hyperlink" xfId="7776" builtinId="8" hidden="1"/>
    <cellStyle name="Hyperlink" xfId="7778" builtinId="8" hidden="1"/>
    <cellStyle name="Hyperlink" xfId="7780" builtinId="8" hidden="1"/>
    <cellStyle name="Hyperlink" xfId="7782" builtinId="8" hidden="1"/>
    <cellStyle name="Hyperlink" xfId="7784" builtinId="8" hidden="1"/>
    <cellStyle name="Hyperlink" xfId="7786" builtinId="8" hidden="1"/>
    <cellStyle name="Hyperlink" xfId="7788" builtinId="8" hidden="1"/>
    <cellStyle name="Hyperlink" xfId="7790" builtinId="8" hidden="1"/>
    <cellStyle name="Hyperlink" xfId="7792" builtinId="8" hidden="1"/>
    <cellStyle name="Hyperlink" xfId="7794" builtinId="8" hidden="1"/>
    <cellStyle name="Hyperlink" xfId="7796" builtinId="8" hidden="1"/>
    <cellStyle name="Hyperlink" xfId="7798" builtinId="8" hidden="1"/>
    <cellStyle name="Hyperlink" xfId="7800" builtinId="8" hidden="1"/>
    <cellStyle name="Hyperlink" xfId="7802" builtinId="8" hidden="1"/>
    <cellStyle name="Hyperlink" xfId="7804" builtinId="8" hidden="1"/>
    <cellStyle name="Hyperlink" xfId="7806" builtinId="8" hidden="1"/>
    <cellStyle name="Hyperlink" xfId="7808" builtinId="8" hidden="1"/>
    <cellStyle name="Hyperlink" xfId="7810" builtinId="8" hidden="1"/>
    <cellStyle name="Hyperlink" xfId="7812" builtinId="8" hidden="1"/>
    <cellStyle name="Hyperlink" xfId="7814" builtinId="8" hidden="1"/>
    <cellStyle name="Hyperlink" xfId="7816" builtinId="8" hidden="1"/>
    <cellStyle name="Hyperlink" xfId="7818" builtinId="8" hidden="1"/>
    <cellStyle name="Hyperlink" xfId="7820" builtinId="8" hidden="1"/>
    <cellStyle name="Hyperlink" xfId="7822" builtinId="8" hidden="1"/>
    <cellStyle name="Hyperlink" xfId="7824" builtinId="8" hidden="1"/>
    <cellStyle name="Hyperlink" xfId="7826" builtinId="8" hidden="1"/>
    <cellStyle name="Hyperlink" xfId="7828" builtinId="8" hidden="1"/>
    <cellStyle name="Hyperlink" xfId="7830" builtinId="8" hidden="1"/>
    <cellStyle name="Hyperlink" xfId="7832" builtinId="8" hidden="1"/>
    <cellStyle name="Hyperlink" xfId="7834" builtinId="8" hidden="1"/>
    <cellStyle name="Hyperlink" xfId="7836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50" builtinId="8" hidden="1"/>
    <cellStyle name="Hyperlink" xfId="7852" builtinId="8" hidden="1"/>
    <cellStyle name="Hyperlink" xfId="7854" builtinId="8" hidden="1"/>
    <cellStyle name="Hyperlink" xfId="7856" builtinId="8" hidden="1"/>
    <cellStyle name="Hyperlink" xfId="7858" builtinId="8" hidden="1"/>
    <cellStyle name="Hyperlink" xfId="7860" builtinId="8" hidden="1"/>
    <cellStyle name="Hyperlink" xfId="7862" builtinId="8" hidden="1"/>
    <cellStyle name="Hyperlink" xfId="7864" builtinId="8" hidden="1"/>
    <cellStyle name="Hyperlink" xfId="7866" builtinId="8" hidden="1"/>
    <cellStyle name="Hyperlink" xfId="7868" builtinId="8" hidden="1"/>
    <cellStyle name="Hyperlink" xfId="7870" builtinId="8" hidden="1"/>
    <cellStyle name="Hyperlink" xfId="7872" builtinId="8" hidden="1"/>
    <cellStyle name="Hyperlink" xfId="7874" builtinId="8" hidden="1"/>
    <cellStyle name="Hyperlink" xfId="7876" builtinId="8" hidden="1"/>
    <cellStyle name="Hyperlink" xfId="7878" builtinId="8" hidden="1"/>
    <cellStyle name="Hyperlink" xfId="7880" builtinId="8" hidden="1"/>
    <cellStyle name="Hyperlink" xfId="7882" builtinId="8" hidden="1"/>
    <cellStyle name="Hyperlink" xfId="7884" builtinId="8" hidden="1"/>
    <cellStyle name="Hyperlink" xfId="7886" builtinId="8" hidden="1"/>
    <cellStyle name="Hyperlink" xfId="7888" builtinId="8" hidden="1"/>
    <cellStyle name="Hyperlink" xfId="7890" builtinId="8" hidden="1"/>
    <cellStyle name="Hyperlink" xfId="7892" builtinId="8" hidden="1"/>
    <cellStyle name="Hyperlink" xfId="7894" builtinId="8" hidden="1"/>
    <cellStyle name="Hyperlink" xfId="7896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8002" builtinId="8" hidden="1"/>
    <cellStyle name="Hyperlink" xfId="8004" builtinId="8" hidden="1"/>
    <cellStyle name="Hyperlink" xfId="8006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20" builtinId="8" hidden="1"/>
    <cellStyle name="Hyperlink" xfId="8022" builtinId="8" hidden="1"/>
    <cellStyle name="Hyperlink" xfId="8024" builtinId="8" hidden="1"/>
    <cellStyle name="Hyperlink" xfId="8026" builtinId="8" hidden="1"/>
    <cellStyle name="Hyperlink" xfId="8028" builtinId="8" hidden="1"/>
    <cellStyle name="Hyperlink" xfId="8030" builtinId="8" hidden="1"/>
    <cellStyle name="Hyperlink" xfId="8032" builtinId="8" hidden="1"/>
    <cellStyle name="Hyperlink" xfId="8034" builtinId="8" hidden="1"/>
    <cellStyle name="Hyperlink" xfId="8036" builtinId="8" hidden="1"/>
    <cellStyle name="Hyperlink" xfId="8038" builtinId="8" hidden="1"/>
    <cellStyle name="Hyperlink" xfId="8040" builtinId="8" hidden="1"/>
    <cellStyle name="Hyperlink" xfId="8042" builtinId="8" hidden="1"/>
    <cellStyle name="Hyperlink" xfId="8044" builtinId="8" hidden="1"/>
    <cellStyle name="Hyperlink" xfId="8046" builtinId="8" hidden="1"/>
    <cellStyle name="Hyperlink" xfId="8048" builtinId="8" hidden="1"/>
    <cellStyle name="Hyperlink" xfId="8050" builtinId="8" hidden="1"/>
    <cellStyle name="Hyperlink" xfId="8052" builtinId="8" hidden="1"/>
    <cellStyle name="Hyperlink" xfId="8054" builtinId="8" hidden="1"/>
    <cellStyle name="Hyperlink" xfId="8056" builtinId="8" hidden="1"/>
    <cellStyle name="Hyperlink" xfId="8058" builtinId="8" hidden="1"/>
    <cellStyle name="Hyperlink" xfId="8060" builtinId="8" hidden="1"/>
    <cellStyle name="Hyperlink" xfId="8062" builtinId="8" hidden="1"/>
    <cellStyle name="Hyperlink" xfId="8064" builtinId="8" hidden="1"/>
    <cellStyle name="Hyperlink" xfId="8066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8172" builtinId="8" hidden="1"/>
    <cellStyle name="Hyperlink" xfId="8174" builtinId="8" hidden="1"/>
    <cellStyle name="Hyperlink" xfId="8176" builtinId="8" hidden="1"/>
    <cellStyle name="Hyperlink" xfId="8178" builtinId="8" hidden="1"/>
    <cellStyle name="Hyperlink" xfId="8180" builtinId="8" hidden="1"/>
    <cellStyle name="Hyperlink" xfId="8182" builtinId="8" hidden="1"/>
    <cellStyle name="Hyperlink" xfId="8184" builtinId="8" hidden="1"/>
    <cellStyle name="Hyperlink" xfId="8186" builtinId="8" hidden="1"/>
    <cellStyle name="Hyperlink" xfId="8188" builtinId="8" hidden="1"/>
    <cellStyle name="Hyperlink" xfId="8190" builtinId="8" hidden="1"/>
    <cellStyle name="Hyperlink" xfId="8192" builtinId="8" hidden="1"/>
    <cellStyle name="Hyperlink" xfId="8194" builtinId="8" hidden="1"/>
    <cellStyle name="Hyperlink" xfId="8196" builtinId="8" hidden="1"/>
    <cellStyle name="Hyperlink" xfId="8198" builtinId="8" hidden="1"/>
    <cellStyle name="Hyperlink" xfId="8200" builtinId="8" hidden="1"/>
    <cellStyle name="Hyperlink" xfId="8202" builtinId="8" hidden="1"/>
    <cellStyle name="Hyperlink" xfId="8204" builtinId="8" hidden="1"/>
    <cellStyle name="Hyperlink" xfId="8206" builtinId="8" hidden="1"/>
    <cellStyle name="Hyperlink" xfId="8208" builtinId="8" hidden="1"/>
    <cellStyle name="Hyperlink" xfId="8210" builtinId="8" hidden="1"/>
    <cellStyle name="Hyperlink" xfId="8212" builtinId="8" hidden="1"/>
    <cellStyle name="Hyperlink" xfId="8214" builtinId="8" hidden="1"/>
    <cellStyle name="Hyperlink" xfId="8216" builtinId="8" hidden="1"/>
    <cellStyle name="Hyperlink" xfId="8218" builtinId="8" hidden="1"/>
    <cellStyle name="Hyperlink" xfId="8220" builtinId="8" hidden="1"/>
    <cellStyle name="Hyperlink" xfId="8222" builtinId="8" hidden="1"/>
    <cellStyle name="Hyperlink" xfId="8224" builtinId="8" hidden="1"/>
    <cellStyle name="Hyperlink" xfId="8226" builtinId="8" hidden="1"/>
    <cellStyle name="Hyperlink" xfId="8228" builtinId="8" hidden="1"/>
    <cellStyle name="Hyperlink" xfId="8230" builtinId="8" hidden="1"/>
    <cellStyle name="Hyperlink" xfId="8232" builtinId="8" hidden="1"/>
    <cellStyle name="Hyperlink" xfId="8234" builtinId="8" hidden="1"/>
    <cellStyle name="Hyperlink" xfId="8236" builtinId="8" hidden="1"/>
    <cellStyle name="Hyperlink" xfId="8238" builtinId="8" hidden="1"/>
    <cellStyle name="Hyperlink" xfId="8240" builtinId="8" hidden="1"/>
    <cellStyle name="Hyperlink" xfId="8242" builtinId="8" hidden="1"/>
    <cellStyle name="Hyperlink" xfId="8244" builtinId="8" hidden="1"/>
    <cellStyle name="Hyperlink" xfId="8246" builtinId="8" hidden="1"/>
    <cellStyle name="Hyperlink" xfId="8248" builtinId="8" hidden="1"/>
    <cellStyle name="Hyperlink" xfId="8250" builtinId="8" hidden="1"/>
    <cellStyle name="Hyperlink" xfId="8252" builtinId="8" hidden="1"/>
    <cellStyle name="Hyperlink" xfId="8254" builtinId="8" hidden="1"/>
    <cellStyle name="Hyperlink" xfId="8256" builtinId="8" hidden="1"/>
    <cellStyle name="Hyperlink" xfId="8258" builtinId="8" hidden="1"/>
    <cellStyle name="Hyperlink" xfId="8260" builtinId="8" hidden="1"/>
    <cellStyle name="Hyperlink" xfId="8262" builtinId="8" hidden="1"/>
    <cellStyle name="Hyperlink" xfId="8264" builtinId="8" hidden="1"/>
    <cellStyle name="Hyperlink" xfId="8266" builtinId="8" hidden="1"/>
    <cellStyle name="Hyperlink" xfId="8268" builtinId="8" hidden="1"/>
    <cellStyle name="Hyperlink" xfId="8270" builtinId="8" hidden="1"/>
    <cellStyle name="Hyperlink" xfId="8272" builtinId="8" hidden="1"/>
    <cellStyle name="Hyperlink" xfId="8274" builtinId="8" hidden="1"/>
    <cellStyle name="Hyperlink" xfId="8276" builtinId="8" hidden="1"/>
    <cellStyle name="Hyperlink" xfId="8278" builtinId="8" hidden="1"/>
    <cellStyle name="Hyperlink" xfId="8280" builtinId="8" hidden="1"/>
    <cellStyle name="Hyperlink" xfId="8282" builtinId="8" hidden="1"/>
    <cellStyle name="Hyperlink" xfId="8284" builtinId="8" hidden="1"/>
    <cellStyle name="Hyperlink" xfId="8286" builtinId="8" hidden="1"/>
    <cellStyle name="Hyperlink" xfId="8288" builtinId="8" hidden="1"/>
    <cellStyle name="Hyperlink" xfId="8290" builtinId="8" hidden="1"/>
    <cellStyle name="Hyperlink" xfId="8292" builtinId="8" hidden="1"/>
    <cellStyle name="Hyperlink" xfId="8294" builtinId="8" hidden="1"/>
    <cellStyle name="Hyperlink" xfId="8296" builtinId="8" hidden="1"/>
    <cellStyle name="Hyperlink" xfId="8298" builtinId="8" hidden="1"/>
    <cellStyle name="Hyperlink" xfId="8300" builtinId="8" hidden="1"/>
    <cellStyle name="Hyperlink" xfId="8302" builtinId="8" hidden="1"/>
    <cellStyle name="Hyperlink" xfId="8304" builtinId="8" hidden="1"/>
    <cellStyle name="Hyperlink" xfId="8306" builtinId="8" hidden="1"/>
    <cellStyle name="Hyperlink" xfId="8308" builtinId="8" hidden="1"/>
    <cellStyle name="Hyperlink" xfId="8310" builtinId="8" hidden="1"/>
    <cellStyle name="Hyperlink" xfId="8312" builtinId="8" hidden="1"/>
    <cellStyle name="Hyperlink" xfId="8314" builtinId="8" hidden="1"/>
    <cellStyle name="Hyperlink" xfId="8316" builtinId="8" hidden="1"/>
    <cellStyle name="Hyperlink" xfId="8318" builtinId="8" hidden="1"/>
    <cellStyle name="Hyperlink" xfId="8320" builtinId="8" hidden="1"/>
    <cellStyle name="Hyperlink" xfId="8322" builtinId="8" hidden="1"/>
    <cellStyle name="Hyperlink" xfId="8324" builtinId="8" hidden="1"/>
    <cellStyle name="Hyperlink" xfId="8326" builtinId="8" hidden="1"/>
    <cellStyle name="Hyperlink" xfId="8328" builtinId="8" hidden="1"/>
    <cellStyle name="Hyperlink" xfId="8330" builtinId="8" hidden="1"/>
    <cellStyle name="Hyperlink" xfId="8332" builtinId="8" hidden="1"/>
    <cellStyle name="Hyperlink" xfId="8334" builtinId="8" hidden="1"/>
    <cellStyle name="Hyperlink" xfId="8336" builtinId="8" hidden="1"/>
    <cellStyle name="Hyperlink" xfId="8338" builtinId="8" hidden="1"/>
    <cellStyle name="Hyperlink" xfId="8340" builtinId="8" hidden="1"/>
    <cellStyle name="Hyperlink" xfId="8342" builtinId="8" hidden="1"/>
    <cellStyle name="Hyperlink" xfId="8344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358" builtinId="8" hidden="1"/>
    <cellStyle name="Hyperlink" xfId="8360" builtinId="8" hidden="1"/>
    <cellStyle name="Hyperlink" xfId="8362" builtinId="8" hidden="1"/>
    <cellStyle name="Hyperlink" xfId="8364" builtinId="8" hidden="1"/>
    <cellStyle name="Hyperlink" xfId="8366" builtinId="8" hidden="1"/>
    <cellStyle name="Hyperlink" xfId="8368" builtinId="8" hidden="1"/>
    <cellStyle name="Hyperlink" xfId="8370" builtinId="8" hidden="1"/>
    <cellStyle name="Hyperlink" xfId="8372" builtinId="8" hidden="1"/>
    <cellStyle name="Hyperlink" xfId="8374" builtinId="8" hidden="1"/>
    <cellStyle name="Hyperlink" xfId="8376" builtinId="8" hidden="1"/>
    <cellStyle name="Hyperlink" xfId="8378" builtinId="8" hidden="1"/>
    <cellStyle name="Hyperlink" xfId="8380" builtinId="8" hidden="1"/>
    <cellStyle name="Hyperlink" xfId="8382" builtinId="8" hidden="1"/>
    <cellStyle name="Hyperlink" xfId="8384" builtinId="8" hidden="1"/>
    <cellStyle name="Hyperlink" xfId="8386" builtinId="8" hidden="1"/>
    <cellStyle name="Hyperlink" xfId="8388" builtinId="8" hidden="1"/>
    <cellStyle name="Hyperlink" xfId="8390" builtinId="8" hidden="1"/>
    <cellStyle name="Hyperlink" xfId="8392" builtinId="8" hidden="1"/>
    <cellStyle name="Hyperlink" xfId="8394" builtinId="8" hidden="1"/>
    <cellStyle name="Hyperlink" xfId="8396" builtinId="8" hidden="1"/>
    <cellStyle name="Hyperlink" xfId="8398" builtinId="8" hidden="1"/>
    <cellStyle name="Hyperlink" xfId="8400" builtinId="8" hidden="1"/>
    <cellStyle name="Hyperlink" xfId="8402" builtinId="8" hidden="1"/>
    <cellStyle name="Hyperlink" xfId="8404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8510" builtinId="8" hidden="1"/>
    <cellStyle name="Hyperlink" xfId="8512" builtinId="8" hidden="1"/>
    <cellStyle name="Hyperlink" xfId="8514" builtinId="8" hidden="1"/>
    <cellStyle name="Hyperlink" xfId="8516" builtinId="8" hidden="1"/>
    <cellStyle name="Hyperlink" xfId="8518" builtinId="8" hidden="1"/>
    <cellStyle name="Hyperlink" xfId="8520" builtinId="8" hidden="1"/>
    <cellStyle name="Hyperlink" xfId="8522" builtinId="8" hidden="1"/>
    <cellStyle name="Hyperlink" xfId="8524" builtinId="8" hidden="1"/>
    <cellStyle name="Hyperlink" xfId="8526" builtinId="8" hidden="1"/>
    <cellStyle name="Hyperlink" xfId="8528" builtinId="8" hidden="1"/>
    <cellStyle name="Hyperlink" xfId="8530" builtinId="8" hidden="1"/>
    <cellStyle name="Hyperlink" xfId="8532" builtinId="8" hidden="1"/>
    <cellStyle name="Hyperlink" xfId="8534" builtinId="8" hidden="1"/>
    <cellStyle name="Hyperlink" xfId="8536" builtinId="8" hidden="1"/>
    <cellStyle name="Hyperlink" xfId="8538" builtinId="8" hidden="1"/>
    <cellStyle name="Hyperlink" xfId="8540" builtinId="8" hidden="1"/>
    <cellStyle name="Hyperlink" xfId="8542" builtinId="8" hidden="1"/>
    <cellStyle name="Hyperlink" xfId="8544" builtinId="8" hidden="1"/>
    <cellStyle name="Hyperlink" xfId="8546" builtinId="8" hidden="1"/>
    <cellStyle name="Hyperlink" xfId="8548" builtinId="8" hidden="1"/>
    <cellStyle name="Hyperlink" xfId="8550" builtinId="8" hidden="1"/>
    <cellStyle name="Hyperlink" xfId="8552" builtinId="8" hidden="1"/>
    <cellStyle name="Hyperlink" xfId="8554" builtinId="8" hidden="1"/>
    <cellStyle name="Hyperlink" xfId="8556" builtinId="8" hidden="1"/>
    <cellStyle name="Hyperlink" xfId="8558" builtinId="8" hidden="1"/>
    <cellStyle name="Hyperlink" xfId="8560" builtinId="8" hidden="1"/>
    <cellStyle name="Hyperlink" xfId="8562" builtinId="8" hidden="1"/>
    <cellStyle name="Hyperlink" xfId="8564" builtinId="8" hidden="1"/>
    <cellStyle name="Hyperlink" xfId="8566" builtinId="8" hidden="1"/>
    <cellStyle name="Hyperlink" xfId="8568" builtinId="8" hidden="1"/>
    <cellStyle name="Hyperlink" xfId="8570" builtinId="8" hidden="1"/>
    <cellStyle name="Hyperlink" xfId="8572" builtinId="8" hidden="1"/>
    <cellStyle name="Hyperlink" xfId="8574" builtinId="8" hidden="1"/>
    <cellStyle name="Hyperlink" xfId="8576" builtinId="8" hidden="1"/>
    <cellStyle name="Hyperlink" xfId="8578" builtinId="8" hidden="1"/>
    <cellStyle name="Hyperlink" xfId="8580" builtinId="8" hidden="1"/>
    <cellStyle name="Hyperlink" xfId="8582" builtinId="8" hidden="1"/>
    <cellStyle name="Hyperlink" xfId="8584" builtinId="8" hidden="1"/>
    <cellStyle name="Hyperlink" xfId="8586" builtinId="8" hidden="1"/>
    <cellStyle name="Hyperlink" xfId="8588" builtinId="8" hidden="1"/>
    <cellStyle name="Hyperlink" xfId="8590" builtinId="8" hidden="1"/>
    <cellStyle name="Hyperlink" xfId="8592" builtinId="8" hidden="1"/>
    <cellStyle name="Hyperlink" xfId="8594" builtinId="8" hidden="1"/>
    <cellStyle name="Hyperlink" xfId="8596" builtinId="8" hidden="1"/>
    <cellStyle name="Hyperlink" xfId="8598" builtinId="8" hidden="1"/>
    <cellStyle name="Hyperlink" xfId="8600" builtinId="8" hidden="1"/>
    <cellStyle name="Hyperlink" xfId="8602" builtinId="8" hidden="1"/>
    <cellStyle name="Hyperlink" xfId="8604" builtinId="8" hidden="1"/>
    <cellStyle name="Hyperlink" xfId="8606" builtinId="8" hidden="1"/>
    <cellStyle name="Hyperlink" xfId="8608" builtinId="8" hidden="1"/>
    <cellStyle name="Hyperlink" xfId="8610" builtinId="8" hidden="1"/>
    <cellStyle name="Hyperlink" xfId="8612" builtinId="8" hidden="1"/>
    <cellStyle name="Hyperlink" xfId="8614" builtinId="8" hidden="1"/>
    <cellStyle name="Hyperlink" xfId="8616" builtinId="8" hidden="1"/>
    <cellStyle name="Hyperlink" xfId="8618" builtinId="8" hidden="1"/>
    <cellStyle name="Hyperlink" xfId="8620" builtinId="8" hidden="1"/>
    <cellStyle name="Hyperlink" xfId="8622" builtinId="8" hidden="1"/>
    <cellStyle name="Hyperlink" xfId="8624" builtinId="8" hidden="1"/>
    <cellStyle name="Hyperlink" xfId="8626" builtinId="8" hidden="1"/>
    <cellStyle name="Hyperlink" xfId="8628" builtinId="8" hidden="1"/>
    <cellStyle name="Hyperlink" xfId="8630" builtinId="8" hidden="1"/>
    <cellStyle name="Hyperlink" xfId="8632" builtinId="8" hidden="1"/>
    <cellStyle name="Hyperlink" xfId="8634" builtinId="8" hidden="1"/>
    <cellStyle name="Hyperlink" xfId="8636" builtinId="8" hidden="1"/>
    <cellStyle name="Hyperlink" xfId="8638" builtinId="8" hidden="1"/>
    <cellStyle name="Hyperlink" xfId="8640" builtinId="8" hidden="1"/>
    <cellStyle name="Hyperlink" xfId="8642" builtinId="8" hidden="1"/>
    <cellStyle name="Hyperlink" xfId="8644" builtinId="8" hidden="1"/>
    <cellStyle name="Hyperlink" xfId="8646" builtinId="8" hidden="1"/>
    <cellStyle name="Hyperlink" xfId="8648" builtinId="8" hidden="1"/>
    <cellStyle name="Hyperlink" xfId="8650" builtinId="8" hidden="1"/>
    <cellStyle name="Hyperlink" xfId="8652" builtinId="8" hidden="1"/>
    <cellStyle name="Hyperlink" xfId="8654" builtinId="8" hidden="1"/>
    <cellStyle name="Hyperlink" xfId="8656" builtinId="8" hidden="1"/>
    <cellStyle name="Hyperlink" xfId="8658" builtinId="8" hidden="1"/>
    <cellStyle name="Hyperlink" xfId="8660" builtinId="8" hidden="1"/>
    <cellStyle name="Hyperlink" xfId="8662" builtinId="8" hidden="1"/>
    <cellStyle name="Hyperlink" xfId="8664" builtinId="8" hidden="1"/>
    <cellStyle name="Hyperlink" xfId="8666" builtinId="8" hidden="1"/>
    <cellStyle name="Hyperlink" xfId="8668" builtinId="8" hidden="1"/>
    <cellStyle name="Hyperlink" xfId="8670" builtinId="8" hidden="1"/>
    <cellStyle name="Hyperlink" xfId="8672" builtinId="8" hidden="1"/>
    <cellStyle name="Hyperlink" xfId="8674" builtinId="8" hidden="1"/>
    <cellStyle name="Hyperlink" xfId="8676" builtinId="8" hidden="1"/>
    <cellStyle name="Hyperlink" xfId="8678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692" builtinId="8" hidden="1"/>
    <cellStyle name="Hyperlink" xfId="8694" builtinId="8" hidden="1"/>
    <cellStyle name="Hyperlink" xfId="8696" builtinId="8" hidden="1"/>
    <cellStyle name="Hyperlink" xfId="8698" builtinId="8" hidden="1"/>
    <cellStyle name="Hyperlink" xfId="8700" builtinId="8" hidden="1"/>
    <cellStyle name="Hyperlink" xfId="8702" builtinId="8" hidden="1"/>
    <cellStyle name="Hyperlink" xfId="8704" builtinId="8" hidden="1"/>
    <cellStyle name="Hyperlink" xfId="8706" builtinId="8" hidden="1"/>
    <cellStyle name="Hyperlink" xfId="8708" builtinId="8" hidden="1"/>
    <cellStyle name="Hyperlink" xfId="8710" builtinId="8" hidden="1"/>
    <cellStyle name="Hyperlink" xfId="8712" builtinId="8" hidden="1"/>
    <cellStyle name="Hyperlink" xfId="8714" builtinId="8" hidden="1"/>
    <cellStyle name="Hyperlink" xfId="8716" builtinId="8" hidden="1"/>
    <cellStyle name="Hyperlink" xfId="8718" builtinId="8" hidden="1"/>
    <cellStyle name="Hyperlink" xfId="8720" builtinId="8" hidden="1"/>
    <cellStyle name="Hyperlink" xfId="8722" builtinId="8" hidden="1"/>
    <cellStyle name="Hyperlink" xfId="8724" builtinId="8" hidden="1"/>
    <cellStyle name="Hyperlink" xfId="8726" builtinId="8" hidden="1"/>
    <cellStyle name="Hyperlink" xfId="8728" builtinId="8" hidden="1"/>
    <cellStyle name="Hyperlink" xfId="8730" builtinId="8" hidden="1"/>
    <cellStyle name="Hyperlink" xfId="8732" builtinId="8" hidden="1"/>
    <cellStyle name="Hyperlink" xfId="8734" builtinId="8" hidden="1"/>
    <cellStyle name="Hyperlink" xfId="8736" builtinId="8" hidden="1"/>
    <cellStyle name="Hyperlink" xfId="8738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8844" builtinId="8" hidden="1"/>
    <cellStyle name="Hyperlink" xfId="8846" builtinId="8" hidden="1"/>
    <cellStyle name="Hyperlink" xfId="8848" builtinId="8" hidden="1"/>
    <cellStyle name="Hyperlink" xfId="8850" builtinId="8" hidden="1"/>
    <cellStyle name="Hyperlink" xfId="8852" builtinId="8" hidden="1"/>
    <cellStyle name="Hyperlink" xfId="8854" builtinId="8" hidden="1"/>
    <cellStyle name="Hyperlink" xfId="8856" builtinId="8" hidden="1"/>
    <cellStyle name="Hyperlink" xfId="8858" builtinId="8" hidden="1"/>
    <cellStyle name="Hyperlink" xfId="8860" builtinId="8" hidden="1"/>
    <cellStyle name="Hyperlink" xfId="8862" builtinId="8" hidden="1"/>
    <cellStyle name="Hyperlink" xfId="8864" builtinId="8" hidden="1"/>
    <cellStyle name="Hyperlink" xfId="8866" builtinId="8" hidden="1"/>
    <cellStyle name="Hyperlink" xfId="8868" builtinId="8" hidden="1"/>
    <cellStyle name="Hyperlink" xfId="8870" builtinId="8" hidden="1"/>
    <cellStyle name="Hyperlink" xfId="8872" builtinId="8" hidden="1"/>
    <cellStyle name="Hyperlink" xfId="8874" builtinId="8" hidden="1"/>
    <cellStyle name="Hyperlink" xfId="8876" builtinId="8" hidden="1"/>
    <cellStyle name="Hyperlink" xfId="8878" builtinId="8" hidden="1"/>
    <cellStyle name="Hyperlink" xfId="8880" builtinId="8" hidden="1"/>
    <cellStyle name="Hyperlink" xfId="8882" builtinId="8" hidden="1"/>
    <cellStyle name="Hyperlink" xfId="8884" builtinId="8" hidden="1"/>
    <cellStyle name="Hyperlink" xfId="8886" builtinId="8" hidden="1"/>
    <cellStyle name="Hyperlink" xfId="8888" builtinId="8" hidden="1"/>
    <cellStyle name="Hyperlink" xfId="8890" builtinId="8" hidden="1"/>
    <cellStyle name="Hyperlink" xfId="8892" builtinId="8" hidden="1"/>
    <cellStyle name="Hyperlink" xfId="8894" builtinId="8" hidden="1"/>
    <cellStyle name="Hyperlink" xfId="8896" builtinId="8" hidden="1"/>
    <cellStyle name="Hyperlink" xfId="8898" builtinId="8" hidden="1"/>
    <cellStyle name="Hyperlink" xfId="8900" builtinId="8" hidden="1"/>
    <cellStyle name="Hyperlink" xfId="8902" builtinId="8" hidden="1"/>
    <cellStyle name="Hyperlink" xfId="8904" builtinId="8" hidden="1"/>
    <cellStyle name="Hyperlink" xfId="8906" builtinId="8" hidden="1"/>
    <cellStyle name="Hyperlink" xfId="8908" builtinId="8" hidden="1"/>
    <cellStyle name="Hyperlink" xfId="8910" builtinId="8" hidden="1"/>
    <cellStyle name="Hyperlink" xfId="8912" builtinId="8" hidden="1"/>
    <cellStyle name="Hyperlink" xfId="8914" builtinId="8" hidden="1"/>
    <cellStyle name="Hyperlink" xfId="8916" builtinId="8" hidden="1"/>
    <cellStyle name="Hyperlink" xfId="8918" builtinId="8" hidden="1"/>
    <cellStyle name="Hyperlink" xfId="8920" builtinId="8" hidden="1"/>
    <cellStyle name="Hyperlink" xfId="8922" builtinId="8" hidden="1"/>
    <cellStyle name="Hyperlink" xfId="8924" builtinId="8" hidden="1"/>
    <cellStyle name="Hyperlink" xfId="8926" builtinId="8" hidden="1"/>
    <cellStyle name="Hyperlink" xfId="8928" builtinId="8" hidden="1"/>
    <cellStyle name="Hyperlink" xfId="8930" builtinId="8" hidden="1"/>
    <cellStyle name="Hyperlink" xfId="8932" builtinId="8" hidden="1"/>
    <cellStyle name="Hyperlink" xfId="8934" builtinId="8" hidden="1"/>
    <cellStyle name="Hyperlink" xfId="8936" builtinId="8" hidden="1"/>
    <cellStyle name="Hyperlink" xfId="8938" builtinId="8" hidden="1"/>
    <cellStyle name="Hyperlink" xfId="8940" builtinId="8" hidden="1"/>
    <cellStyle name="Hyperlink" xfId="8942" builtinId="8" hidden="1"/>
    <cellStyle name="Hyperlink" xfId="8944" builtinId="8" hidden="1"/>
    <cellStyle name="Hyperlink" xfId="8946" builtinId="8" hidden="1"/>
    <cellStyle name="Hyperlink" xfId="8948" builtinId="8" hidden="1"/>
    <cellStyle name="Hyperlink" xfId="8950" builtinId="8" hidden="1"/>
    <cellStyle name="Hyperlink" xfId="8952" builtinId="8" hidden="1"/>
    <cellStyle name="Hyperlink" xfId="8954" builtinId="8" hidden="1"/>
    <cellStyle name="Hyperlink" xfId="8956" builtinId="8" hidden="1"/>
    <cellStyle name="Hyperlink" xfId="8958" builtinId="8" hidden="1"/>
    <cellStyle name="Hyperlink" xfId="8960" builtinId="8" hidden="1"/>
    <cellStyle name="Hyperlink" xfId="8962" builtinId="8" hidden="1"/>
    <cellStyle name="Hyperlink" xfId="8964" builtinId="8" hidden="1"/>
    <cellStyle name="Hyperlink" xfId="8966" builtinId="8" hidden="1"/>
    <cellStyle name="Hyperlink" xfId="8968" builtinId="8" hidden="1"/>
    <cellStyle name="Hyperlink" xfId="8970" builtinId="8" hidden="1"/>
    <cellStyle name="Hyperlink" xfId="8972" builtinId="8" hidden="1"/>
    <cellStyle name="Hyperlink" xfId="8974" builtinId="8" hidden="1"/>
    <cellStyle name="Hyperlink" xfId="8976" builtinId="8" hidden="1"/>
    <cellStyle name="Hyperlink" xfId="8978" builtinId="8" hidden="1"/>
    <cellStyle name="Hyperlink" xfId="8980" builtinId="8" hidden="1"/>
    <cellStyle name="Hyperlink" xfId="8982" builtinId="8" hidden="1"/>
    <cellStyle name="Hyperlink" xfId="8984" builtinId="8" hidden="1"/>
    <cellStyle name="Hyperlink" xfId="8986" builtinId="8" hidden="1"/>
    <cellStyle name="Hyperlink" xfId="8988" builtinId="8" hidden="1"/>
    <cellStyle name="Hyperlink" xfId="8990" builtinId="8" hidden="1"/>
    <cellStyle name="Hyperlink" xfId="8992" builtinId="8" hidden="1"/>
    <cellStyle name="Hyperlink" xfId="8994" builtinId="8" hidden="1"/>
    <cellStyle name="Hyperlink" xfId="8996" builtinId="8" hidden="1"/>
    <cellStyle name="Hyperlink" xfId="8998" builtinId="8" hidden="1"/>
    <cellStyle name="Hyperlink" xfId="9000" builtinId="8" hidden="1"/>
    <cellStyle name="Hyperlink" xfId="9002" builtinId="8" hidden="1"/>
    <cellStyle name="Hyperlink" xfId="9004" builtinId="8" hidden="1"/>
    <cellStyle name="Hyperlink" xfId="9006" builtinId="8" hidden="1"/>
    <cellStyle name="Hyperlink" xfId="900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22" builtinId="8" hidden="1"/>
    <cellStyle name="Hyperlink" xfId="9024" builtinId="8" hidden="1"/>
    <cellStyle name="Hyperlink" xfId="9026" builtinId="8" hidden="1"/>
    <cellStyle name="Hyperlink" xfId="9028" builtinId="8" hidden="1"/>
    <cellStyle name="Hyperlink" xfId="9030" builtinId="8" hidden="1"/>
    <cellStyle name="Hyperlink" xfId="9032" builtinId="8" hidden="1"/>
    <cellStyle name="Hyperlink" xfId="9034" builtinId="8" hidden="1"/>
    <cellStyle name="Hyperlink" xfId="9036" builtinId="8" hidden="1"/>
    <cellStyle name="Hyperlink" xfId="9038" builtinId="8" hidden="1"/>
    <cellStyle name="Hyperlink" xfId="9040" builtinId="8" hidden="1"/>
    <cellStyle name="Hyperlink" xfId="9042" builtinId="8" hidden="1"/>
    <cellStyle name="Hyperlink" xfId="9044" builtinId="8" hidden="1"/>
    <cellStyle name="Hyperlink" xfId="9046" builtinId="8" hidden="1"/>
    <cellStyle name="Hyperlink" xfId="9048" builtinId="8" hidden="1"/>
    <cellStyle name="Hyperlink" xfId="9050" builtinId="8" hidden="1"/>
    <cellStyle name="Hyperlink" xfId="9052" builtinId="8" hidden="1"/>
    <cellStyle name="Hyperlink" xfId="9054" builtinId="8" hidden="1"/>
    <cellStyle name="Hyperlink" xfId="9056" builtinId="8" hidden="1"/>
    <cellStyle name="Hyperlink" xfId="9058" builtinId="8" hidden="1"/>
    <cellStyle name="Hyperlink" xfId="9060" builtinId="8" hidden="1"/>
    <cellStyle name="Hyperlink" xfId="9062" builtinId="8" hidden="1"/>
    <cellStyle name="Hyperlink" xfId="9064" builtinId="8" hidden="1"/>
    <cellStyle name="Hyperlink" xfId="9066" builtinId="8" hidden="1"/>
    <cellStyle name="Hyperlink" xfId="9068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9174" builtinId="8" hidden="1"/>
    <cellStyle name="Hyperlink" xfId="9176" builtinId="8" hidden="1"/>
    <cellStyle name="Hyperlink" xfId="9178" builtinId="8" hidden="1"/>
    <cellStyle name="Hyperlink" xfId="9180" builtinId="8" hidden="1"/>
    <cellStyle name="Hyperlink" xfId="9182" builtinId="8" hidden="1"/>
    <cellStyle name="Hyperlink" xfId="9184" builtinId="8" hidden="1"/>
    <cellStyle name="Hyperlink" xfId="9186" builtinId="8" hidden="1"/>
    <cellStyle name="Hyperlink" xfId="9188" builtinId="8" hidden="1"/>
    <cellStyle name="Hyperlink" xfId="9190" builtinId="8" hidden="1"/>
    <cellStyle name="Hyperlink" xfId="9192" builtinId="8" hidden="1"/>
    <cellStyle name="Hyperlink" xfId="9194" builtinId="8" hidden="1"/>
    <cellStyle name="Hyperlink" xfId="9196" builtinId="8" hidden="1"/>
    <cellStyle name="Hyperlink" xfId="9198" builtinId="8" hidden="1"/>
    <cellStyle name="Hyperlink" xfId="9200" builtinId="8" hidden="1"/>
    <cellStyle name="Hyperlink" xfId="9202" builtinId="8" hidden="1"/>
    <cellStyle name="Hyperlink" xfId="9204" builtinId="8" hidden="1"/>
    <cellStyle name="Hyperlink" xfId="9206" builtinId="8" hidden="1"/>
    <cellStyle name="Hyperlink" xfId="9208" builtinId="8" hidden="1"/>
    <cellStyle name="Hyperlink" xfId="9210" builtinId="8" hidden="1"/>
    <cellStyle name="Hyperlink" xfId="9212" builtinId="8" hidden="1"/>
    <cellStyle name="Hyperlink" xfId="9214" builtinId="8" hidden="1"/>
    <cellStyle name="Hyperlink" xfId="9216" builtinId="8" hidden="1"/>
    <cellStyle name="Hyperlink" xfId="9218" builtinId="8" hidden="1"/>
    <cellStyle name="Hyperlink" xfId="9220" builtinId="8" hidden="1"/>
    <cellStyle name="Hyperlink" xfId="9222" builtinId="8" hidden="1"/>
    <cellStyle name="Hyperlink" xfId="9224" builtinId="8" hidden="1"/>
    <cellStyle name="Hyperlink" xfId="9226" builtinId="8" hidden="1"/>
    <cellStyle name="Hyperlink" xfId="9228" builtinId="8" hidden="1"/>
    <cellStyle name="Hyperlink" xfId="9230" builtinId="8" hidden="1"/>
    <cellStyle name="Hyperlink" xfId="9232" builtinId="8" hidden="1"/>
    <cellStyle name="Hyperlink" xfId="9234" builtinId="8" hidden="1"/>
    <cellStyle name="Hyperlink" xfId="9236" builtinId="8" hidden="1"/>
    <cellStyle name="Hyperlink" xfId="9238" builtinId="8" hidden="1"/>
    <cellStyle name="Hyperlink" xfId="9240" builtinId="8" hidden="1"/>
    <cellStyle name="Hyperlink" xfId="9242" builtinId="8" hidden="1"/>
    <cellStyle name="Hyperlink" xfId="9244" builtinId="8" hidden="1"/>
    <cellStyle name="Hyperlink" xfId="9246" builtinId="8" hidden="1"/>
    <cellStyle name="Hyperlink" xfId="9248" builtinId="8" hidden="1"/>
    <cellStyle name="Hyperlink" xfId="9250" builtinId="8" hidden="1"/>
    <cellStyle name="Hyperlink" xfId="9252" builtinId="8" hidden="1"/>
    <cellStyle name="Hyperlink" xfId="9254" builtinId="8" hidden="1"/>
    <cellStyle name="Hyperlink" xfId="9256" builtinId="8" hidden="1"/>
    <cellStyle name="Hyperlink" xfId="9258" builtinId="8" hidden="1"/>
    <cellStyle name="Hyperlink" xfId="9260" builtinId="8" hidden="1"/>
    <cellStyle name="Hyperlink" xfId="9262" builtinId="8" hidden="1"/>
    <cellStyle name="Hyperlink" xfId="9264" builtinId="8" hidden="1"/>
    <cellStyle name="Hyperlink" xfId="9266" builtinId="8" hidden="1"/>
    <cellStyle name="Hyperlink" xfId="9268" builtinId="8" hidden="1"/>
    <cellStyle name="Hyperlink" xfId="9270" builtinId="8" hidden="1"/>
    <cellStyle name="Hyperlink" xfId="9272" builtinId="8" hidden="1"/>
    <cellStyle name="Hyperlink" xfId="9274" builtinId="8" hidden="1"/>
    <cellStyle name="Hyperlink" xfId="9276" builtinId="8" hidden="1"/>
    <cellStyle name="Hyperlink" xfId="9278" builtinId="8" hidden="1"/>
    <cellStyle name="Hyperlink" xfId="9280" builtinId="8" hidden="1"/>
    <cellStyle name="Hyperlink" xfId="9282" builtinId="8" hidden="1"/>
    <cellStyle name="Hyperlink" xfId="9284" builtinId="8" hidden="1"/>
    <cellStyle name="Hyperlink" xfId="9286" builtinId="8" hidden="1"/>
    <cellStyle name="Hyperlink" xfId="9288" builtinId="8" hidden="1"/>
    <cellStyle name="Hyperlink" xfId="9290" builtinId="8" hidden="1"/>
    <cellStyle name="Hyperlink" xfId="9292" builtinId="8" hidden="1"/>
    <cellStyle name="Hyperlink" xfId="9294" builtinId="8" hidden="1"/>
    <cellStyle name="Hyperlink" xfId="9296" builtinId="8" hidden="1"/>
    <cellStyle name="Hyperlink" xfId="9298" builtinId="8" hidden="1"/>
    <cellStyle name="Hyperlink" xfId="9300" builtinId="8" hidden="1"/>
    <cellStyle name="Hyperlink" xfId="9302" builtinId="8" hidden="1"/>
    <cellStyle name="Hyperlink" xfId="9304" builtinId="8" hidden="1"/>
    <cellStyle name="Hyperlink" xfId="9306" builtinId="8" hidden="1"/>
    <cellStyle name="Hyperlink" xfId="9308" builtinId="8" hidden="1"/>
    <cellStyle name="Hyperlink" xfId="9310" builtinId="8" hidden="1"/>
    <cellStyle name="Hyperlink" xfId="9312" builtinId="8" hidden="1"/>
    <cellStyle name="Hyperlink" xfId="9314" builtinId="8" hidden="1"/>
    <cellStyle name="Hyperlink" xfId="9316" builtinId="8" hidden="1"/>
    <cellStyle name="Hyperlink" xfId="9318" builtinId="8" hidden="1"/>
    <cellStyle name="Hyperlink" xfId="9320" builtinId="8" hidden="1"/>
    <cellStyle name="Hyperlink" xfId="9322" builtinId="8" hidden="1"/>
    <cellStyle name="Hyperlink" xfId="9324" builtinId="8" hidden="1"/>
    <cellStyle name="Hyperlink" xfId="9326" builtinId="8" hidden="1"/>
    <cellStyle name="Hyperlink" xfId="9328" builtinId="8" hidden="1"/>
    <cellStyle name="Hyperlink" xfId="9330" builtinId="8" hidden="1"/>
    <cellStyle name="Hyperlink" xfId="9332" builtinId="8" hidden="1"/>
    <cellStyle name="Hyperlink" xfId="9334" builtinId="8" hidden="1"/>
    <cellStyle name="Hyperlink" xfId="9336" builtinId="8" hidden="1"/>
    <cellStyle name="Hyperlink" xfId="9338" builtinId="8" hidden="1"/>
    <cellStyle name="Hyperlink" xfId="9340" builtinId="8" hidden="1"/>
    <cellStyle name="Hyperlink" xfId="9342" builtinId="8" hidden="1"/>
    <cellStyle name="Hyperlink" xfId="9344" builtinId="8" hidden="1"/>
    <cellStyle name="Hyperlink" xfId="9346" builtinId="8" hidden="1"/>
    <cellStyle name="Hyperlink" xfId="9348" builtinId="8" hidden="1"/>
    <cellStyle name="Hyperlink" xfId="9350" builtinId="8" hidden="1"/>
    <cellStyle name="Hyperlink" xfId="9352" builtinId="8" hidden="1"/>
    <cellStyle name="Hyperlink" xfId="9354" builtinId="8" hidden="1"/>
    <cellStyle name="Hyperlink" xfId="9356" builtinId="8" hidden="1"/>
    <cellStyle name="Hyperlink" xfId="9358" builtinId="8" hidden="1"/>
    <cellStyle name="Hyperlink" xfId="9360" builtinId="8" hidden="1"/>
    <cellStyle name="Hyperlink" xfId="9362" builtinId="8" hidden="1"/>
    <cellStyle name="Hyperlink" xfId="9364" builtinId="8" hidden="1"/>
    <cellStyle name="Hyperlink" xfId="9366" builtinId="8" hidden="1"/>
    <cellStyle name="Hyperlink" xfId="9368" builtinId="8" hidden="1"/>
    <cellStyle name="Hyperlink" xfId="9370" builtinId="8" hidden="1"/>
    <cellStyle name="Hyperlink" xfId="9372" builtinId="8" hidden="1"/>
    <cellStyle name="Hyperlink" xfId="9374" builtinId="8" hidden="1"/>
    <cellStyle name="Hyperlink" xfId="9376" builtinId="8" hidden="1"/>
    <cellStyle name="Hyperlink" xfId="9378" builtinId="8" hidden="1"/>
    <cellStyle name="Hyperlink" xfId="9380" builtinId="8" hidden="1"/>
    <cellStyle name="Hyperlink" xfId="9382" builtinId="8" hidden="1"/>
    <cellStyle name="Hyperlink" xfId="9384" builtinId="8" hidden="1"/>
    <cellStyle name="Hyperlink" xfId="9386" builtinId="8" hidden="1"/>
    <cellStyle name="Hyperlink" xfId="9388" builtinId="8" hidden="1"/>
    <cellStyle name="Hyperlink" xfId="9390" builtinId="8" hidden="1"/>
    <cellStyle name="Hyperlink" xfId="9392" builtinId="8" hidden="1"/>
    <cellStyle name="Hyperlink" xfId="9394" builtinId="8" hidden="1"/>
    <cellStyle name="Hyperlink" xfId="9396" builtinId="8" hidden="1"/>
    <cellStyle name="Hyperlink" xfId="9398" builtinId="8" hidden="1"/>
    <cellStyle name="Hyperlink" xfId="9400" builtinId="8" hidden="1"/>
    <cellStyle name="Hyperlink" xfId="9402" builtinId="8" hidden="1"/>
    <cellStyle name="Hyperlink" xfId="9404" builtinId="8" hidden="1"/>
    <cellStyle name="Hyperlink" xfId="9406" builtinId="8" hidden="1"/>
    <cellStyle name="Hyperlink" xfId="9408" builtinId="8" hidden="1"/>
    <cellStyle name="Hyperlink" xfId="9410" builtinId="8" hidden="1"/>
    <cellStyle name="Hyperlink" xfId="9412" builtinId="8" hidden="1"/>
    <cellStyle name="Hyperlink" xfId="9414" builtinId="8" hidden="1"/>
    <cellStyle name="Hyperlink" xfId="9416" builtinId="8" hidden="1"/>
    <cellStyle name="Hyperlink" xfId="9418" builtinId="8" hidden="1"/>
    <cellStyle name="Hyperlink" xfId="9420" builtinId="8" hidden="1"/>
    <cellStyle name="Hyperlink" xfId="9422" builtinId="8" hidden="1"/>
    <cellStyle name="Hyperlink" xfId="9424" builtinId="8" hidden="1"/>
    <cellStyle name="Hyperlink" xfId="9426" builtinId="8" hidden="1"/>
    <cellStyle name="Hyperlink" xfId="9428" builtinId="8" hidden="1"/>
    <cellStyle name="Hyperlink" xfId="9430" builtinId="8" hidden="1"/>
    <cellStyle name="Hyperlink" xfId="9432" builtinId="8" hidden="1"/>
    <cellStyle name="Hyperlink" xfId="9434" builtinId="8" hidden="1"/>
    <cellStyle name="Hyperlink" xfId="9436" builtinId="8" hidden="1"/>
    <cellStyle name="Hyperlink" xfId="9438" builtinId="8" hidden="1"/>
    <cellStyle name="Hyperlink" xfId="9440" builtinId="8" hidden="1"/>
    <cellStyle name="Hyperlink" xfId="9442" builtinId="8" hidden="1"/>
    <cellStyle name="Hyperlink" xfId="9444" builtinId="8" hidden="1"/>
    <cellStyle name="Hyperlink" xfId="9446" builtinId="8" hidden="1"/>
    <cellStyle name="Hyperlink" xfId="9448" builtinId="8" hidden="1"/>
    <cellStyle name="Hyperlink" xfId="9450" builtinId="8" hidden="1"/>
    <cellStyle name="Hyperlink" xfId="9452" builtinId="8" hidden="1"/>
    <cellStyle name="Hyperlink" xfId="9454" builtinId="8" hidden="1"/>
    <cellStyle name="Hyperlink" xfId="9456" builtinId="8" hidden="1"/>
    <cellStyle name="Hyperlink" xfId="9458" builtinId="8" hidden="1"/>
    <cellStyle name="Hyperlink" xfId="9460" builtinId="8" hidden="1"/>
    <cellStyle name="Hyperlink" xfId="9462" builtinId="8" hidden="1"/>
    <cellStyle name="Hyperlink" xfId="9464" builtinId="8" hidden="1"/>
    <cellStyle name="Hyperlink" xfId="9466" builtinId="8" hidden="1"/>
    <cellStyle name="Hyperlink" xfId="9468" builtinId="8" hidden="1"/>
    <cellStyle name="Hyperlink" xfId="9470" builtinId="8" hidden="1"/>
    <cellStyle name="Hyperlink" xfId="9472" builtinId="8" hidden="1"/>
    <cellStyle name="Hyperlink" xfId="9474" builtinId="8" hidden="1"/>
    <cellStyle name="Hyperlink" xfId="9476" builtinId="8" hidden="1"/>
    <cellStyle name="Hyperlink" xfId="9478" builtinId="8" hidden="1"/>
    <cellStyle name="Hyperlink" xfId="9480" builtinId="8" hidden="1"/>
    <cellStyle name="Hyperlink" xfId="9482" builtinId="8" hidden="1"/>
    <cellStyle name="Hyperlink" xfId="9484" builtinId="8" hidden="1"/>
    <cellStyle name="Hyperlink" xfId="9486" builtinId="8" hidden="1"/>
    <cellStyle name="Hyperlink" xfId="9488" builtinId="8" hidden="1"/>
    <cellStyle name="Hyperlink" xfId="9490" builtinId="8" hidden="1"/>
    <cellStyle name="Hyperlink" xfId="9492" builtinId="8" hidden="1"/>
    <cellStyle name="Hyperlink" xfId="9494" builtinId="8" hidden="1"/>
    <cellStyle name="Hyperlink" xfId="9496" builtinId="8" hidden="1"/>
    <cellStyle name="Hyperlink" xfId="9498" builtinId="8" hidden="1"/>
    <cellStyle name="Hyperlink" xfId="9500" builtinId="8" hidden="1"/>
    <cellStyle name="Hyperlink" xfId="9502" builtinId="8" hidden="1"/>
    <cellStyle name="Hyperlink" xfId="9504" builtinId="8" hidden="1"/>
    <cellStyle name="Hyperlink" xfId="9506" builtinId="8" hidden="1"/>
    <cellStyle name="Hyperlink" xfId="9508" builtinId="8" hidden="1"/>
    <cellStyle name="Hyperlink" xfId="9510" builtinId="8" hidden="1"/>
    <cellStyle name="Hyperlink" xfId="9512" builtinId="8" hidden="1"/>
    <cellStyle name="Hyperlink" xfId="9514" builtinId="8" hidden="1"/>
    <cellStyle name="Hyperlink" xfId="9516" builtinId="8" hidden="1"/>
    <cellStyle name="Hyperlink" xfId="9518" builtinId="8" hidden="1"/>
    <cellStyle name="Hyperlink" xfId="9520" builtinId="8" hidden="1"/>
    <cellStyle name="Hyperlink" xfId="9522" builtinId="8" hidden="1"/>
    <cellStyle name="Hyperlink" xfId="9524" builtinId="8" hidden="1"/>
    <cellStyle name="Hyperlink" xfId="9526" builtinId="8" hidden="1"/>
    <cellStyle name="Hyperlink" xfId="9528" builtinId="8" hidden="1"/>
    <cellStyle name="Hyperlink" xfId="9530" builtinId="8" hidden="1"/>
    <cellStyle name="Hyperlink" xfId="9532" builtinId="8" hidden="1"/>
    <cellStyle name="Hyperlink" xfId="9534" builtinId="8" hidden="1"/>
    <cellStyle name="Hyperlink" xfId="9536" builtinId="8" hidden="1"/>
    <cellStyle name="Hyperlink" xfId="9538" builtinId="8" hidden="1"/>
    <cellStyle name="Hyperlink" xfId="9540" builtinId="8" hidden="1"/>
    <cellStyle name="Hyperlink" xfId="9542" builtinId="8" hidden="1"/>
    <cellStyle name="Hyperlink" xfId="9544" builtinId="8" hidden="1"/>
    <cellStyle name="Hyperlink" xfId="9546" builtinId="8" hidden="1"/>
    <cellStyle name="Hyperlink" xfId="9548" builtinId="8" hidden="1"/>
    <cellStyle name="Hyperlink" xfId="9550" builtinId="8" hidden="1"/>
    <cellStyle name="Hyperlink" xfId="9552" builtinId="8" hidden="1"/>
    <cellStyle name="Hyperlink" xfId="9554" builtinId="8" hidden="1"/>
    <cellStyle name="Hyperlink" xfId="9556" builtinId="8" hidden="1"/>
    <cellStyle name="Hyperlink" xfId="9558" builtinId="8" hidden="1"/>
    <cellStyle name="Hyperlink" xfId="9560" builtinId="8" hidden="1"/>
    <cellStyle name="Hyperlink" xfId="9562" builtinId="8" hidden="1"/>
    <cellStyle name="Hyperlink" xfId="9564" builtinId="8" hidden="1"/>
    <cellStyle name="Hyperlink" xfId="9566" builtinId="8" hidden="1"/>
    <cellStyle name="Hyperlink" xfId="9568" builtinId="8" hidden="1"/>
    <cellStyle name="Hyperlink" xfId="9570" builtinId="8" hidden="1"/>
    <cellStyle name="Hyperlink" xfId="9572" builtinId="8" hidden="1"/>
    <cellStyle name="Hyperlink" xfId="9574" builtinId="8" hidden="1"/>
    <cellStyle name="Hyperlink" xfId="9576" builtinId="8" hidden="1"/>
    <cellStyle name="Hyperlink" xfId="9578" builtinId="8" hidden="1"/>
    <cellStyle name="Hyperlink" xfId="9580" builtinId="8" hidden="1"/>
    <cellStyle name="Hyperlink" xfId="9582" builtinId="8" hidden="1"/>
    <cellStyle name="Hyperlink" xfId="9584" builtinId="8" hidden="1"/>
    <cellStyle name="Hyperlink" xfId="9586" builtinId="8" hidden="1"/>
    <cellStyle name="Hyperlink" xfId="9588" builtinId="8" hidden="1"/>
    <cellStyle name="Hyperlink" xfId="9590" builtinId="8" hidden="1"/>
    <cellStyle name="Hyperlink" xfId="9592" builtinId="8" hidden="1"/>
    <cellStyle name="Hyperlink" xfId="9594" builtinId="8" hidden="1"/>
    <cellStyle name="Hyperlink" xfId="9596" builtinId="8" hidden="1"/>
    <cellStyle name="Hyperlink" xfId="9598" builtinId="8" hidden="1"/>
    <cellStyle name="Hyperlink" xfId="9600" builtinId="8" hidden="1"/>
    <cellStyle name="Hyperlink" xfId="9602" builtinId="8" hidden="1"/>
    <cellStyle name="Hyperlink" xfId="9604" builtinId="8" hidden="1"/>
    <cellStyle name="Hyperlink" xfId="9606" builtinId="8" hidden="1"/>
    <cellStyle name="Hyperlink" xfId="9608" builtinId="8" hidden="1"/>
    <cellStyle name="Hyperlink" xfId="9610" builtinId="8" hidden="1"/>
    <cellStyle name="Hyperlink" xfId="9612" builtinId="8" hidden="1"/>
    <cellStyle name="Hyperlink" xfId="9614" builtinId="8" hidden="1"/>
    <cellStyle name="Hyperlink" xfId="9616" builtinId="8" hidden="1"/>
    <cellStyle name="Hyperlink" xfId="9618" builtinId="8" hidden="1"/>
    <cellStyle name="Hyperlink" xfId="9620" builtinId="8" hidden="1"/>
    <cellStyle name="Hyperlink" xfId="9622" builtinId="8" hidden="1"/>
    <cellStyle name="Hyperlink" xfId="9624" builtinId="8" hidden="1"/>
    <cellStyle name="Hyperlink" xfId="9626" builtinId="8" hidden="1"/>
    <cellStyle name="Hyperlink" xfId="9628" builtinId="8" hidden="1"/>
    <cellStyle name="Hyperlink" xfId="9630" builtinId="8" hidden="1"/>
    <cellStyle name="Hyperlink" xfId="9632" builtinId="8" hidden="1"/>
    <cellStyle name="Hyperlink" xfId="9634" builtinId="8" hidden="1"/>
    <cellStyle name="Hyperlink" xfId="9636" builtinId="8" hidden="1"/>
    <cellStyle name="Hyperlink" xfId="9638" builtinId="8" hidden="1"/>
    <cellStyle name="Hyperlink" xfId="9640" builtinId="8" hidden="1"/>
    <cellStyle name="Hyperlink" xfId="9642" builtinId="8" hidden="1"/>
    <cellStyle name="Hyperlink" xfId="9644" builtinId="8" hidden="1"/>
    <cellStyle name="Hyperlink" xfId="9646" builtinId="8" hidden="1"/>
    <cellStyle name="Hyperlink" xfId="9648" builtinId="8" hidden="1"/>
    <cellStyle name="Hyperlink" xfId="9650" builtinId="8" hidden="1"/>
    <cellStyle name="Hyperlink" xfId="9652" builtinId="8" hidden="1"/>
    <cellStyle name="Hyperlink" xfId="9654" builtinId="8" hidden="1"/>
    <cellStyle name="Hyperlink" xfId="9656" builtinId="8" hidden="1"/>
    <cellStyle name="Hyperlink" xfId="9658" builtinId="8" hidden="1"/>
    <cellStyle name="Hyperlink" xfId="9660" builtinId="8" hidden="1"/>
    <cellStyle name="Hyperlink" xfId="9662" builtinId="8" hidden="1"/>
    <cellStyle name="Hyperlink" xfId="9664" builtinId="8" hidden="1"/>
    <cellStyle name="Hyperlink" xfId="9666" builtinId="8" hidden="1"/>
    <cellStyle name="Hyperlink" xfId="9668" builtinId="8" hidden="1"/>
    <cellStyle name="Hyperlink" xfId="9670" builtinId="8" hidden="1"/>
    <cellStyle name="Hyperlink" xfId="9672" builtinId="8" hidden="1"/>
    <cellStyle name="Hyperlink" xfId="9674" builtinId="8" hidden="1"/>
    <cellStyle name="Hyperlink" xfId="9676" builtinId="8" hidden="1"/>
    <cellStyle name="Hyperlink" xfId="9678" builtinId="8" hidden="1"/>
    <cellStyle name="Hyperlink" xfId="9680" builtinId="8" hidden="1"/>
    <cellStyle name="Hyperlink" xfId="9682" builtinId="8" hidden="1"/>
    <cellStyle name="Hyperlink" xfId="9684" builtinId="8" hidden="1"/>
    <cellStyle name="Hyperlink" xfId="9686" builtinId="8" hidden="1"/>
    <cellStyle name="Hyperlink" xfId="9688" builtinId="8" hidden="1"/>
    <cellStyle name="Hyperlink" xfId="9690" builtinId="8" hidden="1"/>
    <cellStyle name="Hyperlink" xfId="9692" builtinId="8" hidden="1"/>
    <cellStyle name="Hyperlink" xfId="9694" builtinId="8" hidden="1"/>
    <cellStyle name="Hyperlink" xfId="9696" builtinId="8" hidden="1"/>
    <cellStyle name="Hyperlink" xfId="9698" builtinId="8" hidden="1"/>
    <cellStyle name="Hyperlink" xfId="9700" builtinId="8" hidden="1"/>
    <cellStyle name="Hyperlink" xfId="9702" builtinId="8" hidden="1"/>
    <cellStyle name="Hyperlink" xfId="9704" builtinId="8" hidden="1"/>
    <cellStyle name="Hyperlink" xfId="9706" builtinId="8" hidden="1"/>
    <cellStyle name="Hyperlink" xfId="9708" builtinId="8" hidden="1"/>
    <cellStyle name="Hyperlink" xfId="9710" builtinId="8" hidden="1"/>
    <cellStyle name="Hyperlink" xfId="9712" builtinId="8" hidden="1"/>
    <cellStyle name="Hyperlink" xfId="9714" builtinId="8" hidden="1"/>
    <cellStyle name="Hyperlink" xfId="9716" builtinId="8" hidden="1"/>
    <cellStyle name="Hyperlink" xfId="9718" builtinId="8" hidden="1"/>
    <cellStyle name="Hyperlink" xfId="9720" builtinId="8" hidden="1"/>
    <cellStyle name="Hyperlink" xfId="9722" builtinId="8" hidden="1"/>
    <cellStyle name="Hyperlink" xfId="9724" builtinId="8" hidden="1"/>
    <cellStyle name="Hyperlink" xfId="9726" builtinId="8" hidden="1"/>
    <cellStyle name="Hyperlink" xfId="9728" builtinId="8" hidden="1"/>
    <cellStyle name="Hyperlink" xfId="9730" builtinId="8" hidden="1"/>
    <cellStyle name="Hyperlink" xfId="9732" builtinId="8" hidden="1"/>
    <cellStyle name="Hyperlink" xfId="9734" builtinId="8" hidden="1"/>
    <cellStyle name="Hyperlink" xfId="9736" builtinId="8" hidden="1"/>
    <cellStyle name="Hyperlink" xfId="9738" builtinId="8" hidden="1"/>
    <cellStyle name="Hyperlink" xfId="9740" builtinId="8" hidden="1"/>
    <cellStyle name="Hyperlink" xfId="9742" builtinId="8" hidden="1"/>
    <cellStyle name="Hyperlink" xfId="9744" builtinId="8" hidden="1"/>
    <cellStyle name="Hyperlink" xfId="9746" builtinId="8" hidden="1"/>
    <cellStyle name="Hyperlink" xfId="9748" builtinId="8" hidden="1"/>
    <cellStyle name="Hyperlink" xfId="9750" builtinId="8" hidden="1"/>
    <cellStyle name="Hyperlink" xfId="9752" builtinId="8" hidden="1"/>
    <cellStyle name="Hyperlink" xfId="9754" builtinId="8" hidden="1"/>
    <cellStyle name="Hyperlink" xfId="9756" builtinId="8" hidden="1"/>
    <cellStyle name="Hyperlink" xfId="9758" builtinId="8" hidden="1"/>
    <cellStyle name="Hyperlink" xfId="9760" builtinId="8" hidden="1"/>
    <cellStyle name="Hyperlink" xfId="9762" builtinId="8" hidden="1"/>
    <cellStyle name="Hyperlink" xfId="9764" builtinId="8" hidden="1"/>
    <cellStyle name="Hyperlink" xfId="9766" builtinId="8" hidden="1"/>
    <cellStyle name="Hyperlink" xfId="9768" builtinId="8" hidden="1"/>
    <cellStyle name="Hyperlink" xfId="9770" builtinId="8" hidden="1"/>
    <cellStyle name="Hyperlink" xfId="9772" builtinId="8" hidden="1"/>
    <cellStyle name="Hyperlink" xfId="9774" builtinId="8" hidden="1"/>
    <cellStyle name="Hyperlink" xfId="9776" builtinId="8" hidden="1"/>
    <cellStyle name="Hyperlink" xfId="9778" builtinId="8" hidden="1"/>
    <cellStyle name="Hyperlink" xfId="9780" builtinId="8" hidden="1"/>
    <cellStyle name="Hyperlink" xfId="9782" builtinId="8" hidden="1"/>
    <cellStyle name="Hyperlink" xfId="9784" builtinId="8" hidden="1"/>
    <cellStyle name="Hyperlink" xfId="9786" builtinId="8" hidden="1"/>
    <cellStyle name="Hyperlink" xfId="9788" builtinId="8" hidden="1"/>
    <cellStyle name="Hyperlink" xfId="9790" builtinId="8" hidden="1"/>
    <cellStyle name="Hyperlink" xfId="9792" builtinId="8" hidden="1"/>
    <cellStyle name="Hyperlink" xfId="9794" builtinId="8" hidden="1"/>
    <cellStyle name="Hyperlink" xfId="9796" builtinId="8" hidden="1"/>
    <cellStyle name="Hyperlink" xfId="9798" builtinId="8" hidden="1"/>
    <cellStyle name="Hyperlink" xfId="9800" builtinId="8" hidden="1"/>
    <cellStyle name="Hyperlink" xfId="9802" builtinId="8" hidden="1"/>
    <cellStyle name="Hyperlink" xfId="9804" builtinId="8" hidden="1"/>
    <cellStyle name="Hyperlink" xfId="9806" builtinId="8" hidden="1"/>
    <cellStyle name="Hyperlink" xfId="9808" builtinId="8" hidden="1"/>
    <cellStyle name="Hyperlink" xfId="9810" builtinId="8" hidden="1"/>
    <cellStyle name="Hyperlink" xfId="9812" builtinId="8" hidden="1"/>
    <cellStyle name="Hyperlink" xfId="9814" builtinId="8" hidden="1"/>
    <cellStyle name="Hyperlink" xfId="9816" builtinId="8" hidden="1"/>
    <cellStyle name="Hyperlink" xfId="9818" builtinId="8" hidden="1"/>
    <cellStyle name="Hyperlink" xfId="9820" builtinId="8" hidden="1"/>
    <cellStyle name="Hyperlink" xfId="9822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36" builtinId="8" hidden="1"/>
    <cellStyle name="Hyperlink" xfId="9838" builtinId="8" hidden="1"/>
    <cellStyle name="Hyperlink" xfId="9840" builtinId="8" hidden="1"/>
    <cellStyle name="Hyperlink" xfId="9842" builtinId="8" hidden="1"/>
    <cellStyle name="Hyperlink" xfId="9844" builtinId="8" hidden="1"/>
    <cellStyle name="Hyperlink" xfId="9846" builtinId="8" hidden="1"/>
    <cellStyle name="Hyperlink" xfId="9848" builtinId="8" hidden="1"/>
    <cellStyle name="Hyperlink" xfId="9850" builtinId="8" hidden="1"/>
    <cellStyle name="Hyperlink" xfId="9852" builtinId="8" hidden="1"/>
    <cellStyle name="Hyperlink" xfId="9854" builtinId="8" hidden="1"/>
    <cellStyle name="Hyperlink" xfId="9856" builtinId="8" hidden="1"/>
    <cellStyle name="Hyperlink" xfId="9858" builtinId="8" hidden="1"/>
    <cellStyle name="Hyperlink" xfId="9860" builtinId="8" hidden="1"/>
    <cellStyle name="Hyperlink" xfId="9862" builtinId="8" hidden="1"/>
    <cellStyle name="Hyperlink" xfId="9864" builtinId="8" hidden="1"/>
    <cellStyle name="Hyperlink" xfId="9866" builtinId="8" hidden="1"/>
    <cellStyle name="Hyperlink" xfId="9868" builtinId="8" hidden="1"/>
    <cellStyle name="Hyperlink" xfId="9870" builtinId="8" hidden="1"/>
    <cellStyle name="Hyperlink" xfId="9872" builtinId="8" hidden="1"/>
    <cellStyle name="Hyperlink" xfId="9874" builtinId="8" hidden="1"/>
    <cellStyle name="Hyperlink" xfId="9876" builtinId="8" hidden="1"/>
    <cellStyle name="Hyperlink" xfId="9878" builtinId="8" hidden="1"/>
    <cellStyle name="Hyperlink" xfId="9880" builtinId="8" hidden="1"/>
    <cellStyle name="Hyperlink" xfId="9882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988" builtinId="8" hidden="1"/>
    <cellStyle name="Hyperlink" xfId="9990" builtinId="8" hidden="1"/>
    <cellStyle name="Hyperlink" xfId="9992" builtinId="8" hidden="1"/>
    <cellStyle name="Hyperlink" xfId="9994" builtinId="8" hidden="1"/>
    <cellStyle name="Hyperlink" xfId="9996" builtinId="8" hidden="1"/>
    <cellStyle name="Hyperlink" xfId="9998" builtinId="8" hidden="1"/>
    <cellStyle name="Hyperlink" xfId="10000" builtinId="8" hidden="1"/>
    <cellStyle name="Hyperlink" xfId="10002" builtinId="8" hidden="1"/>
    <cellStyle name="Hyperlink" xfId="10004" builtinId="8" hidden="1"/>
    <cellStyle name="Hyperlink" xfId="10006" builtinId="8" hidden="1"/>
    <cellStyle name="Hyperlink" xfId="10008" builtinId="8" hidden="1"/>
    <cellStyle name="Hyperlink" xfId="10010" builtinId="8" hidden="1"/>
    <cellStyle name="Hyperlink" xfId="10012" builtinId="8" hidden="1"/>
    <cellStyle name="Hyperlink" xfId="10014" builtinId="8" hidden="1"/>
    <cellStyle name="Hyperlink" xfId="10016" builtinId="8" hidden="1"/>
    <cellStyle name="Hyperlink" xfId="10018" builtinId="8" hidden="1"/>
    <cellStyle name="Hyperlink" xfId="10020" builtinId="8" hidden="1"/>
    <cellStyle name="Hyperlink" xfId="10022" builtinId="8" hidden="1"/>
    <cellStyle name="Hyperlink" xfId="10024" builtinId="8" hidden="1"/>
    <cellStyle name="Hyperlink" xfId="10026" builtinId="8" hidden="1"/>
    <cellStyle name="Hyperlink" xfId="10028" builtinId="8" hidden="1"/>
    <cellStyle name="Hyperlink" xfId="10030" builtinId="8" hidden="1"/>
    <cellStyle name="Hyperlink" xfId="10032" builtinId="8" hidden="1"/>
    <cellStyle name="Hyperlink" xfId="10034" builtinId="8" hidden="1"/>
    <cellStyle name="Hyperlink" xfId="10036" builtinId="8" hidden="1"/>
    <cellStyle name="Hyperlink" xfId="10038" builtinId="8" hidden="1"/>
    <cellStyle name="Hyperlink" xfId="10040" builtinId="8" hidden="1"/>
    <cellStyle name="Hyperlink" xfId="10042" builtinId="8" hidden="1"/>
    <cellStyle name="Hyperlink" xfId="10044" builtinId="8" hidden="1"/>
    <cellStyle name="Hyperlink" xfId="10046" builtinId="8" hidden="1"/>
    <cellStyle name="Hyperlink" xfId="10048" builtinId="8" hidden="1"/>
    <cellStyle name="Hyperlink" xfId="10050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10156" builtinId="8" hidden="1"/>
    <cellStyle name="Hyperlink" xfId="10158" builtinId="8" hidden="1"/>
    <cellStyle name="Hyperlink" xfId="10160" builtinId="8" hidden="1"/>
    <cellStyle name="Hyperlink" xfId="10162" builtinId="8" hidden="1"/>
    <cellStyle name="Hyperlink" xfId="10164" builtinId="8" hidden="1"/>
    <cellStyle name="Hyperlink" xfId="10166" builtinId="8" hidden="1"/>
    <cellStyle name="Hyperlink" xfId="10168" builtinId="8" hidden="1"/>
    <cellStyle name="Hyperlink" xfId="10170" builtinId="8" hidden="1"/>
    <cellStyle name="Hyperlink" xfId="10172" builtinId="8" hidden="1"/>
    <cellStyle name="Hyperlink" xfId="10174" builtinId="8" hidden="1"/>
    <cellStyle name="Hyperlink" xfId="10176" builtinId="8" hidden="1"/>
    <cellStyle name="Hyperlink" xfId="10178" builtinId="8" hidden="1"/>
    <cellStyle name="Hyperlink" xfId="10180" builtinId="8" hidden="1"/>
    <cellStyle name="Hyperlink" xfId="10182" builtinId="8" hidden="1"/>
    <cellStyle name="Hyperlink" xfId="10184" builtinId="8" hidden="1"/>
    <cellStyle name="Hyperlink" xfId="10186" builtinId="8" hidden="1"/>
    <cellStyle name="Hyperlink" xfId="10188" builtinId="8" hidden="1"/>
    <cellStyle name="Hyperlink" xfId="10190" builtinId="8" hidden="1"/>
    <cellStyle name="Hyperlink" xfId="10192" builtinId="8" hidden="1"/>
    <cellStyle name="Hyperlink" xfId="10194" builtinId="8" hidden="1"/>
    <cellStyle name="Hyperlink" xfId="10196" builtinId="8" hidden="1"/>
    <cellStyle name="Hyperlink" xfId="10198" builtinId="8" hidden="1"/>
    <cellStyle name="Hyperlink" xfId="10200" builtinId="8" hidden="1"/>
    <cellStyle name="Hyperlink" xfId="10202" builtinId="8" hidden="1"/>
    <cellStyle name="Hyperlink" xfId="10204" builtinId="8" hidden="1"/>
    <cellStyle name="Hyperlink" xfId="10206" builtinId="8" hidden="1"/>
    <cellStyle name="Hyperlink" xfId="10208" builtinId="8" hidden="1"/>
    <cellStyle name="Hyperlink" xfId="10210" builtinId="8" hidden="1"/>
    <cellStyle name="Hyperlink" xfId="10212" builtinId="8" hidden="1"/>
    <cellStyle name="Hyperlink" xfId="10214" builtinId="8" hidden="1"/>
    <cellStyle name="Hyperlink" xfId="10216" builtinId="8" hidden="1"/>
    <cellStyle name="Hyperlink" xfId="10218" builtinId="8" hidden="1"/>
    <cellStyle name="Hyperlink" xfId="10220" builtinId="8" hidden="1"/>
    <cellStyle name="Hyperlink" xfId="10222" builtinId="8" hidden="1"/>
    <cellStyle name="Hyperlink" xfId="10224" builtinId="8" hidden="1"/>
    <cellStyle name="Hyperlink" xfId="10226" builtinId="8" hidden="1"/>
    <cellStyle name="Hyperlink" xfId="10228" builtinId="8" hidden="1"/>
    <cellStyle name="Hyperlink" xfId="10230" builtinId="8" hidden="1"/>
    <cellStyle name="Hyperlink" xfId="10232" builtinId="8" hidden="1"/>
    <cellStyle name="Hyperlink" xfId="10234" builtinId="8" hidden="1"/>
    <cellStyle name="Hyperlink" xfId="10236" builtinId="8" hidden="1"/>
    <cellStyle name="Hyperlink" xfId="10238" builtinId="8" hidden="1"/>
    <cellStyle name="Hyperlink" xfId="10240" builtinId="8" hidden="1"/>
    <cellStyle name="Hyperlink" xfId="10242" builtinId="8" hidden="1"/>
    <cellStyle name="Hyperlink" xfId="10244" builtinId="8" hidden="1"/>
    <cellStyle name="Hyperlink" xfId="10246" builtinId="8" hidden="1"/>
    <cellStyle name="Hyperlink" xfId="10248" builtinId="8" hidden="1"/>
    <cellStyle name="Hyperlink" xfId="10250" builtinId="8" hidden="1"/>
    <cellStyle name="Hyperlink" xfId="10252" builtinId="8" hidden="1"/>
    <cellStyle name="Hyperlink" xfId="10254" builtinId="8" hidden="1"/>
    <cellStyle name="Hyperlink" xfId="10256" builtinId="8" hidden="1"/>
    <cellStyle name="Hyperlink" xfId="10258" builtinId="8" hidden="1"/>
    <cellStyle name="Hyperlink" xfId="10260" builtinId="8" hidden="1"/>
    <cellStyle name="Hyperlink" xfId="10262" builtinId="8" hidden="1"/>
    <cellStyle name="Hyperlink" xfId="10264" builtinId="8" hidden="1"/>
    <cellStyle name="Hyperlink" xfId="10266" builtinId="8" hidden="1"/>
    <cellStyle name="Hyperlink" xfId="10268" builtinId="8" hidden="1"/>
    <cellStyle name="Hyperlink" xfId="10270" builtinId="8" hidden="1"/>
    <cellStyle name="Hyperlink" xfId="10272" builtinId="8" hidden="1"/>
    <cellStyle name="Hyperlink" xfId="10274" builtinId="8" hidden="1"/>
    <cellStyle name="Hyperlink" xfId="10276" builtinId="8" hidden="1"/>
    <cellStyle name="Hyperlink" xfId="10278" builtinId="8" hidden="1"/>
    <cellStyle name="Hyperlink" xfId="10280" builtinId="8" hidden="1"/>
    <cellStyle name="Hyperlink" xfId="10282" builtinId="8" hidden="1"/>
    <cellStyle name="Hyperlink" xfId="10284" builtinId="8" hidden="1"/>
    <cellStyle name="Hyperlink" xfId="10286" builtinId="8" hidden="1"/>
    <cellStyle name="Hyperlink" xfId="10288" builtinId="8" hidden="1"/>
    <cellStyle name="Hyperlink" xfId="10290" builtinId="8" hidden="1"/>
    <cellStyle name="Hyperlink" xfId="10292" builtinId="8" hidden="1"/>
    <cellStyle name="Hyperlink" xfId="10294" builtinId="8" hidden="1"/>
    <cellStyle name="Hyperlink" xfId="10296" builtinId="8" hidden="1"/>
    <cellStyle name="Hyperlink" xfId="10298" builtinId="8" hidden="1"/>
    <cellStyle name="Hyperlink" xfId="10300" builtinId="8" hidden="1"/>
    <cellStyle name="Hyperlink" xfId="10302" builtinId="8" hidden="1"/>
    <cellStyle name="Hyperlink" xfId="10304" builtinId="8" hidden="1"/>
    <cellStyle name="Hyperlink" xfId="10306" builtinId="8" hidden="1"/>
    <cellStyle name="Hyperlink" xfId="10308" builtinId="8" hidden="1"/>
    <cellStyle name="Hyperlink" xfId="10310" builtinId="8" hidden="1"/>
    <cellStyle name="Hyperlink" xfId="10312" builtinId="8" hidden="1"/>
    <cellStyle name="Hyperlink" xfId="10314" builtinId="8" hidden="1"/>
    <cellStyle name="Hyperlink" xfId="10316" builtinId="8" hidden="1"/>
    <cellStyle name="Hyperlink" xfId="10318" builtinId="8" hidden="1"/>
    <cellStyle name="Hyperlink" xfId="10320" builtinId="8" hidden="1"/>
    <cellStyle name="Hyperlink" xfId="10322" builtinId="8" hidden="1"/>
    <cellStyle name="Hyperlink" xfId="10324" builtinId="8" hidden="1"/>
    <cellStyle name="Hyperlink" xfId="10326" builtinId="8" hidden="1"/>
    <cellStyle name="Hyperlink" xfId="10328" builtinId="8" hidden="1"/>
    <cellStyle name="Hyperlink" xfId="10330" builtinId="8" hidden="1"/>
    <cellStyle name="Hyperlink" xfId="10332" builtinId="8" hidden="1"/>
    <cellStyle name="Hyperlink" xfId="10334" builtinId="8" hidden="1"/>
    <cellStyle name="Hyperlink" xfId="10336" builtinId="8" hidden="1"/>
    <cellStyle name="Hyperlink" xfId="10338" builtinId="8" hidden="1"/>
    <cellStyle name="Hyperlink" xfId="10340" builtinId="8" hidden="1"/>
    <cellStyle name="Hyperlink" xfId="10342" builtinId="8" hidden="1"/>
    <cellStyle name="Hyperlink" xfId="10344" builtinId="8" hidden="1"/>
    <cellStyle name="Hyperlink" xfId="10346" builtinId="8" hidden="1"/>
    <cellStyle name="Hyperlink" xfId="10348" builtinId="8" hidden="1"/>
    <cellStyle name="Hyperlink" xfId="10350" builtinId="8" hidden="1"/>
    <cellStyle name="Hyperlink" xfId="10352" builtinId="8" hidden="1"/>
    <cellStyle name="Hyperlink" xfId="10354" builtinId="8" hidden="1"/>
    <cellStyle name="Hyperlink" xfId="10356" builtinId="8" hidden="1"/>
    <cellStyle name="Hyperlink" xfId="10358" builtinId="8" hidden="1"/>
    <cellStyle name="Hyperlink" xfId="10360" builtinId="8" hidden="1"/>
    <cellStyle name="Hyperlink" xfId="10362" builtinId="8" hidden="1"/>
    <cellStyle name="Hyperlink" xfId="10364" builtinId="8" hidden="1"/>
    <cellStyle name="Hyperlink" xfId="10366" builtinId="8" hidden="1"/>
    <cellStyle name="Hyperlink" xfId="10368" builtinId="8" hidden="1"/>
    <cellStyle name="Hyperlink" xfId="10370" builtinId="8" hidden="1"/>
    <cellStyle name="Hyperlink" xfId="10372" builtinId="8" hidden="1"/>
    <cellStyle name="Hyperlink" xfId="10374" builtinId="8" hidden="1"/>
    <cellStyle name="Hyperlink" xfId="10376" builtinId="8" hidden="1"/>
    <cellStyle name="Hyperlink" xfId="10378" builtinId="8" hidden="1"/>
    <cellStyle name="Hyperlink" xfId="10380" builtinId="8" hidden="1"/>
    <cellStyle name="Hyperlink" xfId="10382" builtinId="8" hidden="1"/>
    <cellStyle name="Hyperlink" xfId="10384" builtinId="8" hidden="1"/>
    <cellStyle name="Hyperlink" xfId="10386" builtinId="8" hidden="1"/>
    <cellStyle name="Hyperlink" xfId="10388" builtinId="8" hidden="1"/>
    <cellStyle name="Hyperlink" xfId="10390" builtinId="8" hidden="1"/>
    <cellStyle name="Hyperlink" xfId="10392" builtinId="8" hidden="1"/>
    <cellStyle name="Hyperlink" xfId="10394" builtinId="8" hidden="1"/>
    <cellStyle name="Hyperlink" xfId="10396" builtinId="8" hidden="1"/>
    <cellStyle name="Hyperlink" xfId="10398" builtinId="8" hidden="1"/>
    <cellStyle name="Hyperlink" xfId="10400" builtinId="8" hidden="1"/>
    <cellStyle name="Hyperlink" xfId="10402" builtinId="8" hidden="1"/>
    <cellStyle name="Hyperlink" xfId="10404" builtinId="8" hidden="1"/>
    <cellStyle name="Hyperlink" xfId="10406" builtinId="8" hidden="1"/>
    <cellStyle name="Hyperlink" xfId="10408" builtinId="8" hidden="1"/>
    <cellStyle name="Hyperlink" xfId="10410" builtinId="8" hidden="1"/>
    <cellStyle name="Hyperlink" xfId="10412" builtinId="8" hidden="1"/>
    <cellStyle name="Hyperlink" xfId="10414" builtinId="8" hidden="1"/>
    <cellStyle name="Hyperlink" xfId="10416" builtinId="8" hidden="1"/>
    <cellStyle name="Hyperlink" xfId="10418" builtinId="8" hidden="1"/>
    <cellStyle name="Hyperlink" xfId="10420" builtinId="8" hidden="1"/>
    <cellStyle name="Hyperlink" xfId="10422" builtinId="8" hidden="1"/>
    <cellStyle name="Hyperlink" xfId="10424" builtinId="8" hidden="1"/>
    <cellStyle name="Hyperlink" xfId="10426" builtinId="8" hidden="1"/>
    <cellStyle name="Hyperlink" xfId="10428" builtinId="8" hidden="1"/>
    <cellStyle name="Hyperlink" xfId="10430" builtinId="8" hidden="1"/>
    <cellStyle name="Hyperlink" xfId="10432" builtinId="8" hidden="1"/>
    <cellStyle name="Hyperlink" xfId="10434" builtinId="8" hidden="1"/>
    <cellStyle name="Hyperlink" xfId="10436" builtinId="8" hidden="1"/>
    <cellStyle name="Hyperlink" xfId="10438" builtinId="8" hidden="1"/>
    <cellStyle name="Hyperlink" xfId="10440" builtinId="8" hidden="1"/>
    <cellStyle name="Hyperlink" xfId="10442" builtinId="8" hidden="1"/>
    <cellStyle name="Hyperlink" xfId="10444" builtinId="8" hidden="1"/>
    <cellStyle name="Hyperlink" xfId="10446" builtinId="8" hidden="1"/>
    <cellStyle name="Hyperlink" xfId="10448" builtinId="8" hidden="1"/>
    <cellStyle name="Hyperlink" xfId="10450" builtinId="8" hidden="1"/>
    <cellStyle name="Hyperlink" xfId="10452" builtinId="8" hidden="1"/>
    <cellStyle name="Hyperlink" xfId="10454" builtinId="8" hidden="1"/>
    <cellStyle name="Hyperlink" xfId="10456" builtinId="8" hidden="1"/>
    <cellStyle name="Hyperlink" xfId="10458" builtinId="8" hidden="1"/>
    <cellStyle name="Hyperlink" xfId="10460" builtinId="8" hidden="1"/>
    <cellStyle name="Hyperlink" xfId="10462" builtinId="8" hidden="1"/>
    <cellStyle name="Hyperlink" xfId="10464" builtinId="8" hidden="1"/>
    <cellStyle name="Hyperlink" xfId="10466" builtinId="8" hidden="1"/>
    <cellStyle name="Hyperlink" xfId="10468" builtinId="8" hidden="1"/>
    <cellStyle name="Hyperlink" xfId="10470" builtinId="8" hidden="1"/>
    <cellStyle name="Hyperlink" xfId="10472" builtinId="8" hidden="1"/>
    <cellStyle name="Hyperlink" xfId="10474" builtinId="8" hidden="1"/>
    <cellStyle name="Hyperlink" xfId="10476" builtinId="8" hidden="1"/>
    <cellStyle name="Hyperlink" xfId="10478" builtinId="8" hidden="1"/>
    <cellStyle name="Hyperlink" xfId="10480" builtinId="8" hidden="1"/>
    <cellStyle name="Hyperlink" xfId="10482" builtinId="8" hidden="1"/>
    <cellStyle name="Hyperlink" xfId="10484" builtinId="8" hidden="1"/>
    <cellStyle name="Hyperlink" xfId="10486" builtinId="8" hidden="1"/>
    <cellStyle name="Hyperlink" xfId="10488" builtinId="8" hidden="1"/>
    <cellStyle name="Hyperlink" xfId="10490" builtinId="8" hidden="1"/>
    <cellStyle name="Hyperlink" xfId="10492" builtinId="8" hidden="1"/>
    <cellStyle name="Hyperlink" xfId="10494" builtinId="8" hidden="1"/>
    <cellStyle name="Hyperlink" xfId="10496" builtinId="8" hidden="1"/>
    <cellStyle name="Hyperlink" xfId="10498" builtinId="8" hidden="1"/>
    <cellStyle name="Hyperlink" xfId="10500" builtinId="8" hidden="1"/>
    <cellStyle name="Hyperlink" xfId="10502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16" builtinId="8" hidden="1"/>
    <cellStyle name="Hyperlink" xfId="10518" builtinId="8" hidden="1"/>
    <cellStyle name="Hyperlink" xfId="10520" builtinId="8" hidden="1"/>
    <cellStyle name="Hyperlink" xfId="10522" builtinId="8" hidden="1"/>
    <cellStyle name="Hyperlink" xfId="10524" builtinId="8" hidden="1"/>
    <cellStyle name="Hyperlink" xfId="10526" builtinId="8" hidden="1"/>
    <cellStyle name="Hyperlink" xfId="10528" builtinId="8" hidden="1"/>
    <cellStyle name="Hyperlink" xfId="10530" builtinId="8" hidden="1"/>
    <cellStyle name="Hyperlink" xfId="10532" builtinId="8" hidden="1"/>
    <cellStyle name="Hyperlink" xfId="10534" builtinId="8" hidden="1"/>
    <cellStyle name="Hyperlink" xfId="10536" builtinId="8" hidden="1"/>
    <cellStyle name="Hyperlink" xfId="10538" builtinId="8" hidden="1"/>
    <cellStyle name="Hyperlink" xfId="10540" builtinId="8" hidden="1"/>
    <cellStyle name="Hyperlink" xfId="10542" builtinId="8" hidden="1"/>
    <cellStyle name="Hyperlink" xfId="10544" builtinId="8" hidden="1"/>
    <cellStyle name="Hyperlink" xfId="10546" builtinId="8" hidden="1"/>
    <cellStyle name="Hyperlink" xfId="10548" builtinId="8" hidden="1"/>
    <cellStyle name="Hyperlink" xfId="10550" builtinId="8" hidden="1"/>
    <cellStyle name="Hyperlink" xfId="10552" builtinId="8" hidden="1"/>
    <cellStyle name="Hyperlink" xfId="10554" builtinId="8" hidden="1"/>
    <cellStyle name="Hyperlink" xfId="10556" builtinId="8" hidden="1"/>
    <cellStyle name="Hyperlink" xfId="10558" builtinId="8" hidden="1"/>
    <cellStyle name="Hyperlink" xfId="10560" builtinId="8" hidden="1"/>
    <cellStyle name="Hyperlink" xfId="10562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10668" builtinId="8" hidden="1"/>
    <cellStyle name="Hyperlink" xfId="10670" builtinId="8" hidden="1"/>
    <cellStyle name="Hyperlink" xfId="10672" builtinId="8" hidden="1"/>
    <cellStyle name="Hyperlink" xfId="10674" builtinId="8" hidden="1"/>
    <cellStyle name="Hyperlink" xfId="10676" builtinId="8" hidden="1"/>
    <cellStyle name="Hyperlink" xfId="10678" builtinId="8" hidden="1"/>
    <cellStyle name="Hyperlink" xfId="10680" builtinId="8" hidden="1"/>
    <cellStyle name="Hyperlink" xfId="10682" builtinId="8" hidden="1"/>
    <cellStyle name="Hyperlink" xfId="10684" builtinId="8" hidden="1"/>
    <cellStyle name="Hyperlink" xfId="10686" builtinId="8" hidden="1"/>
    <cellStyle name="Hyperlink" xfId="10688" builtinId="8" hidden="1"/>
    <cellStyle name="Hyperlink" xfId="10690" builtinId="8" hidden="1"/>
    <cellStyle name="Hyperlink" xfId="10692" builtinId="8" hidden="1"/>
    <cellStyle name="Hyperlink" xfId="10694" builtinId="8" hidden="1"/>
    <cellStyle name="Hyperlink" xfId="10696" builtinId="8" hidden="1"/>
    <cellStyle name="Hyperlink" xfId="10698" builtinId="8" hidden="1"/>
    <cellStyle name="Hyperlink" xfId="10700" builtinId="8" hidden="1"/>
    <cellStyle name="Hyperlink" xfId="10702" builtinId="8" hidden="1"/>
    <cellStyle name="Hyperlink" xfId="10704" builtinId="8" hidden="1"/>
    <cellStyle name="Hyperlink" xfId="10706" builtinId="8" hidden="1"/>
    <cellStyle name="Hyperlink" xfId="10708" builtinId="8" hidden="1"/>
    <cellStyle name="Hyperlink" xfId="10710" builtinId="8" hidden="1"/>
    <cellStyle name="Hyperlink" xfId="10712" builtinId="8" hidden="1"/>
    <cellStyle name="Hyperlink" xfId="10714" builtinId="8" hidden="1"/>
    <cellStyle name="Hyperlink" xfId="10716" builtinId="8" hidden="1"/>
    <cellStyle name="Hyperlink" xfId="10718" builtinId="8" hidden="1"/>
    <cellStyle name="Hyperlink" xfId="10720" builtinId="8" hidden="1"/>
    <cellStyle name="Hyperlink" xfId="10722" builtinId="8" hidden="1"/>
    <cellStyle name="Hyperlink" xfId="10724" builtinId="8" hidden="1"/>
    <cellStyle name="Hyperlink" xfId="10726" builtinId="8" hidden="1"/>
    <cellStyle name="Hyperlink" xfId="10728" builtinId="8" hidden="1"/>
    <cellStyle name="Hyperlink" xfId="10730" builtinId="8" hidden="1"/>
    <cellStyle name="Hyperlink" xfId="10732" builtinId="8" hidden="1"/>
    <cellStyle name="Hyperlink" xfId="10734" builtinId="8" hidden="1"/>
    <cellStyle name="Hyperlink" xfId="10736" builtinId="8" hidden="1"/>
    <cellStyle name="Hyperlink" xfId="10738" builtinId="8" hidden="1"/>
    <cellStyle name="Hyperlink" xfId="10740" builtinId="8" hidden="1"/>
    <cellStyle name="Hyperlink" xfId="10742" builtinId="8" hidden="1"/>
    <cellStyle name="Hyperlink" xfId="10744" builtinId="8" hidden="1"/>
    <cellStyle name="Hyperlink" xfId="10746" builtinId="8" hidden="1"/>
    <cellStyle name="Hyperlink" xfId="10748" builtinId="8" hidden="1"/>
    <cellStyle name="Hyperlink" xfId="10750" builtinId="8" hidden="1"/>
    <cellStyle name="Hyperlink" xfId="10752" builtinId="8" hidden="1"/>
    <cellStyle name="Hyperlink" xfId="10754" builtinId="8" hidden="1"/>
    <cellStyle name="Hyperlink" xfId="10756" builtinId="8" hidden="1"/>
    <cellStyle name="Hyperlink" xfId="10758" builtinId="8" hidden="1"/>
    <cellStyle name="Hyperlink" xfId="10760" builtinId="8" hidden="1"/>
    <cellStyle name="Hyperlink" xfId="10762" builtinId="8" hidden="1"/>
    <cellStyle name="Hyperlink" xfId="10764" builtinId="8" hidden="1"/>
    <cellStyle name="Hyperlink" xfId="10766" builtinId="8" hidden="1"/>
    <cellStyle name="Hyperlink" xfId="10768" builtinId="8" hidden="1"/>
    <cellStyle name="Hyperlink" xfId="10770" builtinId="8" hidden="1"/>
    <cellStyle name="Hyperlink" xfId="10772" builtinId="8" hidden="1"/>
    <cellStyle name="Hyperlink" xfId="10774" builtinId="8" hidden="1"/>
    <cellStyle name="Hyperlink" xfId="10776" builtinId="8" hidden="1"/>
    <cellStyle name="Hyperlink" xfId="10778" builtinId="8" hidden="1"/>
    <cellStyle name="Hyperlink" xfId="10780" builtinId="8" hidden="1"/>
    <cellStyle name="Hyperlink" xfId="10782" builtinId="8" hidden="1"/>
    <cellStyle name="Hyperlink" xfId="10784" builtinId="8" hidden="1"/>
    <cellStyle name="Hyperlink" xfId="10786" builtinId="8" hidden="1"/>
    <cellStyle name="Hyperlink" xfId="10788" builtinId="8" hidden="1"/>
    <cellStyle name="Hyperlink" xfId="10790" builtinId="8" hidden="1"/>
    <cellStyle name="Hyperlink" xfId="10792" builtinId="8" hidden="1"/>
    <cellStyle name="Hyperlink" xfId="10794" builtinId="8" hidden="1"/>
    <cellStyle name="Hyperlink" xfId="10796" builtinId="8" hidden="1"/>
    <cellStyle name="Hyperlink" xfId="10798" builtinId="8" hidden="1"/>
    <cellStyle name="Hyperlink" xfId="10800" builtinId="8" hidden="1"/>
    <cellStyle name="Hyperlink" xfId="10802" builtinId="8" hidden="1"/>
    <cellStyle name="Hyperlink" xfId="10804" builtinId="8" hidden="1"/>
    <cellStyle name="Hyperlink" xfId="10806" builtinId="8" hidden="1"/>
    <cellStyle name="Hyperlink" xfId="10808" builtinId="8" hidden="1"/>
    <cellStyle name="Hyperlink" xfId="10810" builtinId="8" hidden="1"/>
    <cellStyle name="Hyperlink" xfId="10812" builtinId="8" hidden="1"/>
    <cellStyle name="Hyperlink" xfId="10814" builtinId="8" hidden="1"/>
    <cellStyle name="Hyperlink" xfId="10816" builtinId="8" hidden="1"/>
    <cellStyle name="Hyperlink" xfId="10818" builtinId="8" hidden="1"/>
    <cellStyle name="Hyperlink" xfId="10820" builtinId="8" hidden="1"/>
    <cellStyle name="Hyperlink" xfId="10822" builtinId="8" hidden="1"/>
    <cellStyle name="Hyperlink" xfId="10824" builtinId="8" hidden="1"/>
    <cellStyle name="Hyperlink" xfId="10826" builtinId="8" hidden="1"/>
    <cellStyle name="Hyperlink" xfId="10828" builtinId="8" hidden="1"/>
    <cellStyle name="Hyperlink" xfId="10830" builtinId="8" hidden="1"/>
    <cellStyle name="Hyperlink" xfId="10832" builtinId="8" hidden="1"/>
    <cellStyle name="Hyperlink" xfId="10834" builtinId="8" hidden="1"/>
    <cellStyle name="Hyperlink" xfId="10836" builtinId="8" hidden="1"/>
    <cellStyle name="Hyperlink" xfId="10838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852" builtinId="8" hidden="1"/>
    <cellStyle name="Hyperlink" xfId="10854" builtinId="8" hidden="1"/>
    <cellStyle name="Hyperlink" xfId="10856" builtinId="8" hidden="1"/>
    <cellStyle name="Hyperlink" xfId="10858" builtinId="8" hidden="1"/>
    <cellStyle name="Hyperlink" xfId="10860" builtinId="8" hidden="1"/>
    <cellStyle name="Hyperlink" xfId="10862" builtinId="8" hidden="1"/>
    <cellStyle name="Hyperlink" xfId="10864" builtinId="8" hidden="1"/>
    <cellStyle name="Hyperlink" xfId="10866" builtinId="8" hidden="1"/>
    <cellStyle name="Hyperlink" xfId="10868" builtinId="8" hidden="1"/>
    <cellStyle name="Hyperlink" xfId="10870" builtinId="8" hidden="1"/>
    <cellStyle name="Hyperlink" xfId="10872" builtinId="8" hidden="1"/>
    <cellStyle name="Hyperlink" xfId="10874" builtinId="8" hidden="1"/>
    <cellStyle name="Hyperlink" xfId="10876" builtinId="8" hidden="1"/>
    <cellStyle name="Hyperlink" xfId="10878" builtinId="8" hidden="1"/>
    <cellStyle name="Hyperlink" xfId="10880" builtinId="8" hidden="1"/>
    <cellStyle name="Hyperlink" xfId="10882" builtinId="8" hidden="1"/>
    <cellStyle name="Hyperlink" xfId="10884" builtinId="8" hidden="1"/>
    <cellStyle name="Hyperlink" xfId="10886" builtinId="8" hidden="1"/>
    <cellStyle name="Hyperlink" xfId="10888" builtinId="8" hidden="1"/>
    <cellStyle name="Hyperlink" xfId="10890" builtinId="8" hidden="1"/>
    <cellStyle name="Hyperlink" xfId="10892" builtinId="8" hidden="1"/>
    <cellStyle name="Hyperlink" xfId="10894" builtinId="8" hidden="1"/>
    <cellStyle name="Hyperlink" xfId="10896" builtinId="8" hidden="1"/>
    <cellStyle name="Hyperlink" xfId="10898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11004" builtinId="8" hidden="1"/>
    <cellStyle name="Hyperlink" xfId="11006" builtinId="8" hidden="1"/>
    <cellStyle name="Hyperlink" xfId="11008" builtinId="8" hidden="1"/>
    <cellStyle name="Hyperlink" xfId="11010" builtinId="8" hidden="1"/>
    <cellStyle name="Hyperlink" xfId="11012" builtinId="8" hidden="1"/>
    <cellStyle name="Hyperlink" xfId="11014" builtinId="8" hidden="1"/>
    <cellStyle name="Hyperlink" xfId="11016" builtinId="8" hidden="1"/>
    <cellStyle name="Hyperlink" xfId="11018" builtinId="8" hidden="1"/>
    <cellStyle name="Hyperlink" xfId="11020" builtinId="8" hidden="1"/>
    <cellStyle name="Hyperlink" xfId="11022" builtinId="8" hidden="1"/>
    <cellStyle name="Hyperlink" xfId="11024" builtinId="8" hidden="1"/>
    <cellStyle name="Hyperlink" xfId="11026" builtinId="8" hidden="1"/>
    <cellStyle name="Hyperlink" xfId="11028" builtinId="8" hidden="1"/>
    <cellStyle name="Hyperlink" xfId="11030" builtinId="8" hidden="1"/>
    <cellStyle name="Hyperlink" xfId="11032" builtinId="8" hidden="1"/>
    <cellStyle name="Hyperlink" xfId="11034" builtinId="8" hidden="1"/>
    <cellStyle name="Hyperlink" xfId="11036" builtinId="8" hidden="1"/>
    <cellStyle name="Hyperlink" xfId="11038" builtinId="8" hidden="1"/>
    <cellStyle name="Hyperlink" xfId="11040" builtinId="8" hidden="1"/>
    <cellStyle name="Hyperlink" xfId="11042" builtinId="8" hidden="1"/>
    <cellStyle name="Hyperlink" xfId="11044" builtinId="8" hidden="1"/>
    <cellStyle name="Hyperlink" xfId="11046" builtinId="8" hidden="1"/>
    <cellStyle name="Hyperlink" xfId="11048" builtinId="8" hidden="1"/>
    <cellStyle name="Hyperlink" xfId="11050" builtinId="8" hidden="1"/>
    <cellStyle name="Hyperlink" xfId="11052" builtinId="8" hidden="1"/>
    <cellStyle name="Hyperlink" xfId="11054" builtinId="8" hidden="1"/>
    <cellStyle name="Hyperlink" xfId="11056" builtinId="8" hidden="1"/>
    <cellStyle name="Hyperlink" xfId="11058" builtinId="8" hidden="1"/>
    <cellStyle name="Hyperlink" xfId="11060" builtinId="8" hidden="1"/>
    <cellStyle name="Hyperlink" xfId="11062" builtinId="8" hidden="1"/>
    <cellStyle name="Hyperlink" xfId="11064" builtinId="8" hidden="1"/>
    <cellStyle name="Hyperlink" xfId="11066" builtinId="8" hidden="1"/>
    <cellStyle name="Hyperlink" xfId="11068" builtinId="8" hidden="1"/>
    <cellStyle name="Hyperlink" xfId="11070" builtinId="8" hidden="1"/>
    <cellStyle name="Hyperlink" xfId="11072" builtinId="8" hidden="1"/>
    <cellStyle name="Hyperlink" xfId="11074" builtinId="8" hidden="1"/>
    <cellStyle name="Hyperlink" xfId="11076" builtinId="8" hidden="1"/>
    <cellStyle name="Hyperlink" xfId="11078" builtinId="8" hidden="1"/>
    <cellStyle name="Hyperlink" xfId="11080" builtinId="8" hidden="1"/>
    <cellStyle name="Hyperlink" xfId="11082" builtinId="8" hidden="1"/>
    <cellStyle name="Hyperlink" xfId="11084" builtinId="8" hidden="1"/>
    <cellStyle name="Hyperlink" xfId="11086" builtinId="8" hidden="1"/>
    <cellStyle name="Hyperlink" xfId="11088" builtinId="8" hidden="1"/>
    <cellStyle name="Hyperlink" xfId="11090" builtinId="8" hidden="1"/>
    <cellStyle name="Hyperlink" xfId="11092" builtinId="8" hidden="1"/>
    <cellStyle name="Hyperlink" xfId="11094" builtinId="8" hidden="1"/>
    <cellStyle name="Hyperlink" xfId="11096" builtinId="8" hidden="1"/>
    <cellStyle name="Hyperlink" xfId="11098" builtinId="8" hidden="1"/>
    <cellStyle name="Hyperlink" xfId="11100" builtinId="8" hidden="1"/>
    <cellStyle name="Hyperlink" xfId="11102" builtinId="8" hidden="1"/>
    <cellStyle name="Hyperlink" xfId="11104" builtinId="8" hidden="1"/>
    <cellStyle name="Hyperlink" xfId="11106" builtinId="8" hidden="1"/>
    <cellStyle name="Hyperlink" xfId="11108" builtinId="8" hidden="1"/>
    <cellStyle name="Hyperlink" xfId="11110" builtinId="8" hidden="1"/>
    <cellStyle name="Hyperlink" xfId="11112" builtinId="8" hidden="1"/>
    <cellStyle name="Hyperlink" xfId="11114" builtinId="8" hidden="1"/>
    <cellStyle name="Hyperlink" xfId="11116" builtinId="8" hidden="1"/>
    <cellStyle name="Hyperlink" xfId="11118" builtinId="8" hidden="1"/>
    <cellStyle name="Hyperlink" xfId="11120" builtinId="8" hidden="1"/>
    <cellStyle name="Hyperlink" xfId="11122" builtinId="8" hidden="1"/>
    <cellStyle name="Hyperlink" xfId="11124" builtinId="8" hidden="1"/>
    <cellStyle name="Hyperlink" xfId="11126" builtinId="8" hidden="1"/>
    <cellStyle name="Hyperlink" xfId="11128" builtinId="8" hidden="1"/>
    <cellStyle name="Hyperlink" xfId="11130" builtinId="8" hidden="1"/>
    <cellStyle name="Hyperlink" xfId="11132" builtinId="8" hidden="1"/>
    <cellStyle name="Hyperlink" xfId="11134" builtinId="8" hidden="1"/>
    <cellStyle name="Hyperlink" xfId="11136" builtinId="8" hidden="1"/>
    <cellStyle name="Hyperlink" xfId="11138" builtinId="8" hidden="1"/>
    <cellStyle name="Hyperlink" xfId="11140" builtinId="8" hidden="1"/>
    <cellStyle name="Hyperlink" xfId="11142" builtinId="8" hidden="1"/>
    <cellStyle name="Hyperlink" xfId="11144" builtinId="8" hidden="1"/>
    <cellStyle name="Hyperlink" xfId="11146" builtinId="8" hidden="1"/>
    <cellStyle name="Hyperlink" xfId="11148" builtinId="8" hidden="1"/>
    <cellStyle name="Hyperlink" xfId="11150" builtinId="8" hidden="1"/>
    <cellStyle name="Hyperlink" xfId="11152" builtinId="8" hidden="1"/>
    <cellStyle name="Hyperlink" xfId="11154" builtinId="8" hidden="1"/>
    <cellStyle name="Hyperlink" xfId="11156" builtinId="8" hidden="1"/>
    <cellStyle name="Hyperlink" xfId="11158" builtinId="8" hidden="1"/>
    <cellStyle name="Hyperlink" xfId="11160" builtinId="8" hidden="1"/>
    <cellStyle name="Hyperlink" xfId="11162" builtinId="8" hidden="1"/>
    <cellStyle name="Hyperlink" xfId="11164" builtinId="8" hidden="1"/>
    <cellStyle name="Hyperlink" xfId="11166" builtinId="8" hidden="1"/>
    <cellStyle name="Hyperlink" xfId="11168" builtinId="8" hidden="1"/>
    <cellStyle name="Hyperlink" xfId="11170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184" builtinId="8" hidden="1"/>
    <cellStyle name="Hyperlink" xfId="11186" builtinId="8" hidden="1"/>
    <cellStyle name="Hyperlink" xfId="11188" builtinId="8" hidden="1"/>
    <cellStyle name="Hyperlink" xfId="11190" builtinId="8" hidden="1"/>
    <cellStyle name="Hyperlink" xfId="11192" builtinId="8" hidden="1"/>
    <cellStyle name="Hyperlink" xfId="11194" builtinId="8" hidden="1"/>
    <cellStyle name="Hyperlink" xfId="11196" builtinId="8" hidden="1"/>
    <cellStyle name="Hyperlink" xfId="11198" builtinId="8" hidden="1"/>
    <cellStyle name="Hyperlink" xfId="11200" builtinId="8" hidden="1"/>
    <cellStyle name="Hyperlink" xfId="11202" builtinId="8" hidden="1"/>
    <cellStyle name="Hyperlink" xfId="11204" builtinId="8" hidden="1"/>
    <cellStyle name="Hyperlink" xfId="11206" builtinId="8" hidden="1"/>
    <cellStyle name="Hyperlink" xfId="11208" builtinId="8" hidden="1"/>
    <cellStyle name="Hyperlink" xfId="11210" builtinId="8" hidden="1"/>
    <cellStyle name="Hyperlink" xfId="11212" builtinId="8" hidden="1"/>
    <cellStyle name="Hyperlink" xfId="11214" builtinId="8" hidden="1"/>
    <cellStyle name="Hyperlink" xfId="11216" builtinId="8" hidden="1"/>
    <cellStyle name="Hyperlink" xfId="11218" builtinId="8" hidden="1"/>
    <cellStyle name="Hyperlink" xfId="11220" builtinId="8" hidden="1"/>
    <cellStyle name="Hyperlink" xfId="11222" builtinId="8" hidden="1"/>
    <cellStyle name="Hyperlink" xfId="11224" builtinId="8" hidden="1"/>
    <cellStyle name="Hyperlink" xfId="11226" builtinId="8" hidden="1"/>
    <cellStyle name="Hyperlink" xfId="11228" builtinId="8" hidden="1"/>
    <cellStyle name="Hyperlink" xfId="11230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11336" builtinId="8" hidden="1"/>
    <cellStyle name="Hyperlink" xfId="11338" builtinId="8" hidden="1"/>
    <cellStyle name="Hyperlink" xfId="11340" builtinId="8" hidden="1"/>
    <cellStyle name="Hyperlink" xfId="11342" builtinId="8" hidden="1"/>
    <cellStyle name="Hyperlink" xfId="11344" builtinId="8" hidden="1"/>
    <cellStyle name="Hyperlink" xfId="11346" builtinId="8" hidden="1"/>
    <cellStyle name="Hyperlink" xfId="11348" builtinId="8" hidden="1"/>
    <cellStyle name="Hyperlink" xfId="11350" builtinId="8" hidden="1"/>
    <cellStyle name="Hyperlink" xfId="11352" builtinId="8" hidden="1"/>
    <cellStyle name="Hyperlink" xfId="11354" builtinId="8" hidden="1"/>
    <cellStyle name="Hyperlink" xfId="11356" builtinId="8" hidden="1"/>
    <cellStyle name="Hyperlink" xfId="11358" builtinId="8" hidden="1"/>
    <cellStyle name="Hyperlink" xfId="11360" builtinId="8" hidden="1"/>
    <cellStyle name="Hyperlink" xfId="11362" builtinId="8" hidden="1"/>
    <cellStyle name="Hyperlink" xfId="11364" builtinId="8" hidden="1"/>
    <cellStyle name="Hyperlink" xfId="11366" builtinId="8" hidden="1"/>
    <cellStyle name="Hyperlink" xfId="11368" builtinId="8" hidden="1"/>
    <cellStyle name="Hyperlink" xfId="11370" builtinId="8" hidden="1"/>
    <cellStyle name="Hyperlink" xfId="11372" builtinId="8" hidden="1"/>
    <cellStyle name="Hyperlink" xfId="11374" builtinId="8" hidden="1"/>
    <cellStyle name="Hyperlink" xfId="11376" builtinId="8" hidden="1"/>
    <cellStyle name="Hyperlink" xfId="11378" builtinId="8" hidden="1"/>
    <cellStyle name="Hyperlink" xfId="11380" builtinId="8" hidden="1"/>
    <cellStyle name="Hyperlink" xfId="11382" builtinId="8" hidden="1"/>
    <cellStyle name="Hyperlink" xfId="11384" builtinId="8" hidden="1"/>
    <cellStyle name="Hyperlink" xfId="11386" builtinId="8" hidden="1"/>
    <cellStyle name="Hyperlink" xfId="11388" builtinId="8" hidden="1"/>
    <cellStyle name="Hyperlink" xfId="11390" builtinId="8" hidden="1"/>
    <cellStyle name="Hyperlink" xfId="11392" builtinId="8" hidden="1"/>
    <cellStyle name="Hyperlink" xfId="11394" builtinId="8" hidden="1"/>
    <cellStyle name="Hyperlink" xfId="11396" builtinId="8" hidden="1"/>
    <cellStyle name="Hyperlink" xfId="11398" builtinId="8" hidden="1"/>
    <cellStyle name="Hyperlink" xfId="11400" builtinId="8" hidden="1"/>
    <cellStyle name="Hyperlink" xfId="11402" builtinId="8" hidden="1"/>
    <cellStyle name="Hyperlink" xfId="11404" builtinId="8" hidden="1"/>
    <cellStyle name="Hyperlink" xfId="11406" builtinId="8" hidden="1"/>
    <cellStyle name="Hyperlink" xfId="11408" builtinId="8" hidden="1"/>
    <cellStyle name="Hyperlink" xfId="11410" builtinId="8" hidden="1"/>
    <cellStyle name="Hyperlink" xfId="11412" builtinId="8" hidden="1"/>
    <cellStyle name="Hyperlink" xfId="11414" builtinId="8" hidden="1"/>
    <cellStyle name="Hyperlink" xfId="11416" builtinId="8" hidden="1"/>
    <cellStyle name="Hyperlink" xfId="11418" builtinId="8" hidden="1"/>
    <cellStyle name="Hyperlink" xfId="11420" builtinId="8" hidden="1"/>
    <cellStyle name="Hyperlink" xfId="11422" builtinId="8" hidden="1"/>
    <cellStyle name="Hyperlink" xfId="11424" builtinId="8" hidden="1"/>
    <cellStyle name="Hyperlink" xfId="11426" builtinId="8" hidden="1"/>
    <cellStyle name="Hyperlink" xfId="11428" builtinId="8" hidden="1"/>
    <cellStyle name="Hyperlink" xfId="11430" builtinId="8" hidden="1"/>
    <cellStyle name="Hyperlink" xfId="11432" builtinId="8" hidden="1"/>
    <cellStyle name="Hyperlink" xfId="11434" builtinId="8" hidden="1"/>
    <cellStyle name="Hyperlink" xfId="11436" builtinId="8" hidden="1"/>
    <cellStyle name="Hyperlink" xfId="11438" builtinId="8" hidden="1"/>
    <cellStyle name="Hyperlink" xfId="11440" builtinId="8" hidden="1"/>
    <cellStyle name="Hyperlink" xfId="11442" builtinId="8" hidden="1"/>
    <cellStyle name="Hyperlink" xfId="11444" builtinId="8" hidden="1"/>
    <cellStyle name="Hyperlink" xfId="11446" builtinId="8" hidden="1"/>
    <cellStyle name="Hyperlink" xfId="11448" builtinId="8" hidden="1"/>
    <cellStyle name="Hyperlink" xfId="11450" builtinId="8" hidden="1"/>
    <cellStyle name="Hyperlink" xfId="11452" builtinId="8" hidden="1"/>
    <cellStyle name="Hyperlink" xfId="11454" builtinId="8" hidden="1"/>
    <cellStyle name="Hyperlink" xfId="11456" builtinId="8" hidden="1"/>
    <cellStyle name="Hyperlink" xfId="11458" builtinId="8" hidden="1"/>
    <cellStyle name="Hyperlink" xfId="11460" builtinId="8" hidden="1"/>
    <cellStyle name="Hyperlink" xfId="11462" builtinId="8" hidden="1"/>
    <cellStyle name="Hyperlink" xfId="11464" builtinId="8" hidden="1"/>
    <cellStyle name="Hyperlink" xfId="11466" builtinId="8" hidden="1"/>
    <cellStyle name="Hyperlink" xfId="11468" builtinId="8" hidden="1"/>
    <cellStyle name="Hyperlink" xfId="11470" builtinId="8" hidden="1"/>
    <cellStyle name="Hyperlink" xfId="11472" builtinId="8" hidden="1"/>
    <cellStyle name="Hyperlink" xfId="11474" builtinId="8" hidden="1"/>
    <cellStyle name="Hyperlink" xfId="11476" builtinId="8" hidden="1"/>
    <cellStyle name="Hyperlink" xfId="11478" builtinId="8" hidden="1"/>
    <cellStyle name="Hyperlink" xfId="11480" builtinId="8" hidden="1"/>
    <cellStyle name="Hyperlink" xfId="11482" builtinId="8" hidden="1"/>
    <cellStyle name="Hyperlink" xfId="11484" builtinId="8" hidden="1"/>
    <cellStyle name="Hyperlink" xfId="11486" builtinId="8" hidden="1"/>
    <cellStyle name="Hyperlink" xfId="11488" builtinId="8" hidden="1"/>
    <cellStyle name="Hyperlink" xfId="11490" builtinId="8" hidden="1"/>
    <cellStyle name="Hyperlink" xfId="11492" builtinId="8" hidden="1"/>
    <cellStyle name="Hyperlink" xfId="11494" builtinId="8" hidden="1"/>
    <cellStyle name="Hyperlink" xfId="11496" builtinId="8" hidden="1"/>
    <cellStyle name="Hyperlink" xfId="11498" builtinId="8" hidden="1"/>
    <cellStyle name="Hyperlink" xfId="11500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14" builtinId="8" hidden="1"/>
    <cellStyle name="Hyperlink" xfId="11516" builtinId="8" hidden="1"/>
    <cellStyle name="Hyperlink" xfId="11518" builtinId="8" hidden="1"/>
    <cellStyle name="Hyperlink" xfId="11520" builtinId="8" hidden="1"/>
    <cellStyle name="Hyperlink" xfId="11522" builtinId="8" hidden="1"/>
    <cellStyle name="Hyperlink" xfId="11524" builtinId="8" hidden="1"/>
    <cellStyle name="Hyperlink" xfId="11526" builtinId="8" hidden="1"/>
    <cellStyle name="Hyperlink" xfId="11528" builtinId="8" hidden="1"/>
    <cellStyle name="Hyperlink" xfId="11530" builtinId="8" hidden="1"/>
    <cellStyle name="Hyperlink" xfId="11532" builtinId="8" hidden="1"/>
    <cellStyle name="Hyperlink" xfId="11534" builtinId="8" hidden="1"/>
    <cellStyle name="Hyperlink" xfId="11536" builtinId="8" hidden="1"/>
    <cellStyle name="Hyperlink" xfId="11538" builtinId="8" hidden="1"/>
    <cellStyle name="Hyperlink" xfId="11540" builtinId="8" hidden="1"/>
    <cellStyle name="Hyperlink" xfId="11542" builtinId="8" hidden="1"/>
    <cellStyle name="Hyperlink" xfId="11544" builtinId="8" hidden="1"/>
    <cellStyle name="Hyperlink" xfId="11546" builtinId="8" hidden="1"/>
    <cellStyle name="Hyperlink" xfId="11548" builtinId="8" hidden="1"/>
    <cellStyle name="Hyperlink" xfId="11550" builtinId="8" hidden="1"/>
    <cellStyle name="Hyperlink" xfId="11552" builtinId="8" hidden="1"/>
    <cellStyle name="Hyperlink" xfId="11554" builtinId="8" hidden="1"/>
    <cellStyle name="Hyperlink" xfId="11556" builtinId="8" hidden="1"/>
    <cellStyle name="Hyperlink" xfId="11558" builtinId="8" hidden="1"/>
    <cellStyle name="Hyperlink" xfId="11560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678" builtinId="8" hidden="1"/>
    <cellStyle name="Hyperlink" xfId="11680" builtinId="8" hidden="1"/>
    <cellStyle name="Hyperlink" xfId="11682" builtinId="8" hidden="1"/>
    <cellStyle name="Hyperlink" xfId="11684" builtinId="8" hidden="1"/>
    <cellStyle name="Hyperlink" xfId="11686" builtinId="8" hidden="1"/>
    <cellStyle name="Hyperlink" xfId="11688" builtinId="8" hidden="1"/>
    <cellStyle name="Hyperlink" xfId="11690" builtinId="8" hidden="1"/>
    <cellStyle name="Hyperlink" xfId="11692" builtinId="8" hidden="1"/>
    <cellStyle name="Hyperlink" xfId="11694" builtinId="8" hidden="1"/>
    <cellStyle name="Hyperlink" xfId="11696" builtinId="8" hidden="1"/>
    <cellStyle name="Hyperlink" xfId="11698" builtinId="8" hidden="1"/>
    <cellStyle name="Hyperlink" xfId="11700" builtinId="8" hidden="1"/>
    <cellStyle name="Hyperlink" xfId="11702" builtinId="8" hidden="1"/>
    <cellStyle name="Hyperlink" xfId="11704" builtinId="8" hidden="1"/>
    <cellStyle name="Hyperlink" xfId="11706" builtinId="8" hidden="1"/>
    <cellStyle name="Hyperlink" xfId="11708" builtinId="8" hidden="1"/>
    <cellStyle name="Hyperlink" xfId="11710" builtinId="8" hidden="1"/>
    <cellStyle name="Hyperlink" xfId="11712" builtinId="8" hidden="1"/>
    <cellStyle name="Hyperlink" xfId="11714" builtinId="8" hidden="1"/>
    <cellStyle name="Hyperlink" xfId="11716" builtinId="8" hidden="1"/>
    <cellStyle name="Hyperlink" xfId="11718" builtinId="8" hidden="1"/>
    <cellStyle name="Hyperlink" xfId="11720" builtinId="8" hidden="1"/>
    <cellStyle name="Hyperlink" xfId="11722" builtinId="8" hidden="1"/>
    <cellStyle name="Hyperlink" xfId="11724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11830" builtinId="8" hidden="1"/>
    <cellStyle name="Hyperlink" xfId="11832" builtinId="8" hidden="1"/>
    <cellStyle name="Hyperlink" xfId="11834" builtinId="8" hidden="1"/>
    <cellStyle name="Hyperlink" xfId="11836" builtinId="8" hidden="1"/>
    <cellStyle name="Hyperlink" xfId="11838" builtinId="8" hidden="1"/>
    <cellStyle name="Hyperlink" xfId="11840" builtinId="8" hidden="1"/>
    <cellStyle name="Hyperlink" xfId="11842" builtinId="8" hidden="1"/>
    <cellStyle name="Hyperlink" xfId="11844" builtinId="8" hidden="1"/>
    <cellStyle name="Hyperlink" xfId="11846" builtinId="8" hidden="1"/>
    <cellStyle name="Hyperlink" xfId="11848" builtinId="8" hidden="1"/>
    <cellStyle name="Hyperlink" xfId="11850" builtinId="8" hidden="1"/>
    <cellStyle name="Hyperlink" xfId="11852" builtinId="8" hidden="1"/>
    <cellStyle name="Hyperlink" xfId="11854" builtinId="8" hidden="1"/>
    <cellStyle name="Hyperlink" xfId="11856" builtinId="8" hidden="1"/>
    <cellStyle name="Hyperlink" xfId="11858" builtinId="8" hidden="1"/>
    <cellStyle name="Hyperlink" xfId="11860" builtinId="8" hidden="1"/>
    <cellStyle name="Hyperlink" xfId="11862" builtinId="8" hidden="1"/>
    <cellStyle name="Hyperlink" xfId="11864" builtinId="8" hidden="1"/>
    <cellStyle name="Hyperlink" xfId="11866" builtinId="8" hidden="1"/>
    <cellStyle name="Hyperlink" xfId="11868" builtinId="8" hidden="1"/>
    <cellStyle name="Hyperlink" xfId="11870" builtinId="8" hidden="1"/>
    <cellStyle name="Hyperlink" xfId="11872" builtinId="8" hidden="1"/>
    <cellStyle name="Hyperlink" xfId="11874" builtinId="8" hidden="1"/>
    <cellStyle name="Hyperlink" xfId="11876" builtinId="8" hidden="1"/>
    <cellStyle name="Hyperlink" xfId="11878" builtinId="8" hidden="1"/>
    <cellStyle name="Hyperlink" xfId="11880" builtinId="8" hidden="1"/>
    <cellStyle name="Hyperlink" xfId="11882" builtinId="8" hidden="1"/>
    <cellStyle name="Hyperlink" xfId="11884" builtinId="8" hidden="1"/>
    <cellStyle name="Hyperlink" xfId="11886" builtinId="8" hidden="1"/>
    <cellStyle name="Hyperlink" xfId="11888" builtinId="8" hidden="1"/>
    <cellStyle name="Hyperlink" xfId="11890" builtinId="8" hidden="1"/>
    <cellStyle name="Hyperlink" xfId="11892" builtinId="8" hidden="1"/>
    <cellStyle name="Hyperlink" xfId="11894" builtinId="8" hidden="1"/>
    <cellStyle name="Hyperlink" xfId="11896" builtinId="8" hidden="1"/>
    <cellStyle name="Hyperlink" xfId="11898" builtinId="8" hidden="1"/>
    <cellStyle name="Hyperlink" xfId="11900" builtinId="8" hidden="1"/>
    <cellStyle name="Hyperlink" xfId="11902" builtinId="8" hidden="1"/>
    <cellStyle name="Hyperlink" xfId="11904" builtinId="8" hidden="1"/>
    <cellStyle name="Hyperlink" xfId="11906" builtinId="8" hidden="1"/>
    <cellStyle name="Hyperlink" xfId="11908" builtinId="8" hidden="1"/>
    <cellStyle name="Hyperlink" xfId="11910" builtinId="8" hidden="1"/>
    <cellStyle name="Hyperlink" xfId="11912" builtinId="8" hidden="1"/>
    <cellStyle name="Hyperlink" xfId="11914" builtinId="8" hidden="1"/>
    <cellStyle name="Hyperlink" xfId="11916" builtinId="8" hidden="1"/>
    <cellStyle name="Hyperlink" xfId="11918" builtinId="8" hidden="1"/>
    <cellStyle name="Hyperlink" xfId="11920" builtinId="8" hidden="1"/>
    <cellStyle name="Hyperlink" xfId="11922" builtinId="8" hidden="1"/>
    <cellStyle name="Hyperlink" xfId="11924" builtinId="8" hidden="1"/>
    <cellStyle name="Hyperlink" xfId="11926" builtinId="8" hidden="1"/>
    <cellStyle name="Hyperlink" xfId="11928" builtinId="8" hidden="1"/>
    <cellStyle name="Hyperlink" xfId="11930" builtinId="8" hidden="1"/>
    <cellStyle name="Hyperlink" xfId="11932" builtinId="8" hidden="1"/>
    <cellStyle name="Hyperlink" xfId="11934" builtinId="8" hidden="1"/>
    <cellStyle name="Hyperlink" xfId="11936" builtinId="8" hidden="1"/>
    <cellStyle name="Hyperlink" xfId="11938" builtinId="8" hidden="1"/>
    <cellStyle name="Hyperlink" xfId="11940" builtinId="8" hidden="1"/>
    <cellStyle name="Hyperlink" xfId="11942" builtinId="8" hidden="1"/>
    <cellStyle name="Hyperlink" xfId="11944" builtinId="8" hidden="1"/>
    <cellStyle name="Hyperlink" xfId="11946" builtinId="8" hidden="1"/>
    <cellStyle name="Hyperlink" xfId="11948" builtinId="8" hidden="1"/>
    <cellStyle name="Hyperlink" xfId="11950" builtinId="8" hidden="1"/>
    <cellStyle name="Hyperlink" xfId="11952" builtinId="8" hidden="1"/>
    <cellStyle name="Hyperlink" xfId="11954" builtinId="8" hidden="1"/>
    <cellStyle name="Hyperlink" xfId="11956" builtinId="8" hidden="1"/>
    <cellStyle name="Hyperlink" xfId="11958" builtinId="8" hidden="1"/>
    <cellStyle name="Hyperlink" xfId="11960" builtinId="8" hidden="1"/>
    <cellStyle name="Hyperlink" xfId="11962" builtinId="8" hidden="1"/>
    <cellStyle name="Hyperlink" xfId="11964" builtinId="8" hidden="1"/>
    <cellStyle name="Hyperlink" xfId="11966" builtinId="8" hidden="1"/>
    <cellStyle name="Hyperlink" xfId="11968" builtinId="8" hidden="1"/>
    <cellStyle name="Hyperlink" xfId="11970" builtinId="8" hidden="1"/>
    <cellStyle name="Hyperlink" xfId="11972" builtinId="8" hidden="1"/>
    <cellStyle name="Hyperlink" xfId="11974" builtinId="8" hidden="1"/>
    <cellStyle name="Hyperlink" xfId="11976" builtinId="8" hidden="1"/>
    <cellStyle name="Hyperlink" xfId="11978" builtinId="8" hidden="1"/>
    <cellStyle name="Hyperlink" xfId="11980" builtinId="8" hidden="1"/>
    <cellStyle name="Hyperlink" xfId="11982" builtinId="8" hidden="1"/>
    <cellStyle name="Hyperlink" xfId="11984" builtinId="8" hidden="1"/>
    <cellStyle name="Hyperlink" xfId="11986" builtinId="8" hidden="1"/>
    <cellStyle name="Hyperlink" xfId="11988" builtinId="8" hidden="1"/>
    <cellStyle name="Hyperlink" xfId="11990" builtinId="8" hidden="1"/>
    <cellStyle name="Hyperlink" xfId="11992" builtinId="8" hidden="1"/>
    <cellStyle name="Hyperlink" xfId="11994" builtinId="8" hidden="1"/>
    <cellStyle name="Hyperlink" xfId="11996" builtinId="8" hidden="1"/>
    <cellStyle name="Hyperlink" xfId="11998" builtinId="8" hidden="1"/>
    <cellStyle name="Hyperlink" xfId="12000" builtinId="8" hidden="1"/>
    <cellStyle name="Hyperlink" xfId="12002" builtinId="8" hidden="1"/>
    <cellStyle name="Hyperlink" xfId="12004" builtinId="8" hidden="1"/>
    <cellStyle name="Hyperlink" xfId="12006" builtinId="8" hidden="1"/>
    <cellStyle name="Hyperlink" xfId="12008" builtinId="8" hidden="1"/>
    <cellStyle name="Hyperlink" xfId="12010" builtinId="8" hidden="1"/>
    <cellStyle name="Hyperlink" xfId="12012" builtinId="8" hidden="1"/>
    <cellStyle name="Hyperlink" xfId="12014" builtinId="8" hidden="1"/>
    <cellStyle name="Hyperlink" xfId="12016" builtinId="8" hidden="1"/>
    <cellStyle name="Hyperlink" xfId="12018" builtinId="8" hidden="1"/>
    <cellStyle name="Hyperlink" xfId="12020" builtinId="8" hidden="1"/>
    <cellStyle name="Hyperlink" xfId="12022" builtinId="8" hidden="1"/>
    <cellStyle name="Hyperlink" xfId="12024" builtinId="8" hidden="1"/>
    <cellStyle name="Hyperlink" xfId="12026" builtinId="8" hidden="1"/>
    <cellStyle name="Hyperlink" xfId="12028" builtinId="8" hidden="1"/>
    <cellStyle name="Hyperlink" xfId="12030" builtinId="8" hidden="1"/>
    <cellStyle name="Hyperlink" xfId="12032" builtinId="8" hidden="1"/>
    <cellStyle name="Hyperlink" xfId="12034" builtinId="8" hidden="1"/>
    <cellStyle name="Hyperlink" xfId="12036" builtinId="8" hidden="1"/>
    <cellStyle name="Hyperlink" xfId="12038" builtinId="8" hidden="1"/>
    <cellStyle name="Hyperlink" xfId="12040" builtinId="8" hidden="1"/>
    <cellStyle name="Hyperlink" xfId="12042" builtinId="8" hidden="1"/>
    <cellStyle name="Hyperlink" xfId="12044" builtinId="8" hidden="1"/>
    <cellStyle name="Hyperlink" xfId="12046" builtinId="8" hidden="1"/>
    <cellStyle name="Hyperlink" xfId="12048" builtinId="8" hidden="1"/>
    <cellStyle name="Hyperlink" xfId="12050" builtinId="8" hidden="1"/>
    <cellStyle name="Hyperlink" xfId="12052" builtinId="8" hidden="1"/>
    <cellStyle name="Hyperlink" xfId="12054" builtinId="8" hidden="1"/>
    <cellStyle name="Hyperlink" xfId="12056" builtinId="8" hidden="1"/>
    <cellStyle name="Hyperlink" xfId="12058" builtinId="8" hidden="1"/>
    <cellStyle name="Hyperlink" xfId="12060" builtinId="8" hidden="1"/>
    <cellStyle name="Hyperlink" xfId="12062" builtinId="8" hidden="1"/>
    <cellStyle name="Hyperlink" xfId="12064" builtinId="8" hidden="1"/>
    <cellStyle name="Hyperlink" xfId="12066" builtinId="8" hidden="1"/>
    <cellStyle name="Hyperlink" xfId="12068" builtinId="8" hidden="1"/>
    <cellStyle name="Hyperlink" xfId="12070" builtinId="8" hidden="1"/>
    <cellStyle name="Hyperlink" xfId="12072" builtinId="8" hidden="1"/>
    <cellStyle name="Hyperlink" xfId="12074" builtinId="8" hidden="1"/>
    <cellStyle name="Hyperlink" xfId="12076" builtinId="8" hidden="1"/>
    <cellStyle name="Hyperlink" xfId="12078" builtinId="8" hidden="1"/>
    <cellStyle name="Hyperlink" xfId="12080" builtinId="8" hidden="1"/>
    <cellStyle name="Hyperlink" xfId="12082" builtinId="8" hidden="1"/>
    <cellStyle name="Hyperlink" xfId="12084" builtinId="8" hidden="1"/>
    <cellStyle name="Hyperlink" xfId="12086" builtinId="8" hidden="1"/>
    <cellStyle name="Hyperlink" xfId="12088" builtinId="8" hidden="1"/>
    <cellStyle name="Hyperlink" xfId="12090" builtinId="8" hidden="1"/>
    <cellStyle name="Hyperlink" xfId="12092" builtinId="8" hidden="1"/>
    <cellStyle name="Hyperlink" xfId="12094" builtinId="8" hidden="1"/>
    <cellStyle name="Hyperlink" xfId="12096" builtinId="8" hidden="1"/>
    <cellStyle name="Hyperlink" xfId="12098" builtinId="8" hidden="1"/>
    <cellStyle name="Hyperlink" xfId="12100" builtinId="8" hidden="1"/>
    <cellStyle name="Hyperlink" xfId="12102" builtinId="8" hidden="1"/>
    <cellStyle name="Hyperlink" xfId="12104" builtinId="8" hidden="1"/>
    <cellStyle name="Hyperlink" xfId="12106" builtinId="8" hidden="1"/>
    <cellStyle name="Hyperlink" xfId="12108" builtinId="8" hidden="1"/>
    <cellStyle name="Hyperlink" xfId="12110" builtinId="8" hidden="1"/>
    <cellStyle name="Hyperlink" xfId="12112" builtinId="8" hidden="1"/>
    <cellStyle name="Hyperlink" xfId="12114" builtinId="8" hidden="1"/>
    <cellStyle name="Hyperlink" xfId="12116" builtinId="8" hidden="1"/>
    <cellStyle name="Hyperlink" xfId="12118" builtinId="8" hidden="1"/>
    <cellStyle name="Hyperlink" xfId="12120" builtinId="8" hidden="1"/>
    <cellStyle name="Hyperlink" xfId="12122" builtinId="8" hidden="1"/>
    <cellStyle name="Hyperlink" xfId="12124" builtinId="8" hidden="1"/>
    <cellStyle name="Hyperlink" xfId="12126" builtinId="8" hidden="1"/>
    <cellStyle name="Hyperlink" xfId="12128" builtinId="8" hidden="1"/>
    <cellStyle name="Hyperlink" xfId="12130" builtinId="8" hidden="1"/>
    <cellStyle name="Hyperlink" xfId="12132" builtinId="8" hidden="1"/>
    <cellStyle name="Hyperlink" xfId="12134" builtinId="8" hidden="1"/>
    <cellStyle name="Hyperlink" xfId="12136" builtinId="8" hidden="1"/>
    <cellStyle name="Hyperlink" xfId="12138" builtinId="8" hidden="1"/>
    <cellStyle name="Hyperlink" xfId="12140" builtinId="8" hidden="1"/>
    <cellStyle name="Hyperlink" xfId="12142" builtinId="8" hidden="1"/>
    <cellStyle name="Hyperlink" xfId="12144" builtinId="8" hidden="1"/>
    <cellStyle name="Hyperlink" xfId="12146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160" builtinId="8" hidden="1"/>
    <cellStyle name="Hyperlink" xfId="12162" builtinId="8" hidden="1"/>
    <cellStyle name="Hyperlink" xfId="12164" builtinId="8" hidden="1"/>
    <cellStyle name="Hyperlink" xfId="12166" builtinId="8" hidden="1"/>
    <cellStyle name="Hyperlink" xfId="12168" builtinId="8" hidden="1"/>
    <cellStyle name="Hyperlink" xfId="12170" builtinId="8" hidden="1"/>
    <cellStyle name="Hyperlink" xfId="12172" builtinId="8" hidden="1"/>
    <cellStyle name="Hyperlink" xfId="12174" builtinId="8" hidden="1"/>
    <cellStyle name="Hyperlink" xfId="12176" builtinId="8" hidden="1"/>
    <cellStyle name="Hyperlink" xfId="12178" builtinId="8" hidden="1"/>
    <cellStyle name="Hyperlink" xfId="12180" builtinId="8" hidden="1"/>
    <cellStyle name="Hyperlink" xfId="12182" builtinId="8" hidden="1"/>
    <cellStyle name="Hyperlink" xfId="12184" builtinId="8" hidden="1"/>
    <cellStyle name="Hyperlink" xfId="12186" builtinId="8" hidden="1"/>
    <cellStyle name="Hyperlink" xfId="12188" builtinId="8" hidden="1"/>
    <cellStyle name="Hyperlink" xfId="12190" builtinId="8" hidden="1"/>
    <cellStyle name="Hyperlink" xfId="12192" builtinId="8" hidden="1"/>
    <cellStyle name="Hyperlink" xfId="12194" builtinId="8" hidden="1"/>
    <cellStyle name="Hyperlink" xfId="12196" builtinId="8" hidden="1"/>
    <cellStyle name="Hyperlink" xfId="12198" builtinId="8" hidden="1"/>
    <cellStyle name="Hyperlink" xfId="12200" builtinId="8" hidden="1"/>
    <cellStyle name="Hyperlink" xfId="12202" builtinId="8" hidden="1"/>
    <cellStyle name="Hyperlink" xfId="12204" builtinId="8" hidden="1"/>
    <cellStyle name="Hyperlink" xfId="12206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312" builtinId="8" hidden="1"/>
    <cellStyle name="Hyperlink" xfId="12314" builtinId="8" hidden="1"/>
    <cellStyle name="Hyperlink" xfId="12316" builtinId="8" hidden="1"/>
    <cellStyle name="Hyperlink" xfId="12318" builtinId="8" hidden="1"/>
    <cellStyle name="Hyperlink" xfId="12320" builtinId="8" hidden="1"/>
    <cellStyle name="Hyperlink" xfId="12322" builtinId="8" hidden="1"/>
    <cellStyle name="Hyperlink" xfId="12324" builtinId="8" hidden="1"/>
    <cellStyle name="Hyperlink" xfId="12326" builtinId="8" hidden="1"/>
    <cellStyle name="Hyperlink" xfId="12328" builtinId="8" hidden="1"/>
    <cellStyle name="Hyperlink" xfId="12330" builtinId="8" hidden="1"/>
    <cellStyle name="Hyperlink" xfId="12332" builtinId="8" hidden="1"/>
    <cellStyle name="Hyperlink" xfId="12334" builtinId="8" hidden="1"/>
    <cellStyle name="Hyperlink" xfId="12336" builtinId="8" hidden="1"/>
    <cellStyle name="Hyperlink" xfId="12338" builtinId="8" hidden="1"/>
    <cellStyle name="Hyperlink" xfId="12340" builtinId="8" hidden="1"/>
    <cellStyle name="Hyperlink" xfId="12342" builtinId="8" hidden="1"/>
    <cellStyle name="Hyperlink" xfId="12344" builtinId="8" hidden="1"/>
    <cellStyle name="Hyperlink" xfId="12346" builtinId="8" hidden="1"/>
    <cellStyle name="Hyperlink" xfId="12348" builtinId="8" hidden="1"/>
    <cellStyle name="Hyperlink" xfId="12350" builtinId="8" hidden="1"/>
    <cellStyle name="Hyperlink" xfId="12352" builtinId="8" hidden="1"/>
    <cellStyle name="Hyperlink" xfId="12354" builtinId="8" hidden="1"/>
    <cellStyle name="Hyperlink" xfId="12356" builtinId="8" hidden="1"/>
    <cellStyle name="Hyperlink" xfId="12358" builtinId="8" hidden="1"/>
    <cellStyle name="Hyperlink" xfId="12360" builtinId="8" hidden="1"/>
    <cellStyle name="Hyperlink" xfId="12362" builtinId="8" hidden="1"/>
    <cellStyle name="Hyperlink" xfId="12364" builtinId="8" hidden="1"/>
    <cellStyle name="Hyperlink" xfId="12366" builtinId="8" hidden="1"/>
    <cellStyle name="Hyperlink" xfId="12368" builtinId="8" hidden="1"/>
    <cellStyle name="Hyperlink" xfId="12370" builtinId="8" hidden="1"/>
    <cellStyle name="Hyperlink" xfId="12372" builtinId="8" hidden="1"/>
    <cellStyle name="Hyperlink" xfId="12374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480" builtinId="8" hidden="1"/>
    <cellStyle name="Hyperlink" xfId="12482" builtinId="8" hidden="1"/>
    <cellStyle name="Hyperlink" xfId="12484" builtinId="8" hidden="1"/>
    <cellStyle name="Hyperlink" xfId="12486" builtinId="8" hidden="1"/>
    <cellStyle name="Hyperlink" xfId="12488" builtinId="8" hidden="1"/>
    <cellStyle name="Hyperlink" xfId="12490" builtinId="8" hidden="1"/>
    <cellStyle name="Hyperlink" xfId="12492" builtinId="8" hidden="1"/>
    <cellStyle name="Hyperlink" xfId="12494" builtinId="8" hidden="1"/>
    <cellStyle name="Hyperlink" xfId="12496" builtinId="8" hidden="1"/>
    <cellStyle name="Hyperlink" xfId="12498" builtinId="8" hidden="1"/>
    <cellStyle name="Hyperlink" xfId="12500" builtinId="8" hidden="1"/>
    <cellStyle name="Hyperlink" xfId="12502" builtinId="8" hidden="1"/>
    <cellStyle name="Hyperlink" xfId="12504" builtinId="8" hidden="1"/>
    <cellStyle name="Hyperlink" xfId="12506" builtinId="8" hidden="1"/>
    <cellStyle name="Hyperlink" xfId="12508" builtinId="8" hidden="1"/>
    <cellStyle name="Hyperlink" xfId="12510" builtinId="8" hidden="1"/>
    <cellStyle name="Hyperlink" xfId="12512" builtinId="8" hidden="1"/>
    <cellStyle name="Hyperlink" xfId="12514" builtinId="8" hidden="1"/>
    <cellStyle name="Hyperlink" xfId="12516" builtinId="8" hidden="1"/>
    <cellStyle name="Hyperlink" xfId="12518" builtinId="8" hidden="1"/>
    <cellStyle name="Hyperlink" xfId="12520" builtinId="8" hidden="1"/>
    <cellStyle name="Hyperlink" xfId="12522" builtinId="8" hidden="1"/>
    <cellStyle name="Hyperlink" xfId="12524" builtinId="8" hidden="1"/>
    <cellStyle name="Hyperlink" xfId="12526" builtinId="8" hidden="1"/>
    <cellStyle name="Hyperlink" xfId="12528" builtinId="8" hidden="1"/>
    <cellStyle name="Hyperlink" xfId="12530" builtinId="8" hidden="1"/>
    <cellStyle name="Hyperlink" xfId="12532" builtinId="8" hidden="1"/>
    <cellStyle name="Hyperlink" xfId="12534" builtinId="8" hidden="1"/>
    <cellStyle name="Hyperlink" xfId="12536" builtinId="8" hidden="1"/>
    <cellStyle name="Hyperlink" xfId="12538" builtinId="8" hidden="1"/>
    <cellStyle name="Hyperlink" xfId="12540" builtinId="8" hidden="1"/>
    <cellStyle name="Hyperlink" xfId="12542" builtinId="8" hidden="1"/>
    <cellStyle name="Hyperlink" xfId="12544" builtinId="8" hidden="1"/>
    <cellStyle name="Hyperlink" xfId="12546" builtinId="8" hidden="1"/>
    <cellStyle name="Hyperlink" xfId="12548" builtinId="8" hidden="1"/>
    <cellStyle name="Hyperlink" xfId="12550" builtinId="8" hidden="1"/>
    <cellStyle name="Hyperlink" xfId="12552" builtinId="8" hidden="1"/>
    <cellStyle name="Hyperlink" xfId="12554" builtinId="8" hidden="1"/>
    <cellStyle name="Hyperlink" xfId="12556" builtinId="8" hidden="1"/>
    <cellStyle name="Hyperlink" xfId="12558" builtinId="8" hidden="1"/>
    <cellStyle name="Hyperlink" xfId="12560" builtinId="8" hidden="1"/>
    <cellStyle name="Hyperlink" xfId="12562" builtinId="8" hidden="1"/>
    <cellStyle name="Hyperlink" xfId="12564" builtinId="8" hidden="1"/>
    <cellStyle name="Hyperlink" xfId="12566" builtinId="8" hidden="1"/>
    <cellStyle name="Hyperlink" xfId="12568" builtinId="8" hidden="1"/>
    <cellStyle name="Hyperlink" xfId="12570" builtinId="8" hidden="1"/>
    <cellStyle name="Hyperlink" xfId="12572" builtinId="8" hidden="1"/>
    <cellStyle name="Hyperlink" xfId="12574" builtinId="8" hidden="1"/>
    <cellStyle name="Hyperlink" xfId="12576" builtinId="8" hidden="1"/>
    <cellStyle name="Hyperlink" xfId="12578" builtinId="8" hidden="1"/>
    <cellStyle name="Hyperlink" xfId="12580" builtinId="8" hidden="1"/>
    <cellStyle name="Hyperlink" xfId="12582" builtinId="8" hidden="1"/>
    <cellStyle name="Hyperlink" xfId="12584" builtinId="8" hidden="1"/>
    <cellStyle name="Hyperlink" xfId="12586" builtinId="8" hidden="1"/>
    <cellStyle name="Hyperlink" xfId="12588" builtinId="8" hidden="1"/>
    <cellStyle name="Hyperlink" xfId="12590" builtinId="8" hidden="1"/>
    <cellStyle name="Hyperlink" xfId="12592" builtinId="8" hidden="1"/>
    <cellStyle name="Hyperlink" xfId="12594" builtinId="8" hidden="1"/>
    <cellStyle name="Hyperlink" xfId="12596" builtinId="8" hidden="1"/>
    <cellStyle name="Hyperlink" xfId="12598" builtinId="8" hidden="1"/>
    <cellStyle name="Hyperlink" xfId="12600" builtinId="8" hidden="1"/>
    <cellStyle name="Hyperlink" xfId="12602" builtinId="8" hidden="1"/>
    <cellStyle name="Hyperlink" xfId="12604" builtinId="8" hidden="1"/>
    <cellStyle name="Hyperlink" xfId="12606" builtinId="8" hidden="1"/>
    <cellStyle name="Hyperlink" xfId="12608" builtinId="8" hidden="1"/>
    <cellStyle name="Hyperlink" xfId="12610" builtinId="8" hidden="1"/>
    <cellStyle name="Hyperlink" xfId="12612" builtinId="8" hidden="1"/>
    <cellStyle name="Hyperlink" xfId="12614" builtinId="8" hidden="1"/>
    <cellStyle name="Hyperlink" xfId="12616" builtinId="8" hidden="1"/>
    <cellStyle name="Hyperlink" xfId="12618" builtinId="8" hidden="1"/>
    <cellStyle name="Hyperlink" xfId="12620" builtinId="8" hidden="1"/>
    <cellStyle name="Hyperlink" xfId="12622" builtinId="8" hidden="1"/>
    <cellStyle name="Hyperlink" xfId="12624" builtinId="8" hidden="1"/>
    <cellStyle name="Hyperlink" xfId="12626" builtinId="8" hidden="1"/>
    <cellStyle name="Hyperlink" xfId="12628" builtinId="8" hidden="1"/>
    <cellStyle name="Hyperlink" xfId="12630" builtinId="8" hidden="1"/>
    <cellStyle name="Hyperlink" xfId="12632" builtinId="8" hidden="1"/>
    <cellStyle name="Hyperlink" xfId="12634" builtinId="8" hidden="1"/>
    <cellStyle name="Hyperlink" xfId="12636" builtinId="8" hidden="1"/>
    <cellStyle name="Hyperlink" xfId="12638" builtinId="8" hidden="1"/>
    <cellStyle name="Hyperlink" xfId="12640" builtinId="8" hidden="1"/>
    <cellStyle name="Hyperlink" xfId="12642" builtinId="8" hidden="1"/>
    <cellStyle name="Hyperlink" xfId="12644" builtinId="8" hidden="1"/>
    <cellStyle name="Hyperlink" xfId="12646" builtinId="8" hidden="1"/>
    <cellStyle name="Hyperlink" xfId="12648" builtinId="8" hidden="1"/>
    <cellStyle name="Hyperlink" xfId="12650" builtinId="8" hidden="1"/>
    <cellStyle name="Hyperlink" xfId="12652" builtinId="8" hidden="1"/>
    <cellStyle name="Hyperlink" xfId="12654" builtinId="8" hidden="1"/>
    <cellStyle name="Hyperlink" xfId="12656" builtinId="8" hidden="1"/>
    <cellStyle name="Hyperlink" xfId="12658" builtinId="8" hidden="1"/>
    <cellStyle name="Hyperlink" xfId="12660" builtinId="8" hidden="1"/>
    <cellStyle name="Hyperlink" xfId="12662" builtinId="8" hidden="1"/>
    <cellStyle name="Hyperlink" xfId="12664" builtinId="8" hidden="1"/>
    <cellStyle name="Hyperlink" xfId="12666" builtinId="8" hidden="1"/>
    <cellStyle name="Hyperlink" xfId="12668" builtinId="8" hidden="1"/>
    <cellStyle name="Hyperlink" xfId="12670" builtinId="8" hidden="1"/>
    <cellStyle name="Hyperlink" xfId="12672" builtinId="8" hidden="1"/>
    <cellStyle name="Hyperlink" xfId="12674" builtinId="8" hidden="1"/>
    <cellStyle name="Hyperlink" xfId="12676" builtinId="8" hidden="1"/>
    <cellStyle name="Hyperlink" xfId="12678" builtinId="8" hidden="1"/>
    <cellStyle name="Hyperlink" xfId="12680" builtinId="8" hidden="1"/>
    <cellStyle name="Hyperlink" xfId="12682" builtinId="8" hidden="1"/>
    <cellStyle name="Hyperlink" xfId="12684" builtinId="8" hidden="1"/>
    <cellStyle name="Hyperlink" xfId="12686" builtinId="8" hidden="1"/>
    <cellStyle name="Hyperlink" xfId="12688" builtinId="8" hidden="1"/>
    <cellStyle name="Hyperlink" xfId="12690" builtinId="8" hidden="1"/>
    <cellStyle name="Hyperlink" xfId="12692" builtinId="8" hidden="1"/>
    <cellStyle name="Hyperlink" xfId="12694" builtinId="8" hidden="1"/>
    <cellStyle name="Hyperlink" xfId="12696" builtinId="8" hidden="1"/>
    <cellStyle name="Hyperlink" xfId="12698" builtinId="8" hidden="1"/>
    <cellStyle name="Hyperlink" xfId="12700" builtinId="8" hidden="1"/>
    <cellStyle name="Hyperlink" xfId="12702" builtinId="8" hidden="1"/>
    <cellStyle name="Hyperlink" xfId="12704" builtinId="8" hidden="1"/>
    <cellStyle name="Hyperlink" xfId="12706" builtinId="8" hidden="1"/>
    <cellStyle name="Hyperlink" xfId="12708" builtinId="8" hidden="1"/>
    <cellStyle name="Hyperlink" xfId="12710" builtinId="8" hidden="1"/>
    <cellStyle name="Hyperlink" xfId="12712" builtinId="8" hidden="1"/>
    <cellStyle name="Hyperlink" xfId="12714" builtinId="8" hidden="1"/>
    <cellStyle name="Hyperlink" xfId="12716" builtinId="8" hidden="1"/>
    <cellStyle name="Hyperlink" xfId="12718" builtinId="8" hidden="1"/>
    <cellStyle name="Hyperlink" xfId="12720" builtinId="8" hidden="1"/>
    <cellStyle name="Hyperlink" xfId="12722" builtinId="8" hidden="1"/>
    <cellStyle name="Hyperlink" xfId="12724" builtinId="8" hidden="1"/>
    <cellStyle name="Hyperlink" xfId="12726" builtinId="8" hidden="1"/>
    <cellStyle name="Hyperlink" xfId="12728" builtinId="8" hidden="1"/>
    <cellStyle name="Hyperlink" xfId="12730" builtinId="8" hidden="1"/>
    <cellStyle name="Hyperlink" xfId="12732" builtinId="8" hidden="1"/>
    <cellStyle name="Hyperlink" xfId="12734" builtinId="8" hidden="1"/>
    <cellStyle name="Hyperlink" xfId="12736" builtinId="8" hidden="1"/>
    <cellStyle name="Hyperlink" xfId="12738" builtinId="8" hidden="1"/>
    <cellStyle name="Hyperlink" xfId="12740" builtinId="8" hidden="1"/>
    <cellStyle name="Hyperlink" xfId="12742" builtinId="8" hidden="1"/>
    <cellStyle name="Hyperlink" xfId="12744" builtinId="8" hidden="1"/>
    <cellStyle name="Hyperlink" xfId="12746" builtinId="8" hidden="1"/>
    <cellStyle name="Hyperlink" xfId="12748" builtinId="8" hidden="1"/>
    <cellStyle name="Hyperlink" xfId="12750" builtinId="8" hidden="1"/>
    <cellStyle name="Hyperlink" xfId="12752" builtinId="8" hidden="1"/>
    <cellStyle name="Hyperlink" xfId="12754" builtinId="8" hidden="1"/>
    <cellStyle name="Hyperlink" xfId="12756" builtinId="8" hidden="1"/>
    <cellStyle name="Hyperlink" xfId="12758" builtinId="8" hidden="1"/>
    <cellStyle name="Hyperlink" xfId="12760" builtinId="8" hidden="1"/>
    <cellStyle name="Hyperlink" xfId="12762" builtinId="8" hidden="1"/>
    <cellStyle name="Hyperlink" xfId="12764" builtinId="8" hidden="1"/>
    <cellStyle name="Hyperlink" xfId="12766" builtinId="8" hidden="1"/>
    <cellStyle name="Hyperlink" xfId="12768" builtinId="8" hidden="1"/>
    <cellStyle name="Hyperlink" xfId="12770" builtinId="8" hidden="1"/>
    <cellStyle name="Hyperlink" xfId="12772" builtinId="8" hidden="1"/>
    <cellStyle name="Hyperlink" xfId="12774" builtinId="8" hidden="1"/>
    <cellStyle name="Hyperlink" xfId="12776" builtinId="8" hidden="1"/>
    <cellStyle name="Hyperlink" xfId="12778" builtinId="8" hidden="1"/>
    <cellStyle name="Hyperlink" xfId="12780" builtinId="8" hidden="1"/>
    <cellStyle name="Hyperlink" xfId="12782" builtinId="8" hidden="1"/>
    <cellStyle name="Hyperlink" xfId="12784" builtinId="8" hidden="1"/>
    <cellStyle name="Hyperlink" xfId="12786" builtinId="8" hidden="1"/>
    <cellStyle name="Hyperlink" xfId="12788" builtinId="8" hidden="1"/>
    <cellStyle name="Hyperlink" xfId="12790" builtinId="8" hidden="1"/>
    <cellStyle name="Hyperlink" xfId="12792" builtinId="8" hidden="1"/>
    <cellStyle name="Hyperlink" xfId="12794" builtinId="8" hidden="1"/>
    <cellStyle name="Hyperlink" xfId="12796" builtinId="8" hidden="1"/>
    <cellStyle name="Hyperlink" xfId="12798" builtinId="8" hidden="1"/>
    <cellStyle name="Hyperlink" xfId="12800" builtinId="8" hidden="1"/>
    <cellStyle name="Hyperlink" xfId="12802" builtinId="8" hidden="1"/>
    <cellStyle name="Hyperlink" xfId="12804" builtinId="8" hidden="1"/>
    <cellStyle name="Hyperlink" xfId="12806" builtinId="8" hidden="1"/>
    <cellStyle name="Hyperlink" xfId="12808" builtinId="8" hidden="1"/>
    <cellStyle name="Hyperlink" xfId="12810" builtinId="8" hidden="1"/>
    <cellStyle name="Hyperlink" xfId="12812" builtinId="8" hidden="1"/>
    <cellStyle name="Hyperlink" xfId="12814" builtinId="8" hidden="1"/>
    <cellStyle name="Hyperlink" xfId="12816" builtinId="8" hidden="1"/>
    <cellStyle name="Hyperlink" xfId="12818" builtinId="8" hidden="1"/>
    <cellStyle name="Hyperlink" xfId="12820" builtinId="8" hidden="1"/>
    <cellStyle name="Hyperlink" xfId="12822" builtinId="8" hidden="1"/>
    <cellStyle name="Hyperlink" xfId="12824" builtinId="8" hidden="1"/>
    <cellStyle name="Hyperlink" xfId="12826" builtinId="8" hidden="1"/>
    <cellStyle name="Hyperlink" xfId="12828" builtinId="8" hidden="1"/>
    <cellStyle name="Hyperlink" xfId="12830" builtinId="8" hidden="1"/>
    <cellStyle name="Hyperlink" xfId="12832" builtinId="8" hidden="1"/>
    <cellStyle name="Hyperlink" xfId="12834" builtinId="8" hidden="1"/>
    <cellStyle name="Hyperlink" xfId="12836" builtinId="8" hidden="1"/>
    <cellStyle name="Hyperlink" xfId="12838" builtinId="8" hidden="1"/>
    <cellStyle name="Hyperlink" xfId="12840" builtinId="8" hidden="1"/>
    <cellStyle name="Hyperlink" xfId="12842" builtinId="8" hidden="1"/>
    <cellStyle name="Hyperlink" xfId="12844" builtinId="8" hidden="1"/>
    <cellStyle name="Hyperlink" xfId="12846" builtinId="8" hidden="1"/>
    <cellStyle name="Hyperlink" xfId="12848" builtinId="8" hidden="1"/>
    <cellStyle name="Hyperlink" xfId="12850" builtinId="8" hidden="1"/>
    <cellStyle name="Hyperlink" xfId="12852" builtinId="8" hidden="1"/>
    <cellStyle name="Hyperlink" xfId="12854" builtinId="8" hidden="1"/>
    <cellStyle name="Hyperlink" xfId="12856" builtinId="8" hidden="1"/>
    <cellStyle name="Hyperlink" xfId="12858" builtinId="8" hidden="1"/>
    <cellStyle name="Hyperlink" xfId="12860" builtinId="8" hidden="1"/>
    <cellStyle name="Hyperlink" xfId="12862" builtinId="8" hidden="1"/>
    <cellStyle name="Hyperlink" xfId="12864" builtinId="8" hidden="1"/>
    <cellStyle name="Hyperlink" xfId="12866" builtinId="8" hidden="1"/>
    <cellStyle name="Hyperlink" xfId="12868" builtinId="8" hidden="1"/>
    <cellStyle name="Hyperlink" xfId="12870" builtinId="8" hidden="1"/>
    <cellStyle name="Hyperlink" xfId="12872" builtinId="8" hidden="1"/>
    <cellStyle name="Hyperlink" xfId="12874" builtinId="8" hidden="1"/>
    <cellStyle name="Hyperlink" xfId="12876" builtinId="8" hidden="1"/>
    <cellStyle name="Hyperlink" xfId="12878" builtinId="8" hidden="1"/>
    <cellStyle name="Hyperlink" xfId="12880" builtinId="8" hidden="1"/>
    <cellStyle name="Hyperlink" xfId="12882" builtinId="8" hidden="1"/>
    <cellStyle name="Hyperlink" xfId="12884" builtinId="8" hidden="1"/>
    <cellStyle name="Hyperlink" xfId="12886" builtinId="8" hidden="1"/>
    <cellStyle name="Hyperlink" xfId="12888" builtinId="8" hidden="1"/>
    <cellStyle name="Hyperlink" xfId="12890" builtinId="8" hidden="1"/>
    <cellStyle name="Hyperlink" xfId="12892" builtinId="8" hidden="1"/>
    <cellStyle name="Hyperlink" xfId="12894" builtinId="8" hidden="1"/>
    <cellStyle name="Hyperlink" xfId="12896" builtinId="8" hidden="1"/>
    <cellStyle name="Hyperlink" xfId="12898" builtinId="8" hidden="1"/>
    <cellStyle name="Hyperlink" xfId="12900" builtinId="8" hidden="1"/>
    <cellStyle name="Hyperlink" xfId="12902" builtinId="8" hidden="1"/>
    <cellStyle name="Hyperlink" xfId="12904" builtinId="8" hidden="1"/>
    <cellStyle name="Hyperlink" xfId="12906" builtinId="8" hidden="1"/>
    <cellStyle name="Hyperlink" xfId="12908" builtinId="8" hidden="1"/>
    <cellStyle name="Hyperlink" xfId="12910" builtinId="8" hidden="1"/>
    <cellStyle name="Hyperlink" xfId="12912" builtinId="8" hidden="1"/>
    <cellStyle name="Hyperlink" xfId="12914" builtinId="8" hidden="1"/>
    <cellStyle name="Hyperlink" xfId="12916" builtinId="8" hidden="1"/>
    <cellStyle name="Hyperlink" xfId="12918" builtinId="8" hidden="1"/>
    <cellStyle name="Hyperlink" xfId="12920" builtinId="8" hidden="1"/>
    <cellStyle name="Hyperlink" xfId="12922" builtinId="8" hidden="1"/>
    <cellStyle name="Hyperlink" xfId="12924" builtinId="8" hidden="1"/>
    <cellStyle name="Hyperlink" xfId="12926" builtinId="8" hidden="1"/>
    <cellStyle name="Hyperlink" xfId="12928" builtinId="8" hidden="1"/>
    <cellStyle name="Hyperlink" xfId="12930" builtinId="8" hidden="1"/>
    <cellStyle name="Hyperlink" xfId="12932" builtinId="8" hidden="1"/>
    <cellStyle name="Hyperlink" xfId="12934" builtinId="8" hidden="1"/>
    <cellStyle name="Hyperlink" xfId="12936" builtinId="8" hidden="1"/>
    <cellStyle name="Hyperlink" xfId="12938" builtinId="8" hidden="1"/>
    <cellStyle name="Hyperlink" xfId="12940" builtinId="8" hidden="1"/>
    <cellStyle name="Hyperlink" xfId="12942" builtinId="8" hidden="1"/>
    <cellStyle name="Hyperlink" xfId="12944" builtinId="8" hidden="1"/>
    <cellStyle name="Hyperlink" xfId="12946" builtinId="8" hidden="1"/>
    <cellStyle name="Hyperlink" xfId="12948" builtinId="8" hidden="1"/>
    <cellStyle name="Hyperlink" xfId="12950" builtinId="8" hidden="1"/>
    <cellStyle name="Hyperlink" xfId="12952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2966" builtinId="8" hidden="1"/>
    <cellStyle name="Hyperlink" xfId="12968" builtinId="8" hidden="1"/>
    <cellStyle name="Hyperlink" xfId="12970" builtinId="8" hidden="1"/>
    <cellStyle name="Hyperlink" xfId="12972" builtinId="8" hidden="1"/>
    <cellStyle name="Hyperlink" xfId="12974" builtinId="8" hidden="1"/>
    <cellStyle name="Hyperlink" xfId="12976" builtinId="8" hidden="1"/>
    <cellStyle name="Hyperlink" xfId="12978" builtinId="8" hidden="1"/>
    <cellStyle name="Hyperlink" xfId="12980" builtinId="8" hidden="1"/>
    <cellStyle name="Hyperlink" xfId="12982" builtinId="8" hidden="1"/>
    <cellStyle name="Hyperlink" xfId="12984" builtinId="8" hidden="1"/>
    <cellStyle name="Hyperlink" xfId="12986" builtinId="8" hidden="1"/>
    <cellStyle name="Hyperlink" xfId="12988" builtinId="8" hidden="1"/>
    <cellStyle name="Hyperlink" xfId="12990" builtinId="8" hidden="1"/>
    <cellStyle name="Hyperlink" xfId="12992" builtinId="8" hidden="1"/>
    <cellStyle name="Hyperlink" xfId="12994" builtinId="8" hidden="1"/>
    <cellStyle name="Hyperlink" xfId="12996" builtinId="8" hidden="1"/>
    <cellStyle name="Hyperlink" xfId="12998" builtinId="8" hidden="1"/>
    <cellStyle name="Hyperlink" xfId="13000" builtinId="8" hidden="1"/>
    <cellStyle name="Hyperlink" xfId="13002" builtinId="8" hidden="1"/>
    <cellStyle name="Hyperlink" xfId="13004" builtinId="8" hidden="1"/>
    <cellStyle name="Hyperlink" xfId="13006" builtinId="8" hidden="1"/>
    <cellStyle name="Hyperlink" xfId="13008" builtinId="8" hidden="1"/>
    <cellStyle name="Hyperlink" xfId="13010" builtinId="8" hidden="1"/>
    <cellStyle name="Hyperlink" xfId="13012" builtinId="8" hidden="1"/>
    <cellStyle name="Hyperlink" xfId="13014" builtinId="8" hidden="1"/>
    <cellStyle name="Hyperlink" xfId="13016" builtinId="8" hidden="1"/>
    <cellStyle name="Hyperlink" xfId="13018" builtinId="8" hidden="1"/>
    <cellStyle name="Hyperlink" xfId="13020" builtinId="8" hidden="1"/>
    <cellStyle name="Hyperlink" xfId="13022" builtinId="8" hidden="1"/>
    <cellStyle name="Hyperlink" xfId="13024" builtinId="8" hidden="1"/>
    <cellStyle name="Hyperlink" xfId="13026" builtinId="8" hidden="1"/>
    <cellStyle name="Hyperlink" xfId="13028" builtinId="8" hidden="1"/>
    <cellStyle name="Hyperlink" xfId="13030" builtinId="8" hidden="1"/>
    <cellStyle name="Hyperlink" xfId="13032" builtinId="8" hidden="1"/>
    <cellStyle name="Hyperlink" xfId="13034" builtinId="8" hidden="1"/>
    <cellStyle name="Hyperlink" xfId="13036" builtinId="8" hidden="1"/>
    <cellStyle name="Hyperlink" xfId="13038" builtinId="8" hidden="1"/>
    <cellStyle name="Hyperlink" xfId="13040" builtinId="8" hidden="1"/>
    <cellStyle name="Hyperlink" xfId="13042" builtinId="8" hidden="1"/>
    <cellStyle name="Hyperlink" xfId="13044" builtinId="8" hidden="1"/>
    <cellStyle name="Hyperlink" xfId="13046" builtinId="8" hidden="1"/>
    <cellStyle name="Hyperlink" xfId="13048" builtinId="8" hidden="1"/>
    <cellStyle name="Hyperlink" xfId="13050" builtinId="8" hidden="1"/>
    <cellStyle name="Hyperlink" xfId="13052" builtinId="8" hidden="1"/>
    <cellStyle name="Hyperlink" xfId="13054" builtinId="8" hidden="1"/>
    <cellStyle name="Hyperlink" xfId="13056" builtinId="8" hidden="1"/>
    <cellStyle name="Hyperlink" xfId="13058" builtinId="8" hidden="1"/>
    <cellStyle name="Hyperlink" xfId="13060" builtinId="8" hidden="1"/>
    <cellStyle name="Hyperlink" xfId="13062" builtinId="8" hidden="1"/>
    <cellStyle name="Hyperlink" xfId="13064" builtinId="8" hidden="1"/>
    <cellStyle name="Hyperlink" xfId="13066" builtinId="8" hidden="1"/>
    <cellStyle name="Hyperlink" xfId="13068" builtinId="8" hidden="1"/>
    <cellStyle name="Hyperlink" xfId="13070" builtinId="8" hidden="1"/>
    <cellStyle name="Hyperlink" xfId="13072" builtinId="8" hidden="1"/>
    <cellStyle name="Hyperlink" xfId="13074" builtinId="8" hidden="1"/>
    <cellStyle name="Hyperlink" xfId="13076" builtinId="8" hidden="1"/>
    <cellStyle name="Hyperlink" xfId="13078" builtinId="8" hidden="1"/>
    <cellStyle name="Hyperlink" xfId="13080" builtinId="8" hidden="1"/>
    <cellStyle name="Hyperlink" xfId="13082" builtinId="8" hidden="1"/>
    <cellStyle name="Hyperlink" xfId="13084" builtinId="8" hidden="1"/>
    <cellStyle name="Hyperlink" xfId="13086" builtinId="8" hidden="1"/>
    <cellStyle name="Hyperlink" xfId="13088" builtinId="8" hidden="1"/>
    <cellStyle name="Hyperlink" xfId="13090" builtinId="8" hidden="1"/>
    <cellStyle name="Hyperlink" xfId="13092" builtinId="8" hidden="1"/>
    <cellStyle name="Hyperlink" xfId="13094" builtinId="8" hidden="1"/>
    <cellStyle name="Hyperlink" xfId="13096" builtinId="8" hidden="1"/>
    <cellStyle name="Hyperlink" xfId="13098" builtinId="8" hidden="1"/>
    <cellStyle name="Hyperlink" xfId="13100" builtinId="8" hidden="1"/>
    <cellStyle name="Hyperlink" xfId="13102" builtinId="8" hidden="1"/>
    <cellStyle name="Hyperlink" xfId="13104" builtinId="8" hidden="1"/>
    <cellStyle name="Hyperlink" xfId="13106" builtinId="8" hidden="1"/>
    <cellStyle name="Hyperlink" xfId="13108" builtinId="8" hidden="1"/>
    <cellStyle name="Hyperlink" xfId="13110" builtinId="8" hidden="1"/>
    <cellStyle name="Hyperlink" xfId="13112" builtinId="8" hidden="1"/>
    <cellStyle name="Hyperlink" xfId="13114" builtinId="8" hidden="1"/>
    <cellStyle name="Hyperlink" xfId="13116" builtinId="8" hidden="1"/>
    <cellStyle name="Hyperlink" xfId="13118" builtinId="8" hidden="1"/>
    <cellStyle name="Hyperlink" xfId="13120" builtinId="8" hidden="1"/>
    <cellStyle name="Hyperlink" xfId="13122" builtinId="8" hidden="1"/>
    <cellStyle name="Hyperlink" xfId="13124" builtinId="8" hidden="1"/>
    <cellStyle name="Hyperlink" xfId="13126" builtinId="8" hidden="1"/>
    <cellStyle name="Hyperlink" xfId="13128" builtinId="8" hidden="1"/>
    <cellStyle name="Hyperlink" xfId="13130" builtinId="8" hidden="1"/>
    <cellStyle name="Hyperlink" xfId="13132" builtinId="8" hidden="1"/>
    <cellStyle name="Hyperlink" xfId="13134" builtinId="8" hidden="1"/>
    <cellStyle name="Hyperlink" xfId="13136" builtinId="8" hidden="1"/>
    <cellStyle name="Hyperlink" xfId="13138" builtinId="8" hidden="1"/>
    <cellStyle name="Hyperlink" xfId="13140" builtinId="8" hidden="1"/>
    <cellStyle name="Hyperlink" xfId="13142" builtinId="8" hidden="1"/>
    <cellStyle name="Hyperlink" xfId="13144" builtinId="8" hidden="1"/>
    <cellStyle name="Hyperlink" xfId="13146" builtinId="8" hidden="1"/>
    <cellStyle name="Hyperlink" xfId="13148" builtinId="8" hidden="1"/>
    <cellStyle name="Hyperlink" xfId="13150" builtinId="8" hidden="1"/>
    <cellStyle name="Hyperlink" xfId="13152" builtinId="8" hidden="1"/>
    <cellStyle name="Hyperlink" xfId="13154" builtinId="8" hidden="1"/>
    <cellStyle name="Hyperlink" xfId="13156" builtinId="8" hidden="1"/>
    <cellStyle name="Hyperlink" xfId="13158" builtinId="8" hidden="1"/>
    <cellStyle name="Hyperlink" xfId="13160" builtinId="8" hidden="1"/>
    <cellStyle name="Hyperlink" xfId="13162" builtinId="8" hidden="1"/>
    <cellStyle name="Hyperlink" xfId="13164" builtinId="8" hidden="1"/>
    <cellStyle name="Hyperlink" xfId="13166" builtinId="8" hidden="1"/>
    <cellStyle name="Hyperlink" xfId="13168" builtinId="8" hidden="1"/>
    <cellStyle name="Hyperlink" xfId="13170" builtinId="8" hidden="1"/>
    <cellStyle name="Hyperlink" xfId="13172" builtinId="8" hidden="1"/>
    <cellStyle name="Hyperlink" xfId="13174" builtinId="8" hidden="1"/>
    <cellStyle name="Hyperlink" xfId="13176" builtinId="8" hidden="1"/>
    <cellStyle name="Hyperlink" xfId="13178" builtinId="8" hidden="1"/>
    <cellStyle name="Hyperlink" xfId="13180" builtinId="8" hidden="1"/>
    <cellStyle name="Hyperlink" xfId="13182" builtinId="8" hidden="1"/>
    <cellStyle name="Hyperlink" xfId="13184" builtinId="8" hidden="1"/>
    <cellStyle name="Hyperlink" xfId="13186" builtinId="8" hidden="1"/>
    <cellStyle name="Hyperlink" xfId="13188" builtinId="8" hidden="1"/>
    <cellStyle name="Hyperlink" xfId="13190" builtinId="8" hidden="1"/>
    <cellStyle name="Hyperlink" xfId="13192" builtinId="8" hidden="1"/>
    <cellStyle name="Hyperlink" xfId="13194" builtinId="8" hidden="1"/>
    <cellStyle name="Hyperlink" xfId="13196" builtinId="8" hidden="1"/>
    <cellStyle name="Hyperlink" xfId="13198" builtinId="8" hidden="1"/>
    <cellStyle name="Hyperlink" xfId="13200" builtinId="8" hidden="1"/>
    <cellStyle name="Hyperlink" xfId="13202" builtinId="8" hidden="1"/>
    <cellStyle name="Hyperlink" xfId="13204" builtinId="8" hidden="1"/>
    <cellStyle name="Hyperlink" xfId="13206" builtinId="8" hidden="1"/>
    <cellStyle name="Hyperlink" xfId="13208" builtinId="8" hidden="1"/>
    <cellStyle name="Hyperlink" xfId="13210" builtinId="8" hidden="1"/>
    <cellStyle name="Hyperlink" xfId="13212" builtinId="8" hidden="1"/>
    <cellStyle name="Hyperlink" xfId="13214" builtinId="8" hidden="1"/>
    <cellStyle name="Hyperlink" xfId="13216" builtinId="8" hidden="1"/>
    <cellStyle name="Hyperlink" xfId="13218" builtinId="8" hidden="1"/>
    <cellStyle name="Hyperlink" xfId="13220" builtinId="8" hidden="1"/>
    <cellStyle name="Hyperlink" xfId="13222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23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238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246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254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26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270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278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3286" builtinId="8" hidden="1"/>
    <cellStyle name="Hyperlink" xfId="13288" builtinId="8" hidden="1"/>
    <cellStyle name="Hyperlink" xfId="13290" builtinId="8" hidden="1"/>
    <cellStyle name="Hyperlink" xfId="13292" builtinId="8" hidden="1"/>
    <cellStyle name="Hyperlink" xfId="13294" builtinId="8" hidden="1"/>
    <cellStyle name="Hyperlink" xfId="13296" builtinId="8" hidden="1"/>
    <cellStyle name="Hyperlink" xfId="13298" builtinId="8" hidden="1"/>
    <cellStyle name="Hyperlink" xfId="13300" builtinId="8" hidden="1"/>
    <cellStyle name="Hyperlink" xfId="13302" builtinId="8" hidden="1"/>
    <cellStyle name="Hyperlink" xfId="13304" builtinId="8" hidden="1"/>
    <cellStyle name="Hyperlink" xfId="13306" builtinId="8" hidden="1"/>
    <cellStyle name="Hyperlink" xfId="13308" builtinId="8" hidden="1"/>
    <cellStyle name="Hyperlink" xfId="13310" builtinId="8" hidden="1"/>
    <cellStyle name="Hyperlink" xfId="13312" builtinId="8" hidden="1"/>
    <cellStyle name="Hyperlink" xfId="13314" builtinId="8" hidden="1"/>
    <cellStyle name="Hyperlink" xfId="13316" builtinId="8" hidden="1"/>
    <cellStyle name="Hyperlink" xfId="13318" builtinId="8" hidden="1"/>
    <cellStyle name="Hyperlink" xfId="13320" builtinId="8" hidden="1"/>
    <cellStyle name="Hyperlink" xfId="13322" builtinId="8" hidden="1"/>
    <cellStyle name="Hyperlink" xfId="13324" builtinId="8" hidden="1"/>
    <cellStyle name="Hyperlink" xfId="13326" builtinId="8" hidden="1"/>
    <cellStyle name="Hyperlink" xfId="13328" builtinId="8" hidden="1"/>
    <cellStyle name="Hyperlink" xfId="13330" builtinId="8" hidden="1"/>
    <cellStyle name="Hyperlink" xfId="13332" builtinId="8" hidden="1"/>
    <cellStyle name="Hyperlink" xfId="13334" builtinId="8" hidden="1"/>
    <cellStyle name="Hyperlink" xfId="13336" builtinId="8" hidden="1"/>
    <cellStyle name="Hyperlink" xfId="13338" builtinId="8" hidden="1"/>
    <cellStyle name="Hyperlink" xfId="13340" builtinId="8" hidden="1"/>
    <cellStyle name="Hyperlink" xfId="13342" builtinId="8" hidden="1"/>
    <cellStyle name="Hyperlink" xfId="13344" builtinId="8" hidden="1"/>
    <cellStyle name="Hyperlink" xfId="13346" builtinId="8" hidden="1"/>
    <cellStyle name="Hyperlink" xfId="13348" builtinId="8" hidden="1"/>
    <cellStyle name="Hyperlink" xfId="13350" builtinId="8" hidden="1"/>
    <cellStyle name="Hyperlink" xfId="13352" builtinId="8" hidden="1"/>
    <cellStyle name="Hyperlink" xfId="13354" builtinId="8" hidden="1"/>
    <cellStyle name="Hyperlink" xfId="13356" builtinId="8" hidden="1"/>
    <cellStyle name="Hyperlink" xfId="13358" builtinId="8" hidden="1"/>
    <cellStyle name="Hyperlink" xfId="13360" builtinId="8" hidden="1"/>
    <cellStyle name="Hyperlink" xfId="13362" builtinId="8" hidden="1"/>
    <cellStyle name="Hyperlink" xfId="13364" builtinId="8" hidden="1"/>
    <cellStyle name="Hyperlink" xfId="13366" builtinId="8" hidden="1"/>
    <cellStyle name="Hyperlink" xfId="13368" builtinId="8" hidden="1"/>
    <cellStyle name="Hyperlink" xfId="13370" builtinId="8" hidden="1"/>
    <cellStyle name="Hyperlink" xfId="13372" builtinId="8" hidden="1"/>
    <cellStyle name="Hyperlink" xfId="13374" builtinId="8" hidden="1"/>
    <cellStyle name="Hyperlink" xfId="13376" builtinId="8" hidden="1"/>
    <cellStyle name="Hyperlink" xfId="13378" builtinId="8" hidden="1"/>
    <cellStyle name="Hyperlink" xfId="13380" builtinId="8" hidden="1"/>
    <cellStyle name="Hyperlink" xfId="13382" builtinId="8" hidden="1"/>
    <cellStyle name="Hyperlink" xfId="13384" builtinId="8" hidden="1"/>
    <cellStyle name="Hyperlink" xfId="13386" builtinId="8" hidden="1"/>
    <cellStyle name="Hyperlink" xfId="13388" builtinId="8" hidden="1"/>
    <cellStyle name="Hyperlink" xfId="13390" builtinId="8" hidden="1"/>
    <cellStyle name="Hyperlink" xfId="13392" builtinId="8" hidden="1"/>
    <cellStyle name="Hyperlink" xfId="13394" builtinId="8" hidden="1"/>
    <cellStyle name="Hyperlink" xfId="13396" builtinId="8" hidden="1"/>
    <cellStyle name="Hyperlink" xfId="13398" builtinId="8" hidden="1"/>
    <cellStyle name="Hyperlink" xfId="13400" builtinId="8" hidden="1"/>
    <cellStyle name="Hyperlink" xfId="13402" builtinId="8" hidden="1"/>
    <cellStyle name="Hyperlink" xfId="13404" builtinId="8" hidden="1"/>
    <cellStyle name="Hyperlink" xfId="13406" builtinId="8" hidden="1"/>
    <cellStyle name="Hyperlink" xfId="13408" builtinId="8" hidden="1"/>
    <cellStyle name="Hyperlink" xfId="13410" builtinId="8" hidden="1"/>
    <cellStyle name="Hyperlink" xfId="13412" builtinId="8" hidden="1"/>
    <cellStyle name="Hyperlink" xfId="13414" builtinId="8" hidden="1"/>
    <cellStyle name="Hyperlink" xfId="13416" builtinId="8" hidden="1"/>
    <cellStyle name="Hyperlink" xfId="13418" builtinId="8" hidden="1"/>
    <cellStyle name="Hyperlink" xfId="13420" builtinId="8" hidden="1"/>
    <cellStyle name="Hyperlink" xfId="13422" builtinId="8" hidden="1"/>
    <cellStyle name="Hyperlink" xfId="13424" builtinId="8" hidden="1"/>
    <cellStyle name="Hyperlink" xfId="13426" builtinId="8" hidden="1"/>
    <cellStyle name="Hyperlink" xfId="13428" builtinId="8" hidden="1"/>
    <cellStyle name="Hyperlink" xfId="13430" builtinId="8" hidden="1"/>
    <cellStyle name="Hyperlink" xfId="13432" builtinId="8" hidden="1"/>
    <cellStyle name="Hyperlink" xfId="13434" builtinId="8" hidden="1"/>
    <cellStyle name="Hyperlink" xfId="13436" builtinId="8" hidden="1"/>
    <cellStyle name="Hyperlink" xfId="13438" builtinId="8" hidden="1"/>
    <cellStyle name="Hyperlink" xfId="13440" builtinId="8" hidden="1"/>
    <cellStyle name="Hyperlink" xfId="13442" builtinId="8" hidden="1"/>
    <cellStyle name="Hyperlink" xfId="13444" builtinId="8" hidden="1"/>
    <cellStyle name="Hyperlink" xfId="13446" builtinId="8" hidden="1"/>
    <cellStyle name="Hyperlink" xfId="13448" builtinId="8" hidden="1"/>
    <cellStyle name="Hyperlink" xfId="13450" builtinId="8" hidden="1"/>
    <cellStyle name="Hyperlink" xfId="13452" builtinId="8" hidden="1"/>
    <cellStyle name="Hyperlink" xfId="13454" builtinId="8" hidden="1"/>
    <cellStyle name="Hyperlink" xfId="13456" builtinId="8" hidden="1"/>
    <cellStyle name="Hyperlink" xfId="13458" builtinId="8" hidden="1"/>
    <cellStyle name="Hyperlink" xfId="13460" builtinId="8" hidden="1"/>
    <cellStyle name="Hyperlink" xfId="13462" builtinId="8" hidden="1"/>
    <cellStyle name="Hyperlink" xfId="13464" builtinId="8" hidden="1"/>
    <cellStyle name="Hyperlink" xfId="13466" builtinId="8" hidden="1"/>
    <cellStyle name="Hyperlink" xfId="13468" builtinId="8" hidden="1"/>
    <cellStyle name="Hyperlink" xfId="13470" builtinId="8" hidden="1"/>
    <cellStyle name="Hyperlink" xfId="13472" builtinId="8" hidden="1"/>
    <cellStyle name="Hyperlink" xfId="13474" builtinId="8" hidden="1"/>
    <cellStyle name="Hyperlink" xfId="13476" builtinId="8" hidden="1"/>
    <cellStyle name="Hyperlink" xfId="13478" builtinId="8" hidden="1"/>
    <cellStyle name="Hyperlink" xfId="13480" builtinId="8" hidden="1"/>
    <cellStyle name="Hyperlink" xfId="13482" builtinId="8" hidden="1"/>
    <cellStyle name="Hyperlink" xfId="13484" builtinId="8" hidden="1"/>
    <cellStyle name="Hyperlink" xfId="13486" builtinId="8" hidden="1"/>
    <cellStyle name="Hyperlink" xfId="13488" builtinId="8" hidden="1"/>
    <cellStyle name="Hyperlink" xfId="13490" builtinId="8" hidden="1"/>
    <cellStyle name="Hyperlink" xfId="13492" builtinId="8" hidden="1"/>
    <cellStyle name="Hyperlink" xfId="13494" builtinId="8" hidden="1"/>
    <cellStyle name="Hyperlink" xfId="13496" builtinId="8" hidden="1"/>
    <cellStyle name="Hyperlink" xfId="13498" builtinId="8" hidden="1"/>
    <cellStyle name="Hyperlink" xfId="13500" builtinId="8" hidden="1"/>
    <cellStyle name="Hyperlink" xfId="13502" builtinId="8" hidden="1"/>
    <cellStyle name="Hyperlink" xfId="13504" builtinId="8" hidden="1"/>
    <cellStyle name="Hyperlink" xfId="13506" builtinId="8" hidden="1"/>
    <cellStyle name="Hyperlink" xfId="13508" builtinId="8" hidden="1"/>
    <cellStyle name="Hyperlink" xfId="13510" builtinId="8" hidden="1"/>
    <cellStyle name="Hyperlink" xfId="13512" builtinId="8" hidden="1"/>
    <cellStyle name="Hyperlink" xfId="13514" builtinId="8" hidden="1"/>
    <cellStyle name="Hyperlink" xfId="13516" builtinId="8" hidden="1"/>
    <cellStyle name="Hyperlink" xfId="13518" builtinId="8" hidden="1"/>
    <cellStyle name="Hyperlink" xfId="13520" builtinId="8" hidden="1"/>
    <cellStyle name="Hyperlink" xfId="13522" builtinId="8" hidden="1"/>
    <cellStyle name="Hyperlink" xfId="13524" builtinId="8" hidden="1"/>
    <cellStyle name="Hyperlink" xfId="13526" builtinId="8" hidden="1"/>
    <cellStyle name="Hyperlink" xfId="13528" builtinId="8" hidden="1"/>
    <cellStyle name="Hyperlink" xfId="13530" builtinId="8" hidden="1"/>
    <cellStyle name="Hyperlink" xfId="13532" builtinId="8" hidden="1"/>
    <cellStyle name="Hyperlink" xfId="13534" builtinId="8" hidden="1"/>
    <cellStyle name="Hyperlink" xfId="13536" builtinId="8" hidden="1"/>
    <cellStyle name="Hyperlink" xfId="13538" builtinId="8" hidden="1"/>
    <cellStyle name="Hyperlink" xfId="13540" builtinId="8" hidden="1"/>
    <cellStyle name="Hyperlink" xfId="13542" builtinId="8" hidden="1"/>
    <cellStyle name="Hyperlink" xfId="13544" builtinId="8" hidden="1"/>
    <cellStyle name="Hyperlink" xfId="13546" builtinId="8" hidden="1"/>
    <cellStyle name="Hyperlink" xfId="13548" builtinId="8" hidden="1"/>
    <cellStyle name="Hyperlink" xfId="13550" builtinId="8" hidden="1"/>
    <cellStyle name="Hyperlink" xfId="13552" builtinId="8" hidden="1"/>
    <cellStyle name="Hyperlink" xfId="13554" builtinId="8" hidden="1"/>
    <cellStyle name="Hyperlink" xfId="13556" builtinId="8" hidden="1"/>
    <cellStyle name="Hyperlink" xfId="13558" builtinId="8" hidden="1"/>
    <cellStyle name="Hyperlink" xfId="13560" builtinId="8" hidden="1"/>
    <cellStyle name="Hyperlink" xfId="13562" builtinId="8" hidden="1"/>
    <cellStyle name="Hyperlink" xfId="13564" builtinId="8" hidden="1"/>
    <cellStyle name="Hyperlink" xfId="13566" builtinId="8" hidden="1"/>
    <cellStyle name="Hyperlink" xfId="13568" builtinId="8" hidden="1"/>
    <cellStyle name="Hyperlink" xfId="13570" builtinId="8" hidden="1"/>
    <cellStyle name="Hyperlink" xfId="13572" builtinId="8" hidden="1"/>
    <cellStyle name="Hyperlink" xfId="13574" builtinId="8" hidden="1"/>
    <cellStyle name="Hyperlink" xfId="13576" builtinId="8" hidden="1"/>
    <cellStyle name="Hyperlink" xfId="13578" builtinId="8" hidden="1"/>
    <cellStyle name="Hyperlink" xfId="13580" builtinId="8" hidden="1"/>
    <cellStyle name="Hyperlink" xfId="13582" builtinId="8" hidden="1"/>
    <cellStyle name="Hyperlink" xfId="13584" builtinId="8" hidden="1"/>
    <cellStyle name="Hyperlink" xfId="13586" builtinId="8" hidden="1"/>
    <cellStyle name="Hyperlink" xfId="13588" builtinId="8" hidden="1"/>
    <cellStyle name="Hyperlink" xfId="13590" builtinId="8" hidden="1"/>
    <cellStyle name="Hyperlink" xfId="13592" builtinId="8" hidden="1"/>
    <cellStyle name="Hyperlink" xfId="13594" builtinId="8" hidden="1"/>
    <cellStyle name="Hyperlink" xfId="13596" builtinId="8" hidden="1"/>
    <cellStyle name="Hyperlink" xfId="13598" builtinId="8" hidden="1"/>
    <cellStyle name="Hyperlink" xfId="13600" builtinId="8" hidden="1"/>
    <cellStyle name="Hyperlink" xfId="13602" builtinId="8" hidden="1"/>
    <cellStyle name="Hyperlink" xfId="13604" builtinId="8" hidden="1"/>
    <cellStyle name="Hyperlink" xfId="13606" builtinId="8" hidden="1"/>
    <cellStyle name="Hyperlink" xfId="13608" builtinId="8" hidden="1"/>
    <cellStyle name="Hyperlink" xfId="13610" builtinId="8" hidden="1"/>
    <cellStyle name="Hyperlink" xfId="13612" builtinId="8" hidden="1"/>
    <cellStyle name="Hyperlink" xfId="13614" builtinId="8" hidden="1"/>
    <cellStyle name="Hyperlink" xfId="13616" builtinId="8" hidden="1"/>
    <cellStyle name="Hyperlink" xfId="13618" builtinId="8" hidden="1"/>
    <cellStyle name="Hyperlink" xfId="13620" builtinId="8" hidden="1"/>
    <cellStyle name="Hyperlink" xfId="13622" builtinId="8" hidden="1"/>
    <cellStyle name="Hyperlink" xfId="13624" builtinId="8" hidden="1"/>
    <cellStyle name="Hyperlink" xfId="13626" builtinId="8" hidden="1"/>
    <cellStyle name="Hyperlink" xfId="13628" builtinId="8" hidden="1"/>
    <cellStyle name="Hyperlink" xfId="13630" builtinId="8" hidden="1"/>
    <cellStyle name="Hyperlink" xfId="13632" builtinId="8" hidden="1"/>
    <cellStyle name="Hyperlink" xfId="13634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644" builtinId="8" hidden="1"/>
    <cellStyle name="Hyperlink" xfId="13646" builtinId="8" hidden="1"/>
    <cellStyle name="Hyperlink" xfId="13648" builtinId="8" hidden="1"/>
    <cellStyle name="Hyperlink" xfId="13650" builtinId="8" hidden="1"/>
    <cellStyle name="Hyperlink" xfId="13652" builtinId="8" hidden="1"/>
    <cellStyle name="Hyperlink" xfId="13654" builtinId="8" hidden="1"/>
    <cellStyle name="Hyperlink" xfId="13656" builtinId="8" hidden="1"/>
    <cellStyle name="Hyperlink" xfId="13658" builtinId="8" hidden="1"/>
    <cellStyle name="Hyperlink" xfId="13660" builtinId="8" hidden="1"/>
    <cellStyle name="Hyperlink" xfId="13662" builtinId="8" hidden="1"/>
    <cellStyle name="Hyperlink" xfId="13664" builtinId="8" hidden="1"/>
    <cellStyle name="Hyperlink" xfId="13666" builtinId="8" hidden="1"/>
    <cellStyle name="Hyperlink" xfId="13668" builtinId="8" hidden="1"/>
    <cellStyle name="Hyperlink" xfId="13670" builtinId="8" hidden="1"/>
    <cellStyle name="Hyperlink" xfId="13672" builtinId="8" hidden="1"/>
    <cellStyle name="Hyperlink" xfId="13674" builtinId="8" hidden="1"/>
    <cellStyle name="Hyperlink" xfId="13676" builtinId="8" hidden="1"/>
    <cellStyle name="Hyperlink" xfId="13678" builtinId="8" hidden="1"/>
    <cellStyle name="Hyperlink" xfId="13680" builtinId="8" hidden="1"/>
    <cellStyle name="Hyperlink" xfId="13682" builtinId="8" hidden="1"/>
    <cellStyle name="Hyperlink" xfId="13684" builtinId="8" hidden="1"/>
    <cellStyle name="Hyperlink" xfId="13686" builtinId="8" hidden="1"/>
    <cellStyle name="Hyperlink" xfId="13688" builtinId="8" hidden="1"/>
    <cellStyle name="Hyperlink" xfId="13690" builtinId="8" hidden="1"/>
    <cellStyle name="Hyperlink" xfId="13692" builtinId="8" hidden="1"/>
    <cellStyle name="Hyperlink" xfId="13694" builtinId="8" hidden="1"/>
    <cellStyle name="Hyperlink" xfId="13696" builtinId="8" hidden="1"/>
    <cellStyle name="Hyperlink" xfId="13698" builtinId="8" hidden="1"/>
    <cellStyle name="Hyperlink" xfId="13700" builtinId="8" hidden="1"/>
    <cellStyle name="Hyperlink" xfId="13702" builtinId="8" hidden="1"/>
    <cellStyle name="Hyperlink" xfId="13704" builtinId="8" hidden="1"/>
    <cellStyle name="Hyperlink" xfId="13706" builtinId="8" hidden="1"/>
    <cellStyle name="Hyperlink" xfId="13708" builtinId="8" hidden="1"/>
    <cellStyle name="Hyperlink" xfId="13710" builtinId="8" hidden="1"/>
    <cellStyle name="Hyperlink" xfId="13712" builtinId="8" hidden="1"/>
    <cellStyle name="Hyperlink" xfId="13714" builtinId="8" hidden="1"/>
    <cellStyle name="Hyperlink" xfId="13716" builtinId="8" hidden="1"/>
    <cellStyle name="Hyperlink" xfId="13718" builtinId="8" hidden="1"/>
    <cellStyle name="Hyperlink" xfId="13720" builtinId="8" hidden="1"/>
    <cellStyle name="Hyperlink" xfId="13722" builtinId="8" hidden="1"/>
    <cellStyle name="Hyperlink" xfId="13724" builtinId="8" hidden="1"/>
    <cellStyle name="Hyperlink" xfId="13726" builtinId="8" hidden="1"/>
    <cellStyle name="Hyperlink" xfId="13728" builtinId="8" hidden="1"/>
    <cellStyle name="Hyperlink" xfId="13730" builtinId="8" hidden="1"/>
    <cellStyle name="Hyperlink" xfId="13732" builtinId="8" hidden="1"/>
    <cellStyle name="Hyperlink" xfId="13734" builtinId="8" hidden="1"/>
    <cellStyle name="Hyperlink" xfId="13736" builtinId="8" hidden="1"/>
    <cellStyle name="Hyperlink" xfId="13738" builtinId="8" hidden="1"/>
    <cellStyle name="Hyperlink" xfId="13740" builtinId="8" hidden="1"/>
    <cellStyle name="Hyperlink" xfId="13742" builtinId="8" hidden="1"/>
    <cellStyle name="Hyperlink" xfId="13744" builtinId="8" hidden="1"/>
    <cellStyle name="Hyperlink" xfId="13746" builtinId="8" hidden="1"/>
    <cellStyle name="Hyperlink" xfId="13748" builtinId="8" hidden="1"/>
    <cellStyle name="Hyperlink" xfId="13750" builtinId="8" hidden="1"/>
    <cellStyle name="Hyperlink" xfId="13752" builtinId="8" hidden="1"/>
    <cellStyle name="Hyperlink" xfId="13754" builtinId="8" hidden="1"/>
    <cellStyle name="Hyperlink" xfId="13756" builtinId="8" hidden="1"/>
    <cellStyle name="Hyperlink" xfId="13758" builtinId="8" hidden="1"/>
    <cellStyle name="Hyperlink" xfId="13760" builtinId="8" hidden="1"/>
    <cellStyle name="Hyperlink" xfId="13762" builtinId="8" hidden="1"/>
    <cellStyle name="Hyperlink" xfId="13764" builtinId="8" hidden="1"/>
    <cellStyle name="Hyperlink" xfId="13766" builtinId="8" hidden="1"/>
    <cellStyle name="Hyperlink" xfId="13768" builtinId="8" hidden="1"/>
    <cellStyle name="Hyperlink" xfId="13770" builtinId="8" hidden="1"/>
    <cellStyle name="Hyperlink" xfId="13772" builtinId="8" hidden="1"/>
    <cellStyle name="Hyperlink" xfId="13774" builtinId="8" hidden="1"/>
    <cellStyle name="Hyperlink" xfId="13776" builtinId="8" hidden="1"/>
    <cellStyle name="Hyperlink" xfId="13778" builtinId="8" hidden="1"/>
    <cellStyle name="Hyperlink" xfId="13780" builtinId="8" hidden="1"/>
    <cellStyle name="Hyperlink" xfId="13782" builtinId="8" hidden="1"/>
    <cellStyle name="Hyperlink" xfId="13784" builtinId="8" hidden="1"/>
    <cellStyle name="Hyperlink" xfId="13786" builtinId="8" hidden="1"/>
    <cellStyle name="Hyperlink" xfId="13788" builtinId="8" hidden="1"/>
    <cellStyle name="Hyperlink" xfId="13790" builtinId="8" hidden="1"/>
    <cellStyle name="Hyperlink" xfId="13792" builtinId="8" hidden="1"/>
    <cellStyle name="Hyperlink" xfId="13794" builtinId="8" hidden="1"/>
    <cellStyle name="Hyperlink" xfId="13796" builtinId="8" hidden="1"/>
    <cellStyle name="Hyperlink" xfId="13798" builtinId="8" hidden="1"/>
    <cellStyle name="Hyperlink" xfId="13800" builtinId="8" hidden="1"/>
    <cellStyle name="Hyperlink" xfId="13802" builtinId="8" hidden="1"/>
    <cellStyle name="Hyperlink" xfId="13804" builtinId="8" hidden="1"/>
    <cellStyle name="Hyperlink" xfId="13806" builtinId="8" hidden="1"/>
    <cellStyle name="Hyperlink" xfId="13808" builtinId="8" hidden="1"/>
    <cellStyle name="Hyperlink" xfId="13810" builtinId="8" hidden="1"/>
    <cellStyle name="Hyperlink" xfId="13812" builtinId="8" hidden="1"/>
    <cellStyle name="Hyperlink" xfId="13814" builtinId="8" hidden="1"/>
    <cellStyle name="Hyperlink" xfId="13816" builtinId="8" hidden="1"/>
    <cellStyle name="Hyperlink" xfId="13818" builtinId="8" hidden="1"/>
    <cellStyle name="Hyperlink" xfId="13820" builtinId="8" hidden="1"/>
    <cellStyle name="Hyperlink" xfId="13822" builtinId="8" hidden="1"/>
    <cellStyle name="Hyperlink" xfId="13824" builtinId="8" hidden="1"/>
    <cellStyle name="Hyperlink" xfId="13826" builtinId="8" hidden="1"/>
    <cellStyle name="Hyperlink" xfId="13828" builtinId="8" hidden="1"/>
    <cellStyle name="Hyperlink" xfId="13830" builtinId="8" hidden="1"/>
    <cellStyle name="Hyperlink" xfId="13832" builtinId="8" hidden="1"/>
    <cellStyle name="Hyperlink" xfId="13834" builtinId="8" hidden="1"/>
    <cellStyle name="Hyperlink" xfId="13836" builtinId="8" hidden="1"/>
    <cellStyle name="Hyperlink" xfId="13838" builtinId="8" hidden="1"/>
    <cellStyle name="Hyperlink" xfId="13840" builtinId="8" hidden="1"/>
    <cellStyle name="Hyperlink" xfId="13842" builtinId="8" hidden="1"/>
    <cellStyle name="Hyperlink" xfId="13844" builtinId="8" hidden="1"/>
    <cellStyle name="Hyperlink" xfId="13846" builtinId="8" hidden="1"/>
    <cellStyle name="Hyperlink" xfId="13848" builtinId="8" hidden="1"/>
    <cellStyle name="Hyperlink" xfId="13850" builtinId="8" hidden="1"/>
    <cellStyle name="Hyperlink" xfId="13852" builtinId="8" hidden="1"/>
    <cellStyle name="Hyperlink" xfId="13854" builtinId="8" hidden="1"/>
    <cellStyle name="Hyperlink" xfId="13856" builtinId="8" hidden="1"/>
    <cellStyle name="Hyperlink" xfId="13858" builtinId="8" hidden="1"/>
    <cellStyle name="Hyperlink" xfId="13860" builtinId="8" hidden="1"/>
    <cellStyle name="Hyperlink" xfId="13862" builtinId="8" hidden="1"/>
    <cellStyle name="Hyperlink" xfId="13864" builtinId="8" hidden="1"/>
    <cellStyle name="Hyperlink" xfId="13866" builtinId="8" hidden="1"/>
    <cellStyle name="Hyperlink" xfId="13868" builtinId="8" hidden="1"/>
    <cellStyle name="Hyperlink" xfId="13870" builtinId="8" hidden="1"/>
    <cellStyle name="Hyperlink" xfId="13872" builtinId="8" hidden="1"/>
    <cellStyle name="Hyperlink" xfId="13874" builtinId="8" hidden="1"/>
    <cellStyle name="Hyperlink" xfId="13876" builtinId="8" hidden="1"/>
    <cellStyle name="Hyperlink" xfId="13878" builtinId="8" hidden="1"/>
    <cellStyle name="Hyperlink" xfId="13880" builtinId="8" hidden="1"/>
    <cellStyle name="Hyperlink" xfId="13882" builtinId="8" hidden="1"/>
    <cellStyle name="Hyperlink" xfId="13884" builtinId="8" hidden="1"/>
    <cellStyle name="Hyperlink" xfId="13886" builtinId="8" hidden="1"/>
    <cellStyle name="Hyperlink" xfId="13888" builtinId="8" hidden="1"/>
    <cellStyle name="Hyperlink" xfId="13890" builtinId="8" hidden="1"/>
    <cellStyle name="Hyperlink" xfId="13892" builtinId="8" hidden="1"/>
    <cellStyle name="Hyperlink" xfId="13894" builtinId="8" hidden="1"/>
    <cellStyle name="Hyperlink" xfId="13896" builtinId="8" hidden="1"/>
    <cellStyle name="Hyperlink" xfId="13898" builtinId="8" hidden="1"/>
    <cellStyle name="Hyperlink" xfId="13900" builtinId="8" hidden="1"/>
    <cellStyle name="Hyperlink" xfId="13902" builtinId="8" hidden="1"/>
    <cellStyle name="Hyperlink" xfId="13904" builtinId="8" hidden="1"/>
    <cellStyle name="Hyperlink" xfId="13906" builtinId="8" hidden="1"/>
    <cellStyle name="Hyperlink" xfId="13908" builtinId="8" hidden="1"/>
    <cellStyle name="Hyperlink" xfId="13910" builtinId="8" hidden="1"/>
    <cellStyle name="Hyperlink" xfId="13912" builtinId="8" hidden="1"/>
    <cellStyle name="Hyperlink" xfId="13914" builtinId="8" hidden="1"/>
    <cellStyle name="Hyperlink" xfId="13916" builtinId="8" hidden="1"/>
    <cellStyle name="Hyperlink" xfId="13918" builtinId="8" hidden="1"/>
    <cellStyle name="Hyperlink" xfId="13920" builtinId="8" hidden="1"/>
    <cellStyle name="Hyperlink" xfId="13922" builtinId="8" hidden="1"/>
    <cellStyle name="Hyperlink" xfId="13924" builtinId="8" hidden="1"/>
    <cellStyle name="Hyperlink" xfId="13926" builtinId="8" hidden="1"/>
    <cellStyle name="Hyperlink" xfId="13928" builtinId="8" hidden="1"/>
    <cellStyle name="Hyperlink" xfId="13930" builtinId="8" hidden="1"/>
    <cellStyle name="Hyperlink" xfId="13932" builtinId="8" hidden="1"/>
    <cellStyle name="Hyperlink" xfId="13934" builtinId="8" hidden="1"/>
    <cellStyle name="Hyperlink" xfId="13936" builtinId="8" hidden="1"/>
    <cellStyle name="Hyperlink" xfId="13938" builtinId="8" hidden="1"/>
    <cellStyle name="Hyperlink" xfId="13940" builtinId="8" hidden="1"/>
    <cellStyle name="Hyperlink" xfId="13942" builtinId="8" hidden="1"/>
    <cellStyle name="Hyperlink" xfId="13944" builtinId="8" hidden="1"/>
    <cellStyle name="Hyperlink" xfId="13946" builtinId="8" hidden="1"/>
    <cellStyle name="Hyperlink" xfId="13948" builtinId="8" hidden="1"/>
    <cellStyle name="Hyperlink" xfId="13950" builtinId="8" hidden="1"/>
    <cellStyle name="Hyperlink" xfId="13952" builtinId="8" hidden="1"/>
    <cellStyle name="Hyperlink" xfId="13954" builtinId="8" hidden="1"/>
    <cellStyle name="Hyperlink" xfId="13956" builtinId="8" hidden="1"/>
    <cellStyle name="Hyperlink" xfId="13958" builtinId="8" hidden="1"/>
    <cellStyle name="Hyperlink" xfId="13960" builtinId="8" hidden="1"/>
    <cellStyle name="Hyperlink" xfId="13962" builtinId="8" hidden="1"/>
    <cellStyle name="Hyperlink" xfId="13964" builtinId="8" hidden="1"/>
    <cellStyle name="Hyperlink" xfId="13966" builtinId="8" hidden="1"/>
    <cellStyle name="Hyperlink" xfId="13968" builtinId="8" hidden="1"/>
    <cellStyle name="Hyperlink" xfId="13970" builtinId="8" hidden="1"/>
    <cellStyle name="Hyperlink" xfId="13972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3982" builtinId="8" hidden="1"/>
    <cellStyle name="Hyperlink" xfId="13984" builtinId="8" hidden="1"/>
    <cellStyle name="Hyperlink" xfId="13986" builtinId="8" hidden="1"/>
    <cellStyle name="Hyperlink" xfId="13988" builtinId="8" hidden="1"/>
    <cellStyle name="Hyperlink" xfId="13990" builtinId="8" hidden="1"/>
    <cellStyle name="Hyperlink" xfId="13992" builtinId="8" hidden="1"/>
    <cellStyle name="Hyperlink" xfId="13994" builtinId="8" hidden="1"/>
    <cellStyle name="Hyperlink" xfId="13996" builtinId="8" hidden="1"/>
    <cellStyle name="Hyperlink" xfId="13998" builtinId="8" hidden="1"/>
    <cellStyle name="Hyperlink" xfId="14000" builtinId="8" hidden="1"/>
    <cellStyle name="Hyperlink" xfId="14002" builtinId="8" hidden="1"/>
    <cellStyle name="Hyperlink" xfId="14004" builtinId="8" hidden="1"/>
    <cellStyle name="Hyperlink" xfId="14006" builtinId="8" hidden="1"/>
    <cellStyle name="Hyperlink" xfId="14008" builtinId="8" hidden="1"/>
    <cellStyle name="Hyperlink" xfId="14010" builtinId="8" hidden="1"/>
    <cellStyle name="Hyperlink" xfId="14012" builtinId="8" hidden="1"/>
    <cellStyle name="Hyperlink" xfId="14014" builtinId="8" hidden="1"/>
    <cellStyle name="Hyperlink" xfId="14016" builtinId="8" hidden="1"/>
    <cellStyle name="Hyperlink" xfId="14018" builtinId="8" hidden="1"/>
    <cellStyle name="Hyperlink" xfId="14020" builtinId="8" hidden="1"/>
    <cellStyle name="Hyperlink" xfId="14022" builtinId="8" hidden="1"/>
    <cellStyle name="Hyperlink" xfId="14024" builtinId="8" hidden="1"/>
    <cellStyle name="Hyperlink" xfId="14026" builtinId="8" hidden="1"/>
    <cellStyle name="Hyperlink" xfId="14028" builtinId="8" hidden="1"/>
    <cellStyle name="Hyperlink" xfId="14030" builtinId="8" hidden="1"/>
    <cellStyle name="Hyperlink" xfId="14032" builtinId="8" hidden="1"/>
    <cellStyle name="Hyperlink" xfId="14034" builtinId="8" hidden="1"/>
    <cellStyle name="Hyperlink" xfId="14036" builtinId="8" hidden="1"/>
    <cellStyle name="Hyperlink" xfId="14038" builtinId="8" hidden="1"/>
    <cellStyle name="Hyperlink" xfId="14040" builtinId="8" hidden="1"/>
    <cellStyle name="Hyperlink" xfId="14042" builtinId="8" hidden="1"/>
    <cellStyle name="Hyperlink" xfId="14044" builtinId="8" hidden="1"/>
    <cellStyle name="Hyperlink" xfId="14046" builtinId="8" hidden="1"/>
    <cellStyle name="Hyperlink" xfId="14048" builtinId="8" hidden="1"/>
    <cellStyle name="Hyperlink" xfId="14050" builtinId="8" hidden="1"/>
    <cellStyle name="Hyperlink" xfId="14052" builtinId="8" hidden="1"/>
    <cellStyle name="Hyperlink" xfId="14054" builtinId="8" hidden="1"/>
    <cellStyle name="Hyperlink" xfId="14056" builtinId="8" hidden="1"/>
    <cellStyle name="Hyperlink" xfId="14058" builtinId="8" hidden="1"/>
    <cellStyle name="Hyperlink" xfId="14060" builtinId="8" hidden="1"/>
    <cellStyle name="Hyperlink" xfId="14062" builtinId="8" hidden="1"/>
    <cellStyle name="Hyperlink" xfId="14064" builtinId="8" hidden="1"/>
    <cellStyle name="Hyperlink" xfId="14066" builtinId="8" hidden="1"/>
    <cellStyle name="Hyperlink" xfId="14068" builtinId="8" hidden="1"/>
    <cellStyle name="Hyperlink" xfId="14070" builtinId="8" hidden="1"/>
    <cellStyle name="Hyperlink" xfId="14072" builtinId="8" hidden="1"/>
    <cellStyle name="Hyperlink" xfId="14074" builtinId="8" hidden="1"/>
    <cellStyle name="Hyperlink" xfId="14076" builtinId="8" hidden="1"/>
    <cellStyle name="Hyperlink" xfId="14078" builtinId="8" hidden="1"/>
    <cellStyle name="Hyperlink" xfId="14080" builtinId="8" hidden="1"/>
    <cellStyle name="Hyperlink" xfId="14082" builtinId="8" hidden="1"/>
    <cellStyle name="Hyperlink" xfId="14084" builtinId="8" hidden="1"/>
    <cellStyle name="Hyperlink" xfId="14086" builtinId="8" hidden="1"/>
    <cellStyle name="Hyperlink" xfId="14088" builtinId="8" hidden="1"/>
    <cellStyle name="Hyperlink" xfId="14090" builtinId="8" hidden="1"/>
    <cellStyle name="Hyperlink" xfId="14092" builtinId="8" hidden="1"/>
    <cellStyle name="Hyperlink" xfId="14094" builtinId="8" hidden="1"/>
    <cellStyle name="Hyperlink" xfId="14096" builtinId="8" hidden="1"/>
    <cellStyle name="Hyperlink" xfId="14098" builtinId="8" hidden="1"/>
    <cellStyle name="Hyperlink" xfId="14100" builtinId="8" hidden="1"/>
    <cellStyle name="Hyperlink" xfId="14102" builtinId="8" hidden="1"/>
    <cellStyle name="Hyperlink" xfId="14104" builtinId="8" hidden="1"/>
    <cellStyle name="Hyperlink" xfId="14106" builtinId="8" hidden="1"/>
    <cellStyle name="Hyperlink" xfId="14108" builtinId="8" hidden="1"/>
    <cellStyle name="Hyperlink" xfId="14110" builtinId="8" hidden="1"/>
    <cellStyle name="Hyperlink" xfId="14112" builtinId="8" hidden="1"/>
    <cellStyle name="Hyperlink" xfId="14114" builtinId="8" hidden="1"/>
    <cellStyle name="Hyperlink" xfId="14116" builtinId="8" hidden="1"/>
    <cellStyle name="Hyperlink" xfId="14118" builtinId="8" hidden="1"/>
    <cellStyle name="Hyperlink" xfId="14120" builtinId="8" hidden="1"/>
    <cellStyle name="Hyperlink" xfId="14122" builtinId="8" hidden="1"/>
    <cellStyle name="Hyperlink" xfId="14124" builtinId="8" hidden="1"/>
    <cellStyle name="Hyperlink" xfId="14126" builtinId="8" hidden="1"/>
    <cellStyle name="Hyperlink" xfId="14128" builtinId="8" hidden="1"/>
    <cellStyle name="Hyperlink" xfId="14130" builtinId="8" hidden="1"/>
    <cellStyle name="Hyperlink" xfId="14132" builtinId="8" hidden="1"/>
    <cellStyle name="Hyperlink" xfId="14134" builtinId="8" hidden="1"/>
    <cellStyle name="Hyperlink" xfId="14136" builtinId="8" hidden="1"/>
    <cellStyle name="Hyperlink" xfId="14138" builtinId="8" hidden="1"/>
    <cellStyle name="Hyperlink" xfId="14140" builtinId="8" hidden="1"/>
    <cellStyle name="Hyperlink" xfId="14142" builtinId="8" hidden="1"/>
    <cellStyle name="Hyperlink" xfId="14144" builtinId="8" hidden="1"/>
    <cellStyle name="Hyperlink" xfId="14146" builtinId="8" hidden="1"/>
    <cellStyle name="Hyperlink" xfId="14148" builtinId="8" hidden="1"/>
    <cellStyle name="Hyperlink" xfId="14150" builtinId="8" hidden="1"/>
    <cellStyle name="Hyperlink" xfId="14152" builtinId="8" hidden="1"/>
    <cellStyle name="Hyperlink" xfId="14154" builtinId="8" hidden="1"/>
    <cellStyle name="Hyperlink" xfId="14156" builtinId="8" hidden="1"/>
    <cellStyle name="Hyperlink" xfId="14158" builtinId="8" hidden="1"/>
    <cellStyle name="Hyperlink" xfId="14160" builtinId="8" hidden="1"/>
    <cellStyle name="Hyperlink" xfId="14162" builtinId="8" hidden="1"/>
    <cellStyle name="Hyperlink" xfId="14164" builtinId="8" hidden="1"/>
    <cellStyle name="Hyperlink" xfId="14166" builtinId="8" hidden="1"/>
    <cellStyle name="Hyperlink" xfId="14168" builtinId="8" hidden="1"/>
    <cellStyle name="Hyperlink" xfId="14170" builtinId="8" hidden="1"/>
    <cellStyle name="Hyperlink" xfId="14172" builtinId="8" hidden="1"/>
    <cellStyle name="Hyperlink" xfId="14174" builtinId="8" hidden="1"/>
    <cellStyle name="Hyperlink" xfId="14176" builtinId="8" hidden="1"/>
    <cellStyle name="Hyperlink" xfId="14178" builtinId="8" hidden="1"/>
    <cellStyle name="Hyperlink" xfId="14180" builtinId="8" hidden="1"/>
    <cellStyle name="Hyperlink" xfId="14182" builtinId="8" hidden="1"/>
    <cellStyle name="Hyperlink" xfId="14184" builtinId="8" hidden="1"/>
    <cellStyle name="Hyperlink" xfId="14186" builtinId="8" hidden="1"/>
    <cellStyle name="Hyperlink" xfId="14188" builtinId="8" hidden="1"/>
    <cellStyle name="Hyperlink" xfId="14190" builtinId="8" hidden="1"/>
    <cellStyle name="Hyperlink" xfId="14192" builtinId="8" hidden="1"/>
    <cellStyle name="Hyperlink" xfId="14194" builtinId="8" hidden="1"/>
    <cellStyle name="Hyperlink" xfId="14196" builtinId="8" hidden="1"/>
    <cellStyle name="Hyperlink" xfId="14198" builtinId="8" hidden="1"/>
    <cellStyle name="Hyperlink" xfId="14200" builtinId="8" hidden="1"/>
    <cellStyle name="Hyperlink" xfId="14202" builtinId="8" hidden="1"/>
    <cellStyle name="Hyperlink" xfId="14204" builtinId="8" hidden="1"/>
    <cellStyle name="Hyperlink" xfId="14206" builtinId="8" hidden="1"/>
    <cellStyle name="Hyperlink" xfId="14208" builtinId="8" hidden="1"/>
    <cellStyle name="Hyperlink" xfId="14210" builtinId="8" hidden="1"/>
    <cellStyle name="Hyperlink" xfId="14212" builtinId="8" hidden="1"/>
    <cellStyle name="Hyperlink" xfId="14214" builtinId="8" hidden="1"/>
    <cellStyle name="Hyperlink" xfId="14216" builtinId="8" hidden="1"/>
    <cellStyle name="Hyperlink" xfId="14218" builtinId="8" hidden="1"/>
    <cellStyle name="Hyperlink" xfId="14220" builtinId="8" hidden="1"/>
    <cellStyle name="Hyperlink" xfId="14222" builtinId="8" hidden="1"/>
    <cellStyle name="Hyperlink" xfId="14224" builtinId="8" hidden="1"/>
    <cellStyle name="Hyperlink" xfId="14226" builtinId="8" hidden="1"/>
    <cellStyle name="Hyperlink" xfId="14228" builtinId="8" hidden="1"/>
    <cellStyle name="Hyperlink" xfId="14230" builtinId="8" hidden="1"/>
    <cellStyle name="Hyperlink" xfId="14232" builtinId="8" hidden="1"/>
    <cellStyle name="Hyperlink" xfId="14234" builtinId="8" hidden="1"/>
    <cellStyle name="Hyperlink" xfId="14236" builtinId="8" hidden="1"/>
    <cellStyle name="Hyperlink" xfId="14238" builtinId="8" hidden="1"/>
    <cellStyle name="Hyperlink" xfId="14240" builtinId="8" hidden="1"/>
    <cellStyle name="Hyperlink" xfId="14242" builtinId="8" hidden="1"/>
    <cellStyle name="Hyperlink" xfId="14244" builtinId="8" hidden="1"/>
    <cellStyle name="Hyperlink" xfId="14246" builtinId="8" hidden="1"/>
    <cellStyle name="Hyperlink" xfId="14248" builtinId="8" hidden="1"/>
    <cellStyle name="Hyperlink" xfId="14250" builtinId="8" hidden="1"/>
    <cellStyle name="Hyperlink" xfId="14252" builtinId="8" hidden="1"/>
    <cellStyle name="Hyperlink" xfId="14254" builtinId="8" hidden="1"/>
    <cellStyle name="Hyperlink" xfId="14256" builtinId="8" hidden="1"/>
    <cellStyle name="Hyperlink" xfId="14258" builtinId="8" hidden="1"/>
    <cellStyle name="Hyperlink" xfId="14260" builtinId="8" hidden="1"/>
    <cellStyle name="Hyperlink" xfId="14262" builtinId="8" hidden="1"/>
    <cellStyle name="Hyperlink" xfId="14264" builtinId="8" hidden="1"/>
    <cellStyle name="Hyperlink" xfId="14266" builtinId="8" hidden="1"/>
    <cellStyle name="Hyperlink" xfId="14268" builtinId="8" hidden="1"/>
    <cellStyle name="Hyperlink" xfId="14270" builtinId="8" hidden="1"/>
    <cellStyle name="Hyperlink" xfId="14272" builtinId="8" hidden="1"/>
    <cellStyle name="Hyperlink" xfId="14274" builtinId="8" hidden="1"/>
    <cellStyle name="Hyperlink" xfId="14276" builtinId="8" hidden="1"/>
    <cellStyle name="Hyperlink" xfId="14278" builtinId="8" hidden="1"/>
    <cellStyle name="Hyperlink" xfId="14280" builtinId="8" hidden="1"/>
    <cellStyle name="Hyperlink" xfId="14282" builtinId="8" hidden="1"/>
    <cellStyle name="Hyperlink" xfId="14284" builtinId="8" hidden="1"/>
    <cellStyle name="Hyperlink" xfId="14286" builtinId="8" hidden="1"/>
    <cellStyle name="Hyperlink" xfId="14288" builtinId="8" hidden="1"/>
    <cellStyle name="Hyperlink" xfId="14290" builtinId="8" hidden="1"/>
    <cellStyle name="Hyperlink" xfId="14292" builtinId="8" hidden="1"/>
    <cellStyle name="Hyperlink" xfId="14294" builtinId="8" hidden="1"/>
    <cellStyle name="Hyperlink" xfId="14296" builtinId="8" hidden="1"/>
    <cellStyle name="Hyperlink" xfId="14298" builtinId="8" hidden="1"/>
    <cellStyle name="Hyperlink" xfId="14300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310" builtinId="8" hidden="1"/>
    <cellStyle name="Hyperlink" xfId="14312" builtinId="8" hidden="1"/>
    <cellStyle name="Hyperlink" xfId="14314" builtinId="8" hidden="1"/>
    <cellStyle name="Hyperlink" xfId="14316" builtinId="8" hidden="1"/>
    <cellStyle name="Hyperlink" xfId="14318" builtinId="8" hidden="1"/>
    <cellStyle name="Hyperlink" xfId="14320" builtinId="8" hidden="1"/>
    <cellStyle name="Hyperlink" xfId="14322" builtinId="8" hidden="1"/>
    <cellStyle name="Hyperlink" xfId="14324" builtinId="8" hidden="1"/>
    <cellStyle name="Hyperlink" xfId="14326" builtinId="8" hidden="1"/>
    <cellStyle name="Hyperlink" xfId="14328" builtinId="8" hidden="1"/>
    <cellStyle name="Hyperlink" xfId="14330" builtinId="8" hidden="1"/>
    <cellStyle name="Hyperlink" xfId="14332" builtinId="8" hidden="1"/>
    <cellStyle name="Hyperlink" xfId="14334" builtinId="8" hidden="1"/>
    <cellStyle name="Hyperlink" xfId="14336" builtinId="8" hidden="1"/>
    <cellStyle name="Hyperlink" xfId="14338" builtinId="8" hidden="1"/>
    <cellStyle name="Hyperlink" xfId="14340" builtinId="8" hidden="1"/>
    <cellStyle name="Hyperlink" xfId="14342" builtinId="8" hidden="1"/>
    <cellStyle name="Hyperlink" xfId="14344" builtinId="8" hidden="1"/>
    <cellStyle name="Hyperlink" xfId="14346" builtinId="8" hidden="1"/>
    <cellStyle name="Hyperlink" xfId="14348" builtinId="8" hidden="1"/>
    <cellStyle name="Hyperlink" xfId="14350" builtinId="8" hidden="1"/>
    <cellStyle name="Hyperlink" xfId="14352" builtinId="8" hidden="1"/>
    <cellStyle name="Hyperlink" xfId="14354" builtinId="8" hidden="1"/>
    <cellStyle name="Hyperlink" xfId="14356" builtinId="8" hidden="1"/>
    <cellStyle name="Hyperlink" xfId="14358" builtinId="8" hidden="1"/>
    <cellStyle name="Hyperlink" xfId="14360" builtinId="8" hidden="1"/>
    <cellStyle name="Hyperlink" xfId="14362" builtinId="8" hidden="1"/>
    <cellStyle name="Hyperlink" xfId="14364" builtinId="8" hidden="1"/>
    <cellStyle name="Hyperlink" xfId="14366" builtinId="8" hidden="1"/>
    <cellStyle name="Hyperlink" xfId="14368" builtinId="8" hidden="1"/>
    <cellStyle name="Hyperlink" xfId="14370" builtinId="8" hidden="1"/>
    <cellStyle name="Hyperlink" xfId="14372" builtinId="8" hidden="1"/>
    <cellStyle name="Hyperlink" xfId="14374" builtinId="8" hidden="1"/>
    <cellStyle name="Hyperlink" xfId="14376" builtinId="8" hidden="1"/>
    <cellStyle name="Hyperlink" xfId="14378" builtinId="8" hidden="1"/>
    <cellStyle name="Hyperlink" xfId="14380" builtinId="8" hidden="1"/>
    <cellStyle name="Hyperlink" xfId="14382" builtinId="8" hidden="1"/>
    <cellStyle name="Hyperlink" xfId="14384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94" builtinId="8" hidden="1"/>
    <cellStyle name="Hyperlink" xfId="14396" builtinId="8" hidden="1"/>
    <cellStyle name="Hyperlink" xfId="14398" builtinId="8" hidden="1"/>
    <cellStyle name="Hyperlink" xfId="14400" builtinId="8" hidden="1"/>
    <cellStyle name="Hyperlink" xfId="14402" builtinId="8" hidden="1"/>
    <cellStyle name="Hyperlink" xfId="14404" builtinId="8" hidden="1"/>
    <cellStyle name="Hyperlink" xfId="14406" builtinId="8" hidden="1"/>
    <cellStyle name="Hyperlink" xfId="14408" builtinId="8" hidden="1"/>
    <cellStyle name="Hyperlink" xfId="14410" builtinId="8" hidden="1"/>
    <cellStyle name="Hyperlink" xfId="14412" builtinId="8" hidden="1"/>
    <cellStyle name="Hyperlink" xfId="14414" builtinId="8" hidden="1"/>
    <cellStyle name="Hyperlink" xfId="14416" builtinId="8" hidden="1"/>
    <cellStyle name="Hyperlink" xfId="14418" builtinId="8" hidden="1"/>
    <cellStyle name="Hyperlink" xfId="14420" builtinId="8" hidden="1"/>
    <cellStyle name="Hyperlink" xfId="14422" builtinId="8" hidden="1"/>
    <cellStyle name="Hyperlink" xfId="14424" builtinId="8" hidden="1"/>
    <cellStyle name="Hyperlink" xfId="14426" builtinId="8" hidden="1"/>
    <cellStyle name="Hyperlink" xfId="14428" builtinId="8" hidden="1"/>
    <cellStyle name="Hyperlink" xfId="14430" builtinId="8" hidden="1"/>
    <cellStyle name="Hyperlink" xfId="14432" builtinId="8" hidden="1"/>
    <cellStyle name="Hyperlink" xfId="14434" builtinId="8" hidden="1"/>
    <cellStyle name="Hyperlink" xfId="14436" builtinId="8" hidden="1"/>
    <cellStyle name="Hyperlink" xfId="14438" builtinId="8" hidden="1"/>
    <cellStyle name="Hyperlink" xfId="14440" builtinId="8" hidden="1"/>
    <cellStyle name="Hyperlink" xfId="14442" builtinId="8" hidden="1"/>
    <cellStyle name="Hyperlink" xfId="14444" builtinId="8" hidden="1"/>
    <cellStyle name="Hyperlink" xfId="14446" builtinId="8" hidden="1"/>
    <cellStyle name="Hyperlink" xfId="14448" builtinId="8" hidden="1"/>
    <cellStyle name="Hyperlink" xfId="14450" builtinId="8" hidden="1"/>
    <cellStyle name="Hyperlink" xfId="14452" builtinId="8" hidden="1"/>
    <cellStyle name="Hyperlink" xfId="14454" builtinId="8" hidden="1"/>
    <cellStyle name="Hyperlink" xfId="14456" builtinId="8" hidden="1"/>
    <cellStyle name="Hyperlink" xfId="14458" builtinId="8" hidden="1"/>
    <cellStyle name="Hyperlink" xfId="14460" builtinId="8" hidden="1"/>
    <cellStyle name="Hyperlink" xfId="14462" builtinId="8" hidden="1"/>
    <cellStyle name="Hyperlink" xfId="14464" builtinId="8" hidden="1"/>
    <cellStyle name="Hyperlink" xfId="14466" builtinId="8" hidden="1"/>
    <cellStyle name="Hyperlink" xfId="14468" builtinId="8" hidden="1"/>
    <cellStyle name="Hyperlink" xfId="14470" builtinId="8" hidden="1"/>
    <cellStyle name="Hyperlink" xfId="14472" builtinId="8" hidden="1"/>
    <cellStyle name="Hyperlink" xfId="14474" builtinId="8" hidden="1"/>
    <cellStyle name="Hyperlink" xfId="14476" builtinId="8" hidden="1"/>
    <cellStyle name="Hyperlink" xfId="14478" builtinId="8" hidden="1"/>
    <cellStyle name="Hyperlink" xfId="14480" builtinId="8" hidden="1"/>
    <cellStyle name="Hyperlink" xfId="14482" builtinId="8" hidden="1"/>
    <cellStyle name="Hyperlink" xfId="14484" builtinId="8" hidden="1"/>
    <cellStyle name="Hyperlink" xfId="14486" builtinId="8" hidden="1"/>
    <cellStyle name="Hyperlink" xfId="14488" builtinId="8" hidden="1"/>
    <cellStyle name="Hyperlink" xfId="14490" builtinId="8" hidden="1"/>
    <cellStyle name="Hyperlink" xfId="14492" builtinId="8" hidden="1"/>
    <cellStyle name="Hyperlink" xfId="14494" builtinId="8" hidden="1"/>
    <cellStyle name="Hyperlink" xfId="14496" builtinId="8" hidden="1"/>
    <cellStyle name="Hyperlink" xfId="14498" builtinId="8" hidden="1"/>
    <cellStyle name="Hyperlink" xfId="14500" builtinId="8" hidden="1"/>
    <cellStyle name="Hyperlink" xfId="14502" builtinId="8" hidden="1"/>
    <cellStyle name="Hyperlink" xfId="14504" builtinId="8" hidden="1"/>
    <cellStyle name="Hyperlink" xfId="14506" builtinId="8" hidden="1"/>
    <cellStyle name="Hyperlink" xfId="14508" builtinId="8" hidden="1"/>
    <cellStyle name="Hyperlink" xfId="14510" builtinId="8" hidden="1"/>
    <cellStyle name="Hyperlink" xfId="14512" builtinId="8" hidden="1"/>
    <cellStyle name="Hyperlink" xfId="14514" builtinId="8" hidden="1"/>
    <cellStyle name="Hyperlink" xfId="14516" builtinId="8" hidden="1"/>
    <cellStyle name="Hyperlink" xfId="14518" builtinId="8" hidden="1"/>
    <cellStyle name="Hyperlink" xfId="14520" builtinId="8" hidden="1"/>
    <cellStyle name="Hyperlink" xfId="14522" builtinId="8" hidden="1"/>
    <cellStyle name="Hyperlink" xfId="14524" builtinId="8" hidden="1"/>
    <cellStyle name="Hyperlink" xfId="14526" builtinId="8" hidden="1"/>
    <cellStyle name="Hyperlink" xfId="14528" builtinId="8" hidden="1"/>
    <cellStyle name="Hyperlink" xfId="14530" builtinId="8" hidden="1"/>
    <cellStyle name="Hyperlink" xfId="14532" builtinId="8" hidden="1"/>
    <cellStyle name="Hyperlink" xfId="14534" builtinId="8" hidden="1"/>
    <cellStyle name="Hyperlink" xfId="14536" builtinId="8" hidden="1"/>
    <cellStyle name="Hyperlink" xfId="14538" builtinId="8" hidden="1"/>
    <cellStyle name="Hyperlink" xfId="14540" builtinId="8" hidden="1"/>
    <cellStyle name="Hyperlink" xfId="14542" builtinId="8" hidden="1"/>
    <cellStyle name="Hyperlink" xfId="14544" builtinId="8" hidden="1"/>
    <cellStyle name="Hyperlink" xfId="14546" builtinId="8" hidden="1"/>
    <cellStyle name="Hyperlink" xfId="14548" builtinId="8" hidden="1"/>
    <cellStyle name="Hyperlink" xfId="14550" builtinId="8" hidden="1"/>
    <cellStyle name="Hyperlink" xfId="14552" builtinId="8" hidden="1"/>
    <cellStyle name="Hyperlink" xfId="14554" builtinId="8" hidden="1"/>
    <cellStyle name="Hyperlink" xfId="14556" builtinId="8" hidden="1"/>
    <cellStyle name="Hyperlink" xfId="14558" builtinId="8" hidden="1"/>
    <cellStyle name="Hyperlink" xfId="14560" builtinId="8" hidden="1"/>
    <cellStyle name="Hyperlink" xfId="14562" builtinId="8" hidden="1"/>
    <cellStyle name="Hyperlink" xfId="14564" builtinId="8" hidden="1"/>
    <cellStyle name="Hyperlink" xfId="14566" builtinId="8" hidden="1"/>
    <cellStyle name="Hyperlink" xfId="14568" builtinId="8" hidden="1"/>
    <cellStyle name="Hyperlink" xfId="14570" builtinId="8" hidden="1"/>
    <cellStyle name="Hyperlink" xfId="14572" builtinId="8" hidden="1"/>
    <cellStyle name="Hyperlink" xfId="14574" builtinId="8" hidden="1"/>
    <cellStyle name="Hyperlink" xfId="14576" builtinId="8" hidden="1"/>
    <cellStyle name="Hyperlink" xfId="14578" builtinId="8" hidden="1"/>
    <cellStyle name="Hyperlink" xfId="14580" builtinId="8" hidden="1"/>
    <cellStyle name="Hyperlink" xfId="14582" builtinId="8" hidden="1"/>
    <cellStyle name="Hyperlink" xfId="14584" builtinId="8" hidden="1"/>
    <cellStyle name="Hyperlink" xfId="14586" builtinId="8" hidden="1"/>
    <cellStyle name="Hyperlink" xfId="14588" builtinId="8" hidden="1"/>
    <cellStyle name="Hyperlink" xfId="14590" builtinId="8" hidden="1"/>
    <cellStyle name="Hyperlink" xfId="14592" builtinId="8" hidden="1"/>
    <cellStyle name="Hyperlink" xfId="14594" builtinId="8" hidden="1"/>
    <cellStyle name="Hyperlink" xfId="14596" builtinId="8" hidden="1"/>
    <cellStyle name="Hyperlink" xfId="14598" builtinId="8" hidden="1"/>
    <cellStyle name="Hyperlink" xfId="14600" builtinId="8" hidden="1"/>
    <cellStyle name="Hyperlink" xfId="14602" builtinId="8" hidden="1"/>
    <cellStyle name="Hyperlink" xfId="14604" builtinId="8" hidden="1"/>
    <cellStyle name="Hyperlink" xfId="14606" builtinId="8" hidden="1"/>
    <cellStyle name="Hyperlink" xfId="14608" builtinId="8" hidden="1"/>
    <cellStyle name="Hyperlink" xfId="14610" builtinId="8" hidden="1"/>
    <cellStyle name="Hyperlink" xfId="14612" builtinId="8" hidden="1"/>
    <cellStyle name="Hyperlink" xfId="14614" builtinId="8" hidden="1"/>
    <cellStyle name="Hyperlink" xfId="14616" builtinId="8" hidden="1"/>
    <cellStyle name="Hyperlink" xfId="14618" builtinId="8" hidden="1"/>
    <cellStyle name="Hyperlink" xfId="14620" builtinId="8" hidden="1"/>
    <cellStyle name="Hyperlink" xfId="14622" builtinId="8" hidden="1"/>
    <cellStyle name="Hyperlink" xfId="14624" builtinId="8" hidden="1"/>
    <cellStyle name="Hyperlink" xfId="14626" builtinId="8" hidden="1"/>
    <cellStyle name="Hyperlink" xfId="14628" builtinId="8" hidden="1"/>
    <cellStyle name="Hyperlink" xfId="14630" builtinId="8" hidden="1"/>
    <cellStyle name="Hyperlink" xfId="14632" builtinId="8" hidden="1"/>
    <cellStyle name="Hyperlink" xfId="14634" builtinId="8" hidden="1"/>
    <cellStyle name="Hyperlink" xfId="14636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44" builtinId="8" hidden="1"/>
    <cellStyle name="Hyperlink" xfId="14646" builtinId="8" hidden="1"/>
    <cellStyle name="Hyperlink" xfId="14648" builtinId="8" hidden="1"/>
    <cellStyle name="Hyperlink" xfId="14650" builtinId="8" hidden="1"/>
    <cellStyle name="Hyperlink" xfId="14652" builtinId="8" hidden="1"/>
    <cellStyle name="Hyperlink" xfId="14654" builtinId="8" hidden="1"/>
    <cellStyle name="Hyperlink" xfId="14656" builtinId="8" hidden="1"/>
    <cellStyle name="Hyperlink" xfId="14658" builtinId="8" hidden="1"/>
    <cellStyle name="Hyperlink" xfId="14660" builtinId="8" hidden="1"/>
    <cellStyle name="Hyperlink" xfId="14662" builtinId="8" hidden="1"/>
    <cellStyle name="Hyperlink" xfId="14664" builtinId="8" hidden="1"/>
    <cellStyle name="Hyperlink" xfId="14666" builtinId="8" hidden="1"/>
    <cellStyle name="Hyperlink" xfId="14668" builtinId="8" hidden="1"/>
    <cellStyle name="Hyperlink" xfId="14670" builtinId="8" hidden="1"/>
    <cellStyle name="Hyperlink" xfId="14672" builtinId="8" hidden="1"/>
    <cellStyle name="Hyperlink" xfId="14674" builtinId="8" hidden="1"/>
    <cellStyle name="Hyperlink" xfId="14676" builtinId="8" hidden="1"/>
    <cellStyle name="Hyperlink" xfId="14678" builtinId="8" hidden="1"/>
    <cellStyle name="Hyperlink" xfId="14680" builtinId="8" hidden="1"/>
    <cellStyle name="Hyperlink" xfId="14682" builtinId="8" hidden="1"/>
    <cellStyle name="Hyperlink" xfId="14684" builtinId="8" hidden="1"/>
    <cellStyle name="Hyperlink" xfId="14686" builtinId="8" hidden="1"/>
    <cellStyle name="Hyperlink" xfId="14688" builtinId="8" hidden="1"/>
    <cellStyle name="Hyperlink" xfId="14690" builtinId="8" hidden="1"/>
    <cellStyle name="Hyperlink" xfId="14692" builtinId="8" hidden="1"/>
    <cellStyle name="Hyperlink" xfId="14694" builtinId="8" hidden="1"/>
    <cellStyle name="Hyperlink" xfId="14696" builtinId="8" hidden="1"/>
    <cellStyle name="Hyperlink" xfId="14698" builtinId="8" hidden="1"/>
    <cellStyle name="Hyperlink" xfId="14700" builtinId="8" hidden="1"/>
    <cellStyle name="Hyperlink" xfId="14702" builtinId="8" hidden="1"/>
    <cellStyle name="Hyperlink" xfId="14704" builtinId="8" hidden="1"/>
    <cellStyle name="Hyperlink" xfId="14706" builtinId="8" hidden="1"/>
    <cellStyle name="Hyperlink" xfId="14708" builtinId="8" hidden="1"/>
    <cellStyle name="Hyperlink" xfId="14710" builtinId="8" hidden="1"/>
    <cellStyle name="Hyperlink" xfId="14712" builtinId="8" hidden="1"/>
    <cellStyle name="Hyperlink" xfId="14714" builtinId="8" hidden="1"/>
    <cellStyle name="Hyperlink" xfId="14716" builtinId="8" hidden="1"/>
    <cellStyle name="Hyperlink" xfId="14718" builtinId="8" hidden="1"/>
    <cellStyle name="Hyperlink" xfId="14720" builtinId="8" hidden="1"/>
    <cellStyle name="Hyperlink" xfId="14722" builtinId="8" hidden="1"/>
    <cellStyle name="Hyperlink" xfId="14724" builtinId="8" hidden="1"/>
    <cellStyle name="Hyperlink" xfId="14726" builtinId="8" hidden="1"/>
    <cellStyle name="Hyperlink" xfId="14728" builtinId="8" hidden="1"/>
    <cellStyle name="Hyperlink" xfId="14730" builtinId="8" hidden="1"/>
    <cellStyle name="Hyperlink" xfId="14732" builtinId="8" hidden="1"/>
    <cellStyle name="Hyperlink" xfId="14734" builtinId="8" hidden="1"/>
    <cellStyle name="Hyperlink" xfId="14736" builtinId="8" hidden="1"/>
    <cellStyle name="Hyperlink" xfId="14738" builtinId="8" hidden="1"/>
    <cellStyle name="Hyperlink" xfId="14740" builtinId="8" hidden="1"/>
    <cellStyle name="Hyperlink" xfId="14742" builtinId="8" hidden="1"/>
    <cellStyle name="Hyperlink" xfId="14744" builtinId="8" hidden="1"/>
    <cellStyle name="Hyperlink" xfId="14746" builtinId="8" hidden="1"/>
    <cellStyle name="Hyperlink" xfId="14748" builtinId="8" hidden="1"/>
    <cellStyle name="Hyperlink" xfId="14750" builtinId="8" hidden="1"/>
    <cellStyle name="Hyperlink" xfId="14752" builtinId="8" hidden="1"/>
    <cellStyle name="Hyperlink" xfId="14754" builtinId="8" hidden="1"/>
    <cellStyle name="Hyperlink" xfId="14756" builtinId="8" hidden="1"/>
    <cellStyle name="Hyperlink" xfId="14758" builtinId="8" hidden="1"/>
    <cellStyle name="Hyperlink" xfId="14760" builtinId="8" hidden="1"/>
    <cellStyle name="Hyperlink" xfId="14762" builtinId="8" hidden="1"/>
    <cellStyle name="Hyperlink" xfId="14764" builtinId="8" hidden="1"/>
    <cellStyle name="Hyperlink" xfId="14766" builtinId="8" hidden="1"/>
    <cellStyle name="Hyperlink" xfId="14768" builtinId="8" hidden="1"/>
    <cellStyle name="Hyperlink" xfId="14770" builtinId="8" hidden="1"/>
    <cellStyle name="Hyperlink" xfId="14772" builtinId="8" hidden="1"/>
    <cellStyle name="Hyperlink" xfId="14774" builtinId="8" hidden="1"/>
    <cellStyle name="Hyperlink" xfId="14776" builtinId="8" hidden="1"/>
    <cellStyle name="Hyperlink" xfId="14778" builtinId="8" hidden="1"/>
    <cellStyle name="Hyperlink" xfId="14780" builtinId="8" hidden="1"/>
    <cellStyle name="Hyperlink" xfId="14782" builtinId="8" hidden="1"/>
    <cellStyle name="Hyperlink" xfId="14784" builtinId="8" hidden="1"/>
    <cellStyle name="Hyperlink" xfId="14786" builtinId="8" hidden="1"/>
    <cellStyle name="Hyperlink" xfId="14788" builtinId="8" hidden="1"/>
    <cellStyle name="Hyperlink" xfId="14790" builtinId="8" hidden="1"/>
    <cellStyle name="Hyperlink" xfId="14792" builtinId="8" hidden="1"/>
    <cellStyle name="Hyperlink" xfId="14794" builtinId="8" hidden="1"/>
    <cellStyle name="Hyperlink" xfId="14796" builtinId="8" hidden="1"/>
    <cellStyle name="Hyperlink" xfId="14798" builtinId="8" hidden="1"/>
    <cellStyle name="Hyperlink" xfId="14800" builtinId="8" hidden="1"/>
    <cellStyle name="Hyperlink" xfId="14802" builtinId="8" hidden="1"/>
    <cellStyle name="Hyperlink" xfId="14804" builtinId="8" hidden="1"/>
    <cellStyle name="Hyperlink" xfId="14806" builtinId="8" hidden="1"/>
    <cellStyle name="Hyperlink" xfId="14808" builtinId="8" hidden="1"/>
    <cellStyle name="Hyperlink" xfId="14810" builtinId="8" hidden="1"/>
    <cellStyle name="Hyperlink" xfId="14812" builtinId="8" hidden="1"/>
    <cellStyle name="Hyperlink" xfId="14814" builtinId="8" hidden="1"/>
    <cellStyle name="Hyperlink" xfId="14816" builtinId="8" hidden="1"/>
    <cellStyle name="Hyperlink" xfId="14818" builtinId="8" hidden="1"/>
    <cellStyle name="Hyperlink" xfId="14820" builtinId="8" hidden="1"/>
    <cellStyle name="Hyperlink" xfId="14822" builtinId="8" hidden="1"/>
    <cellStyle name="Hyperlink" xfId="14824" builtinId="8" hidden="1"/>
    <cellStyle name="Hyperlink" xfId="14826" builtinId="8" hidden="1"/>
    <cellStyle name="Hyperlink" xfId="14828" builtinId="8" hidden="1"/>
    <cellStyle name="Hyperlink" xfId="14830" builtinId="8" hidden="1"/>
    <cellStyle name="Hyperlink" xfId="14832" builtinId="8" hidden="1"/>
    <cellStyle name="Hyperlink" xfId="14834" builtinId="8" hidden="1"/>
    <cellStyle name="Hyperlink" xfId="14836" builtinId="8" hidden="1"/>
    <cellStyle name="Hyperlink" xfId="14838" builtinId="8" hidden="1"/>
    <cellStyle name="Hyperlink" xfId="14840" builtinId="8" hidden="1"/>
    <cellStyle name="Hyperlink" xfId="14842" builtinId="8" hidden="1"/>
    <cellStyle name="Hyperlink" xfId="14844" builtinId="8" hidden="1"/>
    <cellStyle name="Hyperlink" xfId="14846" builtinId="8" hidden="1"/>
    <cellStyle name="Hyperlink" xfId="14848" builtinId="8" hidden="1"/>
    <cellStyle name="Hyperlink" xfId="14850" builtinId="8" hidden="1"/>
    <cellStyle name="Hyperlink" xfId="14852" builtinId="8" hidden="1"/>
    <cellStyle name="Hyperlink" xfId="14854" builtinId="8" hidden="1"/>
    <cellStyle name="Hyperlink" xfId="14856" builtinId="8" hidden="1"/>
    <cellStyle name="Hyperlink" xfId="14858" builtinId="8" hidden="1"/>
    <cellStyle name="Hyperlink" xfId="14860" builtinId="8" hidden="1"/>
    <cellStyle name="Hyperlink" xfId="14862" builtinId="8" hidden="1"/>
    <cellStyle name="Hyperlink" xfId="14864" builtinId="8" hidden="1"/>
    <cellStyle name="Hyperlink" xfId="14866" builtinId="8" hidden="1"/>
    <cellStyle name="Hyperlink" xfId="14868" builtinId="8" hidden="1"/>
    <cellStyle name="Hyperlink" xfId="14870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968" builtinId="8" hidden="1"/>
    <cellStyle name="Hyperlink" xfId="14970" builtinId="8" hidden="1"/>
    <cellStyle name="Hyperlink" xfId="14972" builtinId="8" hidden="1"/>
    <cellStyle name="Hyperlink" xfId="14974" builtinId="8" hidden="1"/>
    <cellStyle name="Hyperlink" xfId="14976" builtinId="8" hidden="1"/>
    <cellStyle name="Hyperlink" xfId="14978" builtinId="8" hidden="1"/>
    <cellStyle name="Hyperlink" xfId="14980" builtinId="8" hidden="1"/>
    <cellStyle name="Hyperlink" xfId="14982" builtinId="8" hidden="1"/>
    <cellStyle name="Hyperlink" xfId="14984" builtinId="8" hidden="1"/>
    <cellStyle name="Hyperlink" xfId="14986" builtinId="8" hidden="1"/>
    <cellStyle name="Hyperlink" xfId="14988" builtinId="8" hidden="1"/>
    <cellStyle name="Hyperlink" xfId="14990" builtinId="8" hidden="1"/>
    <cellStyle name="Hyperlink" xfId="14992" builtinId="8" hidden="1"/>
    <cellStyle name="Hyperlink" xfId="14994" builtinId="8" hidden="1"/>
    <cellStyle name="Hyperlink" xfId="14996" builtinId="8" hidden="1"/>
    <cellStyle name="Hyperlink" xfId="14998" builtinId="8" hidden="1"/>
    <cellStyle name="Hyperlink" xfId="15000" builtinId="8" hidden="1"/>
    <cellStyle name="Hyperlink" xfId="15002" builtinId="8" hidden="1"/>
    <cellStyle name="Hyperlink" xfId="15004" builtinId="8" hidden="1"/>
    <cellStyle name="Hyperlink" xfId="15006" builtinId="8" hidden="1"/>
    <cellStyle name="Hyperlink" xfId="15008" builtinId="8" hidden="1"/>
    <cellStyle name="Hyperlink" xfId="15010" builtinId="8" hidden="1"/>
    <cellStyle name="Hyperlink" xfId="15012" builtinId="8" hidden="1"/>
    <cellStyle name="Hyperlink" xfId="15014" builtinId="8" hidden="1"/>
    <cellStyle name="Hyperlink" xfId="15016" builtinId="8" hidden="1"/>
    <cellStyle name="Hyperlink" xfId="15018" builtinId="8" hidden="1"/>
    <cellStyle name="Hyperlink" xfId="15020" builtinId="8" hidden="1"/>
    <cellStyle name="Hyperlink" xfId="15022" builtinId="8" hidden="1"/>
    <cellStyle name="Hyperlink" xfId="15024" builtinId="8" hidden="1"/>
    <cellStyle name="Hyperlink" xfId="15026" builtinId="8" hidden="1"/>
    <cellStyle name="Hyperlink" xfId="15028" builtinId="8" hidden="1"/>
    <cellStyle name="Hyperlink" xfId="15030" builtinId="8" hidden="1"/>
    <cellStyle name="Hyperlink" xfId="15032" builtinId="8" hidden="1"/>
    <cellStyle name="Hyperlink" xfId="15034" builtinId="8" hidden="1"/>
    <cellStyle name="Hyperlink" xfId="15036" builtinId="8" hidden="1"/>
    <cellStyle name="Hyperlink" xfId="15038" builtinId="8" hidden="1"/>
    <cellStyle name="Hyperlink" xfId="15040" builtinId="8" hidden="1"/>
    <cellStyle name="Hyperlink" xfId="15042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50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5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66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5074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5082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90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98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106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5114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28" builtinId="8" hidden="1"/>
    <cellStyle name="Hyperlink" xfId="15130" builtinId="8" hidden="1"/>
    <cellStyle name="Hyperlink" xfId="15132" builtinId="8" hidden="1"/>
    <cellStyle name="Hyperlink" xfId="15134" builtinId="8" hidden="1"/>
    <cellStyle name="Hyperlink" xfId="15136" builtinId="8" hidden="1"/>
    <cellStyle name="Hyperlink" xfId="15138" builtinId="8" hidden="1"/>
    <cellStyle name="Hyperlink" xfId="15140" builtinId="8" hidden="1"/>
    <cellStyle name="Hyperlink" xfId="15142" builtinId="8" hidden="1"/>
    <cellStyle name="Hyperlink" xfId="15144" builtinId="8" hidden="1"/>
    <cellStyle name="Hyperlink" xfId="15146" builtinId="8" hidden="1"/>
    <cellStyle name="Hyperlink" xfId="15148" builtinId="8" hidden="1"/>
    <cellStyle name="Hyperlink" xfId="15150" builtinId="8" hidden="1"/>
    <cellStyle name="Hyperlink" xfId="15152" builtinId="8" hidden="1"/>
    <cellStyle name="Hyperlink" xfId="15154" builtinId="8" hidden="1"/>
    <cellStyle name="Hyperlink" xfId="15156" builtinId="8" hidden="1"/>
    <cellStyle name="Hyperlink" xfId="15158" builtinId="8" hidden="1"/>
    <cellStyle name="Hyperlink" xfId="15160" builtinId="8" hidden="1"/>
    <cellStyle name="Hyperlink" xfId="15162" builtinId="8" hidden="1"/>
    <cellStyle name="Hyperlink" xfId="15164" builtinId="8" hidden="1"/>
    <cellStyle name="Hyperlink" xfId="15166" builtinId="8" hidden="1"/>
    <cellStyle name="Hyperlink" xfId="15168" builtinId="8" hidden="1"/>
    <cellStyle name="Hyperlink" xfId="15170" builtinId="8" hidden="1"/>
    <cellStyle name="Hyperlink" xfId="15172" builtinId="8" hidden="1"/>
    <cellStyle name="Hyperlink" xfId="15174" builtinId="8" hidden="1"/>
    <cellStyle name="Hyperlink" xfId="15176" builtinId="8" hidden="1"/>
    <cellStyle name="Hyperlink" xfId="15178" builtinId="8" hidden="1"/>
    <cellStyle name="Hyperlink" xfId="15180" builtinId="8" hidden="1"/>
    <cellStyle name="Hyperlink" xfId="15182" builtinId="8" hidden="1"/>
    <cellStyle name="Hyperlink" xfId="15184" builtinId="8" hidden="1"/>
    <cellStyle name="Hyperlink" xfId="15186" builtinId="8" hidden="1"/>
    <cellStyle name="Hyperlink" xfId="15188" builtinId="8" hidden="1"/>
    <cellStyle name="Hyperlink" xfId="15190" builtinId="8" hidden="1"/>
    <cellStyle name="Hyperlink" xfId="15192" builtinId="8" hidden="1"/>
    <cellStyle name="Hyperlink" xfId="15194" builtinId="8" hidden="1"/>
    <cellStyle name="Hyperlink" xfId="15196" builtinId="8" hidden="1"/>
    <cellStyle name="Hyperlink" xfId="15198" builtinId="8" hidden="1"/>
    <cellStyle name="Hyperlink" xfId="15200" builtinId="8" hidden="1"/>
    <cellStyle name="Hyperlink" xfId="15202" builtinId="8" hidden="1"/>
    <cellStyle name="Hyperlink" xfId="15204" builtinId="8" hidden="1"/>
    <cellStyle name="Hyperlink" xfId="15206" builtinId="8" hidden="1"/>
    <cellStyle name="Hyperlink" xfId="15208" builtinId="8" hidden="1"/>
    <cellStyle name="Hyperlink" xfId="15210" builtinId="8" hidden="1"/>
    <cellStyle name="Hyperlink" xfId="15212" builtinId="8" hidden="1"/>
    <cellStyle name="Hyperlink" xfId="15214" builtinId="8" hidden="1"/>
    <cellStyle name="Hyperlink" xfId="15216" builtinId="8" hidden="1"/>
    <cellStyle name="Hyperlink" xfId="15218" builtinId="8" hidden="1"/>
    <cellStyle name="Hyperlink" xfId="15220" builtinId="8" hidden="1"/>
    <cellStyle name="Hyperlink" xfId="15222" builtinId="8" hidden="1"/>
    <cellStyle name="Hyperlink" xfId="15224" builtinId="8" hidden="1"/>
    <cellStyle name="Hyperlink" xfId="15226" builtinId="8" hidden="1"/>
    <cellStyle name="Hyperlink" xfId="15228" builtinId="8" hidden="1"/>
    <cellStyle name="Hyperlink" xfId="15230" builtinId="8" hidden="1"/>
    <cellStyle name="Hyperlink" xfId="15232" builtinId="8" hidden="1"/>
    <cellStyle name="Hyperlink" xfId="15234" builtinId="8" hidden="1"/>
    <cellStyle name="Hyperlink" xfId="15236" builtinId="8" hidden="1"/>
    <cellStyle name="Hyperlink" xfId="15238" builtinId="8" hidden="1"/>
    <cellStyle name="Hyperlink" xfId="15240" builtinId="8" hidden="1"/>
    <cellStyle name="Hyperlink" xfId="15242" builtinId="8" hidden="1"/>
    <cellStyle name="Hyperlink" xfId="15244" builtinId="8" hidden="1"/>
    <cellStyle name="Hyperlink" xfId="15246" builtinId="8" hidden="1"/>
    <cellStyle name="Hyperlink" xfId="15248" builtinId="8" hidden="1"/>
    <cellStyle name="Hyperlink" xfId="15250" builtinId="8" hidden="1"/>
    <cellStyle name="Hyperlink" xfId="15252" builtinId="8" hidden="1"/>
    <cellStyle name="Hyperlink" xfId="15254" builtinId="8" hidden="1"/>
    <cellStyle name="Hyperlink" xfId="15256" builtinId="8" hidden="1"/>
    <cellStyle name="Hyperlink" xfId="15258" builtinId="8" hidden="1"/>
    <cellStyle name="Hyperlink" xfId="15260" builtinId="8" hidden="1"/>
    <cellStyle name="Hyperlink" xfId="15262" builtinId="8" hidden="1"/>
    <cellStyle name="Hyperlink" xfId="15264" builtinId="8" hidden="1"/>
    <cellStyle name="Hyperlink" xfId="15266" builtinId="8" hidden="1"/>
    <cellStyle name="Hyperlink" xfId="15268" builtinId="8" hidden="1"/>
    <cellStyle name="Hyperlink" xfId="15270" builtinId="8" hidden="1"/>
    <cellStyle name="Hyperlink" xfId="15272" builtinId="8" hidden="1"/>
    <cellStyle name="Hyperlink" xfId="15274" builtinId="8" hidden="1"/>
    <cellStyle name="Hyperlink" xfId="15276" builtinId="8" hidden="1"/>
    <cellStyle name="Hyperlink" xfId="15278" builtinId="8" hidden="1"/>
    <cellStyle name="Hyperlink" xfId="15280" builtinId="8" hidden="1"/>
    <cellStyle name="Hyperlink" xfId="15282" builtinId="8" hidden="1"/>
    <cellStyle name="Hyperlink" xfId="15284" builtinId="8" hidden="1"/>
    <cellStyle name="Hyperlink" xfId="15286" builtinId="8" hidden="1"/>
    <cellStyle name="Hyperlink" xfId="15288" builtinId="8" hidden="1"/>
    <cellStyle name="Hyperlink" xfId="15290" builtinId="8" hidden="1"/>
    <cellStyle name="Hyperlink" xfId="15292" builtinId="8" hidden="1"/>
    <cellStyle name="Hyperlink" xfId="15294" builtinId="8" hidden="1"/>
    <cellStyle name="Hyperlink" xfId="15296" builtinId="8" hidden="1"/>
    <cellStyle name="Hyperlink" xfId="15298" builtinId="8" hidden="1"/>
    <cellStyle name="Hyperlink" xfId="15300" builtinId="8" hidden="1"/>
    <cellStyle name="Hyperlink" xfId="15302" builtinId="8" hidden="1"/>
    <cellStyle name="Hyperlink" xfId="15304" builtinId="8" hidden="1"/>
    <cellStyle name="Hyperlink" xfId="15306" builtinId="8" hidden="1"/>
    <cellStyle name="Hyperlink" xfId="15308" builtinId="8" hidden="1"/>
    <cellStyle name="Hyperlink" xfId="15310" builtinId="8" hidden="1"/>
    <cellStyle name="Hyperlink" xfId="15312" builtinId="8" hidden="1"/>
    <cellStyle name="Hyperlink" xfId="15314" builtinId="8" hidden="1"/>
    <cellStyle name="Hyperlink" xfId="15316" builtinId="8" hidden="1"/>
    <cellStyle name="Hyperlink" xfId="15318" builtinId="8" hidden="1"/>
    <cellStyle name="Hyperlink" xfId="15320" builtinId="8" hidden="1"/>
    <cellStyle name="Hyperlink" xfId="15322" builtinId="8" hidden="1"/>
    <cellStyle name="Hyperlink" xfId="15324" builtinId="8" hidden="1"/>
    <cellStyle name="Hyperlink" xfId="15326" builtinId="8" hidden="1"/>
    <cellStyle name="Hyperlink" xfId="15328" builtinId="8" hidden="1"/>
    <cellStyle name="Hyperlink" xfId="15330" builtinId="8" hidden="1"/>
    <cellStyle name="Hyperlink" xfId="15332" builtinId="8" hidden="1"/>
    <cellStyle name="Hyperlink" xfId="15334" builtinId="8" hidden="1"/>
    <cellStyle name="Hyperlink" xfId="15336" builtinId="8" hidden="1"/>
    <cellStyle name="Hyperlink" xfId="15338" builtinId="8" hidden="1"/>
    <cellStyle name="Hyperlink" xfId="15340" builtinId="8" hidden="1"/>
    <cellStyle name="Hyperlink" xfId="15342" builtinId="8" hidden="1"/>
    <cellStyle name="Hyperlink" xfId="15344" builtinId="8" hidden="1"/>
    <cellStyle name="Hyperlink" xfId="15346" builtinId="8" hidden="1"/>
    <cellStyle name="Hyperlink" xfId="15348" builtinId="8" hidden="1"/>
    <cellStyle name="Hyperlink" xfId="15350" builtinId="8" hidden="1"/>
    <cellStyle name="Hyperlink" xfId="15352" builtinId="8" hidden="1"/>
    <cellStyle name="Hyperlink" xfId="15354" builtinId="8" hidden="1"/>
    <cellStyle name="Hyperlink" xfId="15356" builtinId="8" hidden="1"/>
    <cellStyle name="Hyperlink" xfId="15358" builtinId="8" hidden="1"/>
    <cellStyle name="Hyperlink" xfId="15360" builtinId="8" hidden="1"/>
    <cellStyle name="Hyperlink" xfId="15362" builtinId="8" hidden="1"/>
    <cellStyle name="Hyperlink" xfId="15364" builtinId="8" hidden="1"/>
    <cellStyle name="Hyperlink" xfId="15366" builtinId="8" hidden="1"/>
    <cellStyle name="Hyperlink" xfId="15368" builtinId="8" hidden="1"/>
    <cellStyle name="Hyperlink" xfId="15370" builtinId="8" hidden="1"/>
    <cellStyle name="Hyperlink" xfId="15372" builtinId="8" hidden="1"/>
    <cellStyle name="Hyperlink" xfId="15374" builtinId="8" hidden="1"/>
    <cellStyle name="Hyperlink" xfId="15376" builtinId="8" hidden="1"/>
    <cellStyle name="Hyperlink" xfId="15378" builtinId="8" hidden="1"/>
    <cellStyle name="Hyperlink" xfId="15380" builtinId="8" hidden="1"/>
    <cellStyle name="Hyperlink" xfId="15382" builtinId="8" hidden="1"/>
    <cellStyle name="Hyperlink" xfId="15384" builtinId="8" hidden="1"/>
    <cellStyle name="Hyperlink" xfId="15386" builtinId="8" hidden="1"/>
    <cellStyle name="Hyperlink" xfId="15388" builtinId="8" hidden="1"/>
    <cellStyle name="Hyperlink" xfId="15390" builtinId="8" hidden="1"/>
    <cellStyle name="Hyperlink" xfId="15392" builtinId="8" hidden="1"/>
    <cellStyle name="Hyperlink" xfId="15394" builtinId="8" hidden="1"/>
    <cellStyle name="Hyperlink" xfId="15396" builtinId="8" hidden="1"/>
    <cellStyle name="Hyperlink" xfId="15398" builtinId="8" hidden="1"/>
    <cellStyle name="Hyperlink" xfId="15400" builtinId="8" hidden="1"/>
    <cellStyle name="Hyperlink" xfId="15402" builtinId="8" hidden="1"/>
    <cellStyle name="Hyperlink" xfId="15404" builtinId="8" hidden="1"/>
    <cellStyle name="Hyperlink" xfId="15406" builtinId="8" hidden="1"/>
    <cellStyle name="Hyperlink" xfId="15408" builtinId="8" hidden="1"/>
    <cellStyle name="Hyperlink" xfId="15410" builtinId="8" hidden="1"/>
    <cellStyle name="Hyperlink" xfId="15412" builtinId="8" hidden="1"/>
    <cellStyle name="Hyperlink" xfId="15414" builtinId="8" hidden="1"/>
    <cellStyle name="Hyperlink" xfId="15416" builtinId="8" hidden="1"/>
    <cellStyle name="Hyperlink" xfId="15418" builtinId="8" hidden="1"/>
    <cellStyle name="Hyperlink" xfId="15420" builtinId="8" hidden="1"/>
    <cellStyle name="Hyperlink" xfId="15422" builtinId="8" hidden="1"/>
    <cellStyle name="Hyperlink" xfId="15424" builtinId="8" hidden="1"/>
    <cellStyle name="Hyperlink" xfId="15426" builtinId="8" hidden="1"/>
    <cellStyle name="Hyperlink" xfId="15428" builtinId="8" hidden="1"/>
    <cellStyle name="Hyperlink" xfId="15430" builtinId="8" hidden="1"/>
    <cellStyle name="Hyperlink" xfId="15432" builtinId="8" hidden="1"/>
    <cellStyle name="Hyperlink" xfId="15434" builtinId="8" hidden="1"/>
    <cellStyle name="Hyperlink" xfId="15436" builtinId="8" hidden="1"/>
    <cellStyle name="Hyperlink" xfId="15438" builtinId="8" hidden="1"/>
    <cellStyle name="Hyperlink" xfId="15440" builtinId="8" hidden="1"/>
    <cellStyle name="Hyperlink" xfId="15442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452" builtinId="8" hidden="1"/>
    <cellStyle name="Hyperlink" xfId="15454" builtinId="8" hidden="1"/>
    <cellStyle name="Hyperlink" xfId="15456" builtinId="8" hidden="1"/>
    <cellStyle name="Hyperlink" xfId="15458" builtinId="8" hidden="1"/>
    <cellStyle name="Hyperlink" xfId="15460" builtinId="8" hidden="1"/>
    <cellStyle name="Hyperlink" xfId="15462" builtinId="8" hidden="1"/>
    <cellStyle name="Hyperlink" xfId="15464" builtinId="8" hidden="1"/>
    <cellStyle name="Hyperlink" xfId="15466" builtinId="8" hidden="1"/>
    <cellStyle name="Hyperlink" xfId="15468" builtinId="8" hidden="1"/>
    <cellStyle name="Hyperlink" xfId="15470" builtinId="8" hidden="1"/>
    <cellStyle name="Hyperlink" xfId="15472" builtinId="8" hidden="1"/>
    <cellStyle name="Hyperlink" xfId="15474" builtinId="8" hidden="1"/>
    <cellStyle name="Hyperlink" xfId="15476" builtinId="8" hidden="1"/>
    <cellStyle name="Hyperlink" xfId="15478" builtinId="8" hidden="1"/>
    <cellStyle name="Hyperlink" xfId="15480" builtinId="8" hidden="1"/>
    <cellStyle name="Hyperlink" xfId="15482" builtinId="8" hidden="1"/>
    <cellStyle name="Hyperlink" xfId="15484" builtinId="8" hidden="1"/>
    <cellStyle name="Hyperlink" xfId="15486" builtinId="8" hidden="1"/>
    <cellStyle name="Hyperlink" xfId="15488" builtinId="8" hidden="1"/>
    <cellStyle name="Hyperlink" xfId="15490" builtinId="8" hidden="1"/>
    <cellStyle name="Hyperlink" xfId="15492" builtinId="8" hidden="1"/>
    <cellStyle name="Hyperlink" xfId="15494" builtinId="8" hidden="1"/>
    <cellStyle name="Hyperlink" xfId="15496" builtinId="8" hidden="1"/>
    <cellStyle name="Hyperlink" xfId="15498" builtinId="8" hidden="1"/>
    <cellStyle name="Hyperlink" xfId="15500" builtinId="8" hidden="1"/>
    <cellStyle name="Hyperlink" xfId="15502" builtinId="8" hidden="1"/>
    <cellStyle name="Hyperlink" xfId="15504" builtinId="8" hidden="1"/>
    <cellStyle name="Hyperlink" xfId="15506" builtinId="8" hidden="1"/>
    <cellStyle name="Hyperlink" xfId="15508" builtinId="8" hidden="1"/>
    <cellStyle name="Hyperlink" xfId="15510" builtinId="8" hidden="1"/>
    <cellStyle name="Hyperlink" xfId="15512" builtinId="8" hidden="1"/>
    <cellStyle name="Hyperlink" xfId="15514" builtinId="8" hidden="1"/>
    <cellStyle name="Hyperlink" xfId="15516" builtinId="8" hidden="1"/>
    <cellStyle name="Hyperlink" xfId="15518" builtinId="8" hidden="1"/>
    <cellStyle name="Hyperlink" xfId="15520" builtinId="8" hidden="1"/>
    <cellStyle name="Hyperlink" xfId="15522" builtinId="8" hidden="1"/>
    <cellStyle name="Hyperlink" xfId="15524" builtinId="8" hidden="1"/>
    <cellStyle name="Hyperlink" xfId="15526" builtinId="8" hidden="1"/>
    <cellStyle name="Hyperlink" xfId="15528" builtinId="8" hidden="1"/>
    <cellStyle name="Hyperlink" xfId="15530" builtinId="8" hidden="1"/>
    <cellStyle name="Hyperlink" xfId="15532" builtinId="8" hidden="1"/>
    <cellStyle name="Hyperlink" xfId="15534" builtinId="8" hidden="1"/>
    <cellStyle name="Hyperlink" xfId="15536" builtinId="8" hidden="1"/>
    <cellStyle name="Hyperlink" xfId="15538" builtinId="8" hidden="1"/>
    <cellStyle name="Hyperlink" xfId="15540" builtinId="8" hidden="1"/>
    <cellStyle name="Hyperlink" xfId="15542" builtinId="8" hidden="1"/>
    <cellStyle name="Hyperlink" xfId="15544" builtinId="8" hidden="1"/>
    <cellStyle name="Hyperlink" xfId="15546" builtinId="8" hidden="1"/>
    <cellStyle name="Hyperlink" xfId="15548" builtinId="8" hidden="1"/>
    <cellStyle name="Hyperlink" xfId="15550" builtinId="8" hidden="1"/>
    <cellStyle name="Hyperlink" xfId="15552" builtinId="8" hidden="1"/>
    <cellStyle name="Hyperlink" xfId="15554" builtinId="8" hidden="1"/>
    <cellStyle name="Hyperlink" xfId="15556" builtinId="8" hidden="1"/>
    <cellStyle name="Hyperlink" xfId="15558" builtinId="8" hidden="1"/>
    <cellStyle name="Hyperlink" xfId="15560" builtinId="8" hidden="1"/>
    <cellStyle name="Hyperlink" xfId="15562" builtinId="8" hidden="1"/>
    <cellStyle name="Hyperlink" xfId="15564" builtinId="8" hidden="1"/>
    <cellStyle name="Hyperlink" xfId="15566" builtinId="8" hidden="1"/>
    <cellStyle name="Hyperlink" xfId="15568" builtinId="8" hidden="1"/>
    <cellStyle name="Hyperlink" xfId="15570" builtinId="8" hidden="1"/>
    <cellStyle name="Hyperlink" xfId="15572" builtinId="8" hidden="1"/>
    <cellStyle name="Hyperlink" xfId="15574" builtinId="8" hidden="1"/>
    <cellStyle name="Hyperlink" xfId="15576" builtinId="8" hidden="1"/>
    <cellStyle name="Hyperlink" xfId="15578" builtinId="8" hidden="1"/>
    <cellStyle name="Hyperlink" xfId="15580" builtinId="8" hidden="1"/>
    <cellStyle name="Hyperlink" xfId="15582" builtinId="8" hidden="1"/>
    <cellStyle name="Hyperlink" xfId="15584" builtinId="8" hidden="1"/>
    <cellStyle name="Hyperlink" xfId="15586" builtinId="8" hidden="1"/>
    <cellStyle name="Hyperlink" xfId="15588" builtinId="8" hidden="1"/>
    <cellStyle name="Hyperlink" xfId="15590" builtinId="8" hidden="1"/>
    <cellStyle name="Hyperlink" xfId="15592" builtinId="8" hidden="1"/>
    <cellStyle name="Hyperlink" xfId="15594" builtinId="8" hidden="1"/>
    <cellStyle name="Hyperlink" xfId="15596" builtinId="8" hidden="1"/>
    <cellStyle name="Hyperlink" xfId="15598" builtinId="8" hidden="1"/>
    <cellStyle name="Hyperlink" xfId="15600" builtinId="8" hidden="1"/>
    <cellStyle name="Hyperlink" xfId="15602" builtinId="8" hidden="1"/>
    <cellStyle name="Hyperlink" xfId="15604" builtinId="8" hidden="1"/>
    <cellStyle name="Hyperlink" xfId="15606" builtinId="8" hidden="1"/>
    <cellStyle name="Hyperlink" xfId="15608" builtinId="8" hidden="1"/>
    <cellStyle name="Hyperlink" xfId="15610" builtinId="8" hidden="1"/>
    <cellStyle name="Hyperlink" xfId="15612" builtinId="8" hidden="1"/>
    <cellStyle name="Hyperlink" xfId="15614" builtinId="8" hidden="1"/>
    <cellStyle name="Hyperlink" xfId="15616" builtinId="8" hidden="1"/>
    <cellStyle name="Hyperlink" xfId="15618" builtinId="8" hidden="1"/>
    <cellStyle name="Hyperlink" xfId="15620" builtinId="8" hidden="1"/>
    <cellStyle name="Hyperlink" xfId="15622" builtinId="8" hidden="1"/>
    <cellStyle name="Hyperlink" xfId="15624" builtinId="8" hidden="1"/>
    <cellStyle name="Hyperlink" xfId="15626" builtinId="8" hidden="1"/>
    <cellStyle name="Hyperlink" xfId="15628" builtinId="8" hidden="1"/>
    <cellStyle name="Hyperlink" xfId="15630" builtinId="8" hidden="1"/>
    <cellStyle name="Hyperlink" xfId="15632" builtinId="8" hidden="1"/>
    <cellStyle name="Hyperlink" xfId="15634" builtinId="8" hidden="1"/>
    <cellStyle name="Hyperlink" xfId="15636" builtinId="8" hidden="1"/>
    <cellStyle name="Hyperlink" xfId="15638" builtinId="8" hidden="1"/>
    <cellStyle name="Hyperlink" xfId="15640" builtinId="8" hidden="1"/>
    <cellStyle name="Hyperlink" xfId="15642" builtinId="8" hidden="1"/>
    <cellStyle name="Hyperlink" xfId="15644" builtinId="8" hidden="1"/>
    <cellStyle name="Hyperlink" xfId="15646" builtinId="8" hidden="1"/>
    <cellStyle name="Hyperlink" xfId="15648" builtinId="8" hidden="1"/>
    <cellStyle name="Hyperlink" xfId="15650" builtinId="8" hidden="1"/>
    <cellStyle name="Hyperlink" xfId="15652" builtinId="8" hidden="1"/>
    <cellStyle name="Hyperlink" xfId="15654" builtinId="8" hidden="1"/>
    <cellStyle name="Hyperlink" xfId="15656" builtinId="8" hidden="1"/>
    <cellStyle name="Hyperlink" xfId="15658" builtinId="8" hidden="1"/>
    <cellStyle name="Hyperlink" xfId="15660" builtinId="8" hidden="1"/>
    <cellStyle name="Hyperlink" xfId="15662" builtinId="8" hidden="1"/>
    <cellStyle name="Hyperlink" xfId="15664" builtinId="8" hidden="1"/>
    <cellStyle name="Hyperlink" xfId="15666" builtinId="8" hidden="1"/>
    <cellStyle name="Hyperlink" xfId="15668" builtinId="8" hidden="1"/>
    <cellStyle name="Hyperlink" xfId="15670" builtinId="8" hidden="1"/>
    <cellStyle name="Hyperlink" xfId="15672" builtinId="8" hidden="1"/>
    <cellStyle name="Hyperlink" xfId="15674" builtinId="8" hidden="1"/>
    <cellStyle name="Hyperlink" xfId="15676" builtinId="8" hidden="1"/>
    <cellStyle name="Hyperlink" xfId="15678" builtinId="8" hidden="1"/>
    <cellStyle name="Hyperlink" xfId="15680" builtinId="8" hidden="1"/>
    <cellStyle name="Hyperlink" xfId="15682" builtinId="8" hidden="1"/>
    <cellStyle name="Hyperlink" xfId="15684" builtinId="8" hidden="1"/>
    <cellStyle name="Hyperlink" xfId="15686" builtinId="8" hidden="1"/>
    <cellStyle name="Hyperlink" xfId="15688" builtinId="8" hidden="1"/>
    <cellStyle name="Hyperlink" xfId="15690" builtinId="8" hidden="1"/>
    <cellStyle name="Hyperlink" xfId="15692" builtinId="8" hidden="1"/>
    <cellStyle name="Hyperlink" xfId="15694" builtinId="8" hidden="1"/>
    <cellStyle name="Hyperlink" xfId="15696" builtinId="8" hidden="1"/>
    <cellStyle name="Hyperlink" xfId="15698" builtinId="8" hidden="1"/>
    <cellStyle name="Hyperlink" xfId="15700" builtinId="8" hidden="1"/>
    <cellStyle name="Hyperlink" xfId="15702" builtinId="8" hidden="1"/>
    <cellStyle name="Hyperlink" xfId="15704" builtinId="8" hidden="1"/>
    <cellStyle name="Hyperlink" xfId="15706" builtinId="8" hidden="1"/>
    <cellStyle name="Hyperlink" xfId="15708" builtinId="8" hidden="1"/>
    <cellStyle name="Hyperlink" xfId="15710" builtinId="8" hidden="1"/>
    <cellStyle name="Hyperlink" xfId="15712" builtinId="8" hidden="1"/>
    <cellStyle name="Hyperlink" xfId="15714" builtinId="8" hidden="1"/>
    <cellStyle name="Hyperlink" xfId="15716" builtinId="8" hidden="1"/>
    <cellStyle name="Hyperlink" xfId="15718" builtinId="8" hidden="1"/>
    <cellStyle name="Hyperlink" xfId="15720" builtinId="8" hidden="1"/>
    <cellStyle name="Hyperlink" xfId="15722" builtinId="8" hidden="1"/>
    <cellStyle name="Hyperlink" xfId="15724" builtinId="8" hidden="1"/>
    <cellStyle name="Hyperlink" xfId="15726" builtinId="8" hidden="1"/>
    <cellStyle name="Hyperlink" xfId="15728" builtinId="8" hidden="1"/>
    <cellStyle name="Hyperlink" xfId="15730" builtinId="8" hidden="1"/>
    <cellStyle name="Hyperlink" xfId="15732" builtinId="8" hidden="1"/>
    <cellStyle name="Hyperlink" xfId="15734" builtinId="8" hidden="1"/>
    <cellStyle name="Hyperlink" xfId="15736" builtinId="8" hidden="1"/>
    <cellStyle name="Hyperlink" xfId="15738" builtinId="8" hidden="1"/>
    <cellStyle name="Hyperlink" xfId="15740" builtinId="8" hidden="1"/>
    <cellStyle name="Hyperlink" xfId="15742" builtinId="8" hidden="1"/>
    <cellStyle name="Hyperlink" xfId="15744" builtinId="8" hidden="1"/>
    <cellStyle name="Hyperlink" xfId="15746" builtinId="8" hidden="1"/>
    <cellStyle name="Hyperlink" xfId="15748" builtinId="8" hidden="1"/>
    <cellStyle name="Hyperlink" xfId="15750" builtinId="8" hidden="1"/>
    <cellStyle name="Hyperlink" xfId="15752" builtinId="8" hidden="1"/>
    <cellStyle name="Hyperlink" xfId="15754" builtinId="8" hidden="1"/>
    <cellStyle name="Hyperlink" xfId="15756" builtinId="8" hidden="1"/>
    <cellStyle name="Hyperlink" xfId="15758" builtinId="8" hidden="1"/>
    <cellStyle name="Hyperlink" xfId="15760" builtinId="8" hidden="1"/>
    <cellStyle name="Hyperlink" xfId="15762" builtinId="8" hidden="1"/>
    <cellStyle name="Hyperlink" xfId="15764" builtinId="8" hidden="1"/>
    <cellStyle name="Hyperlink" xfId="15766" builtinId="8" hidden="1"/>
    <cellStyle name="Hyperlink" xfId="15768" builtinId="8" hidden="1"/>
    <cellStyle name="Hyperlink" xfId="15770" builtinId="8" hidden="1"/>
    <cellStyle name="Hyperlink" xfId="15772" builtinId="8" hidden="1"/>
    <cellStyle name="Hyperlink" xfId="15774" builtinId="8" hidden="1"/>
    <cellStyle name="Hyperlink" xfId="15776" builtinId="8" hidden="1"/>
    <cellStyle name="Hyperlink" xfId="15778" builtinId="8" hidden="1"/>
    <cellStyle name="Hyperlink" xfId="15780" builtinId="8" hidden="1"/>
    <cellStyle name="Hyperlink" xfId="15782" builtinId="8" hidden="1"/>
    <cellStyle name="Hyperlink" xfId="15784" builtinId="8" hidden="1"/>
    <cellStyle name="Hyperlink" xfId="15786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00" builtinId="8" hidden="1"/>
    <cellStyle name="Hyperlink" xfId="15802" builtinId="8" hidden="1"/>
    <cellStyle name="Hyperlink" xfId="15804" builtinId="8" hidden="1"/>
    <cellStyle name="Hyperlink" xfId="15806" builtinId="8" hidden="1"/>
    <cellStyle name="Hyperlink" xfId="15808" builtinId="8" hidden="1"/>
    <cellStyle name="Hyperlink" xfId="15810" builtinId="8" hidden="1"/>
    <cellStyle name="Hyperlink" xfId="15812" builtinId="8" hidden="1"/>
    <cellStyle name="Hyperlink" xfId="15814" builtinId="8" hidden="1"/>
    <cellStyle name="Hyperlink" xfId="15816" builtinId="8" hidden="1"/>
    <cellStyle name="Hyperlink" xfId="15818" builtinId="8" hidden="1"/>
    <cellStyle name="Hyperlink" xfId="15820" builtinId="8" hidden="1"/>
    <cellStyle name="Hyperlink" xfId="15822" builtinId="8" hidden="1"/>
    <cellStyle name="Hyperlink" xfId="15824" builtinId="8" hidden="1"/>
    <cellStyle name="Hyperlink" xfId="15826" builtinId="8" hidden="1"/>
    <cellStyle name="Hyperlink" xfId="15828" builtinId="8" hidden="1"/>
    <cellStyle name="Hyperlink" xfId="15830" builtinId="8" hidden="1"/>
    <cellStyle name="Hyperlink" xfId="15832" builtinId="8" hidden="1"/>
    <cellStyle name="Hyperlink" xfId="15834" builtinId="8" hidden="1"/>
    <cellStyle name="Hyperlink" xfId="15836" builtinId="8" hidden="1"/>
    <cellStyle name="Hyperlink" xfId="15838" builtinId="8" hidden="1"/>
    <cellStyle name="Hyperlink" xfId="15840" builtinId="8" hidden="1"/>
    <cellStyle name="Hyperlink" xfId="15842" builtinId="8" hidden="1"/>
    <cellStyle name="Hyperlink" xfId="15844" builtinId="8" hidden="1"/>
    <cellStyle name="Hyperlink" xfId="15846" builtinId="8" hidden="1"/>
    <cellStyle name="Hyperlink" xfId="15848" builtinId="8" hidden="1"/>
    <cellStyle name="Hyperlink" xfId="15850" builtinId="8" hidden="1"/>
    <cellStyle name="Hyperlink" xfId="15852" builtinId="8" hidden="1"/>
    <cellStyle name="Hyperlink" xfId="15854" builtinId="8" hidden="1"/>
    <cellStyle name="Hyperlink" xfId="15856" builtinId="8" hidden="1"/>
    <cellStyle name="Hyperlink" xfId="15858" builtinId="8" hidden="1"/>
    <cellStyle name="Hyperlink" xfId="15860" builtinId="8" hidden="1"/>
    <cellStyle name="Hyperlink" xfId="15862" builtinId="8" hidden="1"/>
    <cellStyle name="Hyperlink" xfId="15864" builtinId="8" hidden="1"/>
    <cellStyle name="Hyperlink" xfId="15866" builtinId="8" hidden="1"/>
    <cellStyle name="Hyperlink" xfId="15868" builtinId="8" hidden="1"/>
    <cellStyle name="Hyperlink" xfId="15870" builtinId="8" hidden="1"/>
    <cellStyle name="Hyperlink" xfId="15872" builtinId="8" hidden="1"/>
    <cellStyle name="Hyperlink" xfId="15874" builtinId="8" hidden="1"/>
    <cellStyle name="Hyperlink" xfId="15876" builtinId="8" hidden="1"/>
    <cellStyle name="Hyperlink" xfId="15878" builtinId="8" hidden="1"/>
    <cellStyle name="Hyperlink" xfId="15880" builtinId="8" hidden="1"/>
    <cellStyle name="Hyperlink" xfId="15882" builtinId="8" hidden="1"/>
    <cellStyle name="Hyperlink" xfId="15884" builtinId="8" hidden="1"/>
    <cellStyle name="Hyperlink" xfId="15886" builtinId="8" hidden="1"/>
    <cellStyle name="Hyperlink" xfId="15888" builtinId="8" hidden="1"/>
    <cellStyle name="Hyperlink" xfId="15890" builtinId="8" hidden="1"/>
    <cellStyle name="Hyperlink" xfId="15892" builtinId="8" hidden="1"/>
    <cellStyle name="Hyperlink" xfId="15894" builtinId="8" hidden="1"/>
    <cellStyle name="Hyperlink" xfId="15896" builtinId="8" hidden="1"/>
    <cellStyle name="Hyperlink" xfId="15898" builtinId="8" hidden="1"/>
    <cellStyle name="Hyperlink" xfId="15900" builtinId="8" hidden="1"/>
    <cellStyle name="Hyperlink" xfId="15902" builtinId="8" hidden="1"/>
    <cellStyle name="Hyperlink" xfId="15904" builtinId="8" hidden="1"/>
    <cellStyle name="Hyperlink" xfId="15906" builtinId="8" hidden="1"/>
    <cellStyle name="Hyperlink" xfId="15908" builtinId="8" hidden="1"/>
    <cellStyle name="Hyperlink" xfId="15910" builtinId="8" hidden="1"/>
    <cellStyle name="Hyperlink" xfId="15912" builtinId="8" hidden="1"/>
    <cellStyle name="Hyperlink" xfId="15914" builtinId="8" hidden="1"/>
    <cellStyle name="Hyperlink" xfId="15916" builtinId="8" hidden="1"/>
    <cellStyle name="Hyperlink" xfId="15918" builtinId="8" hidden="1"/>
    <cellStyle name="Hyperlink" xfId="15920" builtinId="8" hidden="1"/>
    <cellStyle name="Hyperlink" xfId="15922" builtinId="8" hidden="1"/>
    <cellStyle name="Hyperlink" xfId="15924" builtinId="8" hidden="1"/>
    <cellStyle name="Hyperlink" xfId="15926" builtinId="8" hidden="1"/>
    <cellStyle name="Hyperlink" xfId="15928" builtinId="8" hidden="1"/>
    <cellStyle name="Hyperlink" xfId="15930" builtinId="8" hidden="1"/>
    <cellStyle name="Hyperlink" xfId="15932" builtinId="8" hidden="1"/>
    <cellStyle name="Hyperlink" xfId="15934" builtinId="8" hidden="1"/>
    <cellStyle name="Hyperlink" xfId="15936" builtinId="8" hidden="1"/>
    <cellStyle name="Hyperlink" xfId="15938" builtinId="8" hidden="1"/>
    <cellStyle name="Hyperlink" xfId="15940" builtinId="8" hidden="1"/>
    <cellStyle name="Hyperlink" xfId="15942" builtinId="8" hidden="1"/>
    <cellStyle name="Hyperlink" xfId="15944" builtinId="8" hidden="1"/>
    <cellStyle name="Hyperlink" xfId="15946" builtinId="8" hidden="1"/>
    <cellStyle name="Hyperlink" xfId="15948" builtinId="8" hidden="1"/>
    <cellStyle name="Hyperlink" xfId="15950" builtinId="8" hidden="1"/>
    <cellStyle name="Hyperlink" xfId="15952" builtinId="8" hidden="1"/>
    <cellStyle name="Hyperlink" xfId="15954" builtinId="8" hidden="1"/>
    <cellStyle name="Hyperlink" xfId="15956" builtinId="8" hidden="1"/>
    <cellStyle name="Hyperlink" xfId="15958" builtinId="8" hidden="1"/>
    <cellStyle name="Hyperlink" xfId="15960" builtinId="8" hidden="1"/>
    <cellStyle name="Hyperlink" xfId="15962" builtinId="8" hidden="1"/>
    <cellStyle name="Hyperlink" xfId="15964" builtinId="8" hidden="1"/>
    <cellStyle name="Hyperlink" xfId="15966" builtinId="8" hidden="1"/>
    <cellStyle name="Hyperlink" xfId="15968" builtinId="8" hidden="1"/>
    <cellStyle name="Hyperlink" xfId="15970" builtinId="8" hidden="1"/>
    <cellStyle name="Hyperlink" xfId="15972" builtinId="8" hidden="1"/>
    <cellStyle name="Hyperlink" xfId="15974" builtinId="8" hidden="1"/>
    <cellStyle name="Hyperlink" xfId="15976" builtinId="8" hidden="1"/>
    <cellStyle name="Hyperlink" xfId="15978" builtinId="8" hidden="1"/>
    <cellStyle name="Hyperlink" xfId="15980" builtinId="8" hidden="1"/>
    <cellStyle name="Hyperlink" xfId="15982" builtinId="8" hidden="1"/>
    <cellStyle name="Hyperlink" xfId="15984" builtinId="8" hidden="1"/>
    <cellStyle name="Hyperlink" xfId="15986" builtinId="8" hidden="1"/>
    <cellStyle name="Hyperlink" xfId="15988" builtinId="8" hidden="1"/>
    <cellStyle name="Hyperlink" xfId="15990" builtinId="8" hidden="1"/>
    <cellStyle name="Hyperlink" xfId="15992" builtinId="8" hidden="1"/>
    <cellStyle name="Hyperlink" xfId="15994" builtinId="8" hidden="1"/>
    <cellStyle name="Hyperlink" xfId="15996" builtinId="8" hidden="1"/>
    <cellStyle name="Hyperlink" xfId="15998" builtinId="8" hidden="1"/>
    <cellStyle name="Hyperlink" xfId="16000" builtinId="8" hidden="1"/>
    <cellStyle name="Hyperlink" xfId="16002" builtinId="8" hidden="1"/>
    <cellStyle name="Hyperlink" xfId="16004" builtinId="8" hidden="1"/>
    <cellStyle name="Hyperlink" xfId="16006" builtinId="8" hidden="1"/>
    <cellStyle name="Hyperlink" xfId="16008" builtinId="8" hidden="1"/>
    <cellStyle name="Hyperlink" xfId="16010" builtinId="8" hidden="1"/>
    <cellStyle name="Hyperlink" xfId="16012" builtinId="8" hidden="1"/>
    <cellStyle name="Hyperlink" xfId="16014" builtinId="8" hidden="1"/>
    <cellStyle name="Hyperlink" xfId="16016" builtinId="8" hidden="1"/>
    <cellStyle name="Hyperlink" xfId="16018" builtinId="8" hidden="1"/>
    <cellStyle name="Hyperlink" xfId="16020" builtinId="8" hidden="1"/>
    <cellStyle name="Hyperlink" xfId="16022" builtinId="8" hidden="1"/>
    <cellStyle name="Hyperlink" xfId="16024" builtinId="8" hidden="1"/>
    <cellStyle name="Hyperlink" xfId="16026" builtinId="8" hidden="1"/>
    <cellStyle name="Hyperlink" xfId="16028" builtinId="8" hidden="1"/>
    <cellStyle name="Hyperlink" xfId="16030" builtinId="8" hidden="1"/>
    <cellStyle name="Hyperlink" xfId="16032" builtinId="8" hidden="1"/>
    <cellStyle name="Hyperlink" xfId="16034" builtinId="8" hidden="1"/>
    <cellStyle name="Hyperlink" xfId="16036" builtinId="8" hidden="1"/>
    <cellStyle name="Hyperlink" xfId="16038" builtinId="8" hidden="1"/>
    <cellStyle name="Hyperlink" xfId="16040" builtinId="8" hidden="1"/>
    <cellStyle name="Hyperlink" xfId="16042" builtinId="8" hidden="1"/>
    <cellStyle name="Hyperlink" xfId="16044" builtinId="8" hidden="1"/>
    <cellStyle name="Hyperlink" xfId="16046" builtinId="8" hidden="1"/>
    <cellStyle name="Hyperlink" xfId="16048" builtinId="8" hidden="1"/>
    <cellStyle name="Hyperlink" xfId="16050" builtinId="8" hidden="1"/>
    <cellStyle name="Hyperlink" xfId="16052" builtinId="8" hidden="1"/>
    <cellStyle name="Hyperlink" xfId="16054" builtinId="8" hidden="1"/>
    <cellStyle name="Hyperlink" xfId="16056" builtinId="8" hidden="1"/>
    <cellStyle name="Hyperlink" xfId="16058" builtinId="8" hidden="1"/>
    <cellStyle name="Hyperlink" xfId="16060" builtinId="8" hidden="1"/>
    <cellStyle name="Hyperlink" xfId="16062" builtinId="8" hidden="1"/>
    <cellStyle name="Hyperlink" xfId="16064" builtinId="8" hidden="1"/>
    <cellStyle name="Hyperlink" xfId="16066" builtinId="8" hidden="1"/>
    <cellStyle name="Hyperlink" xfId="16068" builtinId="8" hidden="1"/>
    <cellStyle name="Hyperlink" xfId="16070" builtinId="8" hidden="1"/>
    <cellStyle name="Hyperlink" xfId="16072" builtinId="8" hidden="1"/>
    <cellStyle name="Hyperlink" xfId="16074" builtinId="8" hidden="1"/>
    <cellStyle name="Hyperlink" xfId="16076" builtinId="8" hidden="1"/>
    <cellStyle name="Hyperlink" xfId="16078" builtinId="8" hidden="1"/>
    <cellStyle name="Hyperlink" xfId="16080" builtinId="8" hidden="1"/>
    <cellStyle name="Hyperlink" xfId="16082" builtinId="8" hidden="1"/>
    <cellStyle name="Hyperlink" xfId="16084" builtinId="8" hidden="1"/>
    <cellStyle name="Hyperlink" xfId="16086" builtinId="8" hidden="1"/>
    <cellStyle name="Hyperlink" xfId="16088" builtinId="8" hidden="1"/>
    <cellStyle name="Hyperlink" xfId="16090" builtinId="8" hidden="1"/>
    <cellStyle name="Hyperlink" xfId="16092" builtinId="8" hidden="1"/>
    <cellStyle name="Hyperlink" xfId="16094" builtinId="8" hidden="1"/>
    <cellStyle name="Hyperlink" xfId="16096" builtinId="8" hidden="1"/>
    <cellStyle name="Hyperlink" xfId="16098" builtinId="8" hidden="1"/>
    <cellStyle name="Hyperlink" xfId="16100" builtinId="8" hidden="1"/>
    <cellStyle name="Hyperlink" xfId="16102" builtinId="8" hidden="1"/>
    <cellStyle name="Hyperlink" xfId="16104" builtinId="8" hidden="1"/>
    <cellStyle name="Hyperlink" xfId="16106" builtinId="8" hidden="1"/>
    <cellStyle name="Hyperlink" xfId="16108" builtinId="8" hidden="1"/>
    <cellStyle name="Hyperlink" xfId="16110" builtinId="8" hidden="1"/>
    <cellStyle name="Hyperlink" xfId="16112" builtinId="8" hidden="1"/>
    <cellStyle name="Hyperlink" xfId="16114" builtinId="8" hidden="1"/>
    <cellStyle name="Hyperlink" xfId="16116" builtinId="8" hidden="1"/>
    <cellStyle name="Hyperlink" xfId="16118" builtinId="8" hidden="1"/>
    <cellStyle name="Hyperlink" xfId="16120" builtinId="8" hidden="1"/>
    <cellStyle name="Hyperlink" xfId="16122" builtinId="8" hidden="1"/>
    <cellStyle name="Hyperlink" xfId="16124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38" builtinId="8" hidden="1"/>
    <cellStyle name="Hyperlink" xfId="16140" builtinId="8" hidden="1"/>
    <cellStyle name="Hyperlink" xfId="16142" builtinId="8" hidden="1"/>
    <cellStyle name="Hyperlink" xfId="16144" builtinId="8" hidden="1"/>
    <cellStyle name="Hyperlink" xfId="16146" builtinId="8" hidden="1"/>
    <cellStyle name="Hyperlink" xfId="16148" builtinId="8" hidden="1"/>
    <cellStyle name="Hyperlink" xfId="16150" builtinId="8" hidden="1"/>
    <cellStyle name="Hyperlink" xfId="16152" builtinId="8" hidden="1"/>
    <cellStyle name="Hyperlink" xfId="16154" builtinId="8" hidden="1"/>
    <cellStyle name="Hyperlink" xfId="16156" builtinId="8" hidden="1"/>
    <cellStyle name="Hyperlink" xfId="16158" builtinId="8" hidden="1"/>
    <cellStyle name="Hyperlink" xfId="16160" builtinId="8" hidden="1"/>
    <cellStyle name="Hyperlink" xfId="16162" builtinId="8" hidden="1"/>
    <cellStyle name="Hyperlink" xfId="16164" builtinId="8" hidden="1"/>
    <cellStyle name="Hyperlink" xfId="16166" builtinId="8" hidden="1"/>
    <cellStyle name="Hyperlink" xfId="16168" builtinId="8" hidden="1"/>
    <cellStyle name="Hyperlink" xfId="16170" builtinId="8" hidden="1"/>
    <cellStyle name="Hyperlink" xfId="16172" builtinId="8" hidden="1"/>
    <cellStyle name="Hyperlink" xfId="16174" builtinId="8" hidden="1"/>
    <cellStyle name="Hyperlink" xfId="16176" builtinId="8" hidden="1"/>
    <cellStyle name="Hyperlink" xfId="16178" builtinId="8" hidden="1"/>
    <cellStyle name="Hyperlink" xfId="16180" builtinId="8" hidden="1"/>
    <cellStyle name="Hyperlink" xfId="16182" builtinId="8" hidden="1"/>
    <cellStyle name="Hyperlink" xfId="16184" builtinId="8" hidden="1"/>
    <cellStyle name="Hyperlink" xfId="16186" builtinId="8" hidden="1"/>
    <cellStyle name="Hyperlink" xfId="16188" builtinId="8" hidden="1"/>
    <cellStyle name="Hyperlink" xfId="16190" builtinId="8" hidden="1"/>
    <cellStyle name="Hyperlink" xfId="16192" builtinId="8" hidden="1"/>
    <cellStyle name="Hyperlink" xfId="16194" builtinId="8" hidden="1"/>
    <cellStyle name="Hyperlink" xfId="16196" builtinId="8" hidden="1"/>
    <cellStyle name="Hyperlink" xfId="16198" builtinId="8" hidden="1"/>
    <cellStyle name="Hyperlink" xfId="16200" builtinId="8" hidden="1"/>
    <cellStyle name="Hyperlink" xfId="16202" builtinId="8" hidden="1"/>
    <cellStyle name="Hyperlink" xfId="16204" builtinId="8" hidden="1"/>
    <cellStyle name="Hyperlink" xfId="16206" builtinId="8" hidden="1"/>
    <cellStyle name="Hyperlink" xfId="16208" builtinId="8" hidden="1"/>
    <cellStyle name="Hyperlink" xfId="16210" builtinId="8" hidden="1"/>
    <cellStyle name="Hyperlink" xfId="16212" builtinId="8" hidden="1"/>
    <cellStyle name="Hyperlink" xfId="16214" builtinId="8" hidden="1"/>
    <cellStyle name="Hyperlink" xfId="16216" builtinId="8" hidden="1"/>
    <cellStyle name="Hyperlink" xfId="16218" builtinId="8" hidden="1"/>
    <cellStyle name="Hyperlink" xfId="16220" builtinId="8" hidden="1"/>
    <cellStyle name="Hyperlink" xfId="16222" builtinId="8" hidden="1"/>
    <cellStyle name="Hyperlink" xfId="16224" builtinId="8" hidden="1"/>
    <cellStyle name="Hyperlink" xfId="16226" builtinId="8" hidden="1"/>
    <cellStyle name="Hyperlink" xfId="16228" builtinId="8" hidden="1"/>
    <cellStyle name="Hyperlink" xfId="16230" builtinId="8" hidden="1"/>
    <cellStyle name="Hyperlink" xfId="16232" builtinId="8" hidden="1"/>
    <cellStyle name="Hyperlink" xfId="16234" builtinId="8" hidden="1"/>
    <cellStyle name="Hyperlink" xfId="16236" builtinId="8" hidden="1"/>
    <cellStyle name="Hyperlink" xfId="16238" builtinId="8" hidden="1"/>
    <cellStyle name="Hyperlink" xfId="16240" builtinId="8" hidden="1"/>
    <cellStyle name="Hyperlink" xfId="16242" builtinId="8" hidden="1"/>
    <cellStyle name="Hyperlink" xfId="16244" builtinId="8" hidden="1"/>
    <cellStyle name="Hyperlink" xfId="16246" builtinId="8" hidden="1"/>
    <cellStyle name="Hyperlink" xfId="16248" builtinId="8" hidden="1"/>
    <cellStyle name="Hyperlink" xfId="16250" builtinId="8" hidden="1"/>
    <cellStyle name="Hyperlink" xfId="16252" builtinId="8" hidden="1"/>
    <cellStyle name="Hyperlink" xfId="16254" builtinId="8" hidden="1"/>
    <cellStyle name="Hyperlink" xfId="16256" builtinId="8" hidden="1"/>
    <cellStyle name="Hyperlink" xfId="16258" builtinId="8" hidden="1"/>
    <cellStyle name="Hyperlink" xfId="16260" builtinId="8" hidden="1"/>
    <cellStyle name="Hyperlink" xfId="16262" builtinId="8" hidden="1"/>
    <cellStyle name="Hyperlink" xfId="16264" builtinId="8" hidden="1"/>
    <cellStyle name="Hyperlink" xfId="16266" builtinId="8" hidden="1"/>
    <cellStyle name="Hyperlink" xfId="16268" builtinId="8" hidden="1"/>
    <cellStyle name="Hyperlink" xfId="16270" builtinId="8" hidden="1"/>
    <cellStyle name="Hyperlink" xfId="16272" builtinId="8" hidden="1"/>
    <cellStyle name="Hyperlink" xfId="16274" builtinId="8" hidden="1"/>
    <cellStyle name="Hyperlink" xfId="16276" builtinId="8" hidden="1"/>
    <cellStyle name="Hyperlink" xfId="16278" builtinId="8" hidden="1"/>
    <cellStyle name="Hyperlink" xfId="16280" builtinId="8" hidden="1"/>
    <cellStyle name="Hyperlink" xfId="16282" builtinId="8" hidden="1"/>
    <cellStyle name="Hyperlink" xfId="16284" builtinId="8" hidden="1"/>
    <cellStyle name="Hyperlink" xfId="16286" builtinId="8" hidden="1"/>
    <cellStyle name="Hyperlink" xfId="16288" builtinId="8" hidden="1"/>
    <cellStyle name="Hyperlink" xfId="16290" builtinId="8" hidden="1"/>
    <cellStyle name="Hyperlink" xfId="16292" builtinId="8" hidden="1"/>
    <cellStyle name="Hyperlink" xfId="16294" builtinId="8" hidden="1"/>
    <cellStyle name="Hyperlink" xfId="16296" builtinId="8" hidden="1"/>
    <cellStyle name="Hyperlink" xfId="16298" builtinId="8" hidden="1"/>
    <cellStyle name="Hyperlink" xfId="16300" builtinId="8" hidden="1"/>
    <cellStyle name="Hyperlink" xfId="16302" builtinId="8" hidden="1"/>
    <cellStyle name="Hyperlink" xfId="16304" builtinId="8" hidden="1"/>
    <cellStyle name="Hyperlink" xfId="16306" builtinId="8" hidden="1"/>
    <cellStyle name="Hyperlink" xfId="16308" builtinId="8" hidden="1"/>
    <cellStyle name="Hyperlink" xfId="16310" builtinId="8" hidden="1"/>
    <cellStyle name="Hyperlink" xfId="16312" builtinId="8" hidden="1"/>
    <cellStyle name="Hyperlink" xfId="16314" builtinId="8" hidden="1"/>
    <cellStyle name="Hyperlink" xfId="16316" builtinId="8" hidden="1"/>
    <cellStyle name="Hyperlink" xfId="16318" builtinId="8" hidden="1"/>
    <cellStyle name="Hyperlink" xfId="16320" builtinId="8" hidden="1"/>
    <cellStyle name="Hyperlink" xfId="16322" builtinId="8" hidden="1"/>
    <cellStyle name="Hyperlink" xfId="16324" builtinId="8" hidden="1"/>
    <cellStyle name="Hyperlink" xfId="16326" builtinId="8" hidden="1"/>
    <cellStyle name="Hyperlink" xfId="16328" builtinId="8" hidden="1"/>
    <cellStyle name="Hyperlink" xfId="16330" builtinId="8" hidden="1"/>
    <cellStyle name="Hyperlink" xfId="16332" builtinId="8" hidden="1"/>
    <cellStyle name="Hyperlink" xfId="16334" builtinId="8" hidden="1"/>
    <cellStyle name="Hyperlink" xfId="16336" builtinId="8" hidden="1"/>
    <cellStyle name="Hyperlink" xfId="16338" builtinId="8" hidden="1"/>
    <cellStyle name="Hyperlink" xfId="16340" builtinId="8" hidden="1"/>
    <cellStyle name="Hyperlink" xfId="16342" builtinId="8" hidden="1"/>
    <cellStyle name="Hyperlink" xfId="16344" builtinId="8" hidden="1"/>
    <cellStyle name="Hyperlink" xfId="16346" builtinId="8" hidden="1"/>
    <cellStyle name="Hyperlink" xfId="16348" builtinId="8" hidden="1"/>
    <cellStyle name="Hyperlink" xfId="16350" builtinId="8" hidden="1"/>
    <cellStyle name="Hyperlink" xfId="16352" builtinId="8" hidden="1"/>
    <cellStyle name="Hyperlink" xfId="16354" builtinId="8" hidden="1"/>
    <cellStyle name="Hyperlink" xfId="16356" builtinId="8" hidden="1"/>
    <cellStyle name="Hyperlink" xfId="16358" builtinId="8" hidden="1"/>
    <cellStyle name="Hyperlink" xfId="16360" builtinId="8" hidden="1"/>
    <cellStyle name="Hyperlink" xfId="16362" builtinId="8" hidden="1"/>
    <cellStyle name="Hyperlink" xfId="16364" builtinId="8" hidden="1"/>
    <cellStyle name="Hyperlink" xfId="16366" builtinId="8" hidden="1"/>
    <cellStyle name="Hyperlink" xfId="16368" builtinId="8" hidden="1"/>
    <cellStyle name="Hyperlink" xfId="16370" builtinId="8" hidden="1"/>
    <cellStyle name="Hyperlink" xfId="16372" builtinId="8" hidden="1"/>
    <cellStyle name="Hyperlink" xfId="16374" builtinId="8" hidden="1"/>
    <cellStyle name="Hyperlink" xfId="16376" builtinId="8" hidden="1"/>
    <cellStyle name="Hyperlink" xfId="16378" builtinId="8" hidden="1"/>
    <cellStyle name="Hyperlink" xfId="16380" builtinId="8" hidden="1"/>
    <cellStyle name="Hyperlink" xfId="16382" builtinId="8" hidden="1"/>
    <cellStyle name="Hyperlink" xfId="16384" builtinId="8" hidden="1"/>
    <cellStyle name="Hyperlink" xfId="16386" builtinId="8" hidden="1"/>
    <cellStyle name="Hyperlink" xfId="16388" builtinId="8" hidden="1"/>
    <cellStyle name="Hyperlink" xfId="16390" builtinId="8" hidden="1"/>
    <cellStyle name="Hyperlink" xfId="16392" builtinId="8" hidden="1"/>
    <cellStyle name="Hyperlink" xfId="16394" builtinId="8" hidden="1"/>
    <cellStyle name="Hyperlink" xfId="16396" builtinId="8" hidden="1"/>
    <cellStyle name="Hyperlink" xfId="16398" builtinId="8" hidden="1"/>
    <cellStyle name="Hyperlink" xfId="16400" builtinId="8" hidden="1"/>
    <cellStyle name="Hyperlink" xfId="16402" builtinId="8" hidden="1"/>
    <cellStyle name="Hyperlink" xfId="16404" builtinId="8" hidden="1"/>
    <cellStyle name="Hyperlink" xfId="16406" builtinId="8" hidden="1"/>
    <cellStyle name="Hyperlink" xfId="16408" builtinId="8" hidden="1"/>
    <cellStyle name="Hyperlink" xfId="16410" builtinId="8" hidden="1"/>
    <cellStyle name="Hyperlink" xfId="16412" builtinId="8" hidden="1"/>
    <cellStyle name="Hyperlink" xfId="16414" builtinId="8" hidden="1"/>
    <cellStyle name="Hyperlink" xfId="16416" builtinId="8" hidden="1"/>
    <cellStyle name="Hyperlink" xfId="16418" builtinId="8" hidden="1"/>
    <cellStyle name="Hyperlink" xfId="16420" builtinId="8" hidden="1"/>
    <cellStyle name="Hyperlink" xfId="16422" builtinId="8" hidden="1"/>
    <cellStyle name="Hyperlink" xfId="16424" builtinId="8" hidden="1"/>
    <cellStyle name="Hyperlink" xfId="16426" builtinId="8" hidden="1"/>
    <cellStyle name="Hyperlink" xfId="16428" builtinId="8" hidden="1"/>
    <cellStyle name="Hyperlink" xfId="16430" builtinId="8" hidden="1"/>
    <cellStyle name="Hyperlink" xfId="16432" builtinId="8" hidden="1"/>
    <cellStyle name="Hyperlink" xfId="16434" builtinId="8" hidden="1"/>
    <cellStyle name="Hyperlink" xfId="16436" builtinId="8" hidden="1"/>
    <cellStyle name="Hyperlink" xfId="16438" builtinId="8" hidden="1"/>
    <cellStyle name="Hyperlink" xfId="16440" builtinId="8" hidden="1"/>
    <cellStyle name="Hyperlink" xfId="16442" builtinId="8" hidden="1"/>
    <cellStyle name="Hyperlink" xfId="16444" builtinId="8" hidden="1"/>
    <cellStyle name="Hyperlink" xfId="16446" builtinId="8" hidden="1"/>
    <cellStyle name="Hyperlink" xfId="16448" builtinId="8" hidden="1"/>
    <cellStyle name="Hyperlink" xfId="16450" builtinId="8" hidden="1"/>
    <cellStyle name="Hyperlink" xfId="16452" builtinId="8" hidden="1"/>
    <cellStyle name="Hyperlink" xfId="16454" builtinId="8" hidden="1"/>
    <cellStyle name="Hyperlink" xfId="16456" builtinId="8" hidden="1"/>
    <cellStyle name="Hyperlink" xfId="16458" builtinId="8" hidden="1"/>
    <cellStyle name="Hyperlink" xfId="16460" builtinId="8" hidden="1"/>
    <cellStyle name="Hyperlink" xfId="16462" builtinId="8" hidden="1"/>
    <cellStyle name="Hyperlink" xfId="16464" builtinId="8" hidden="1"/>
    <cellStyle name="Hyperlink" xfId="16466" builtinId="8" hidden="1"/>
    <cellStyle name="Hyperlink" xfId="16468" builtinId="8" hidden="1"/>
    <cellStyle name="Hyperlink" xfId="16470" builtinId="8" hidden="1"/>
    <cellStyle name="Hyperlink" xfId="16472" builtinId="8" hidden="1"/>
    <cellStyle name="Hyperlink" xfId="16474" builtinId="8" hidden="1"/>
    <cellStyle name="Hyperlink" xfId="16476" builtinId="8" hidden="1"/>
    <cellStyle name="Hyperlink" xfId="16478" builtinId="8" hidden="1"/>
    <cellStyle name="Hyperlink" xfId="16480" builtinId="8" hidden="1"/>
    <cellStyle name="Hyperlink" xfId="16482" builtinId="8" hidden="1"/>
    <cellStyle name="Hyperlink" xfId="16484" builtinId="8" hidden="1"/>
    <cellStyle name="Hyperlink" xfId="16486" builtinId="8" hidden="1"/>
    <cellStyle name="Hyperlink" xfId="16488" builtinId="8" hidden="1"/>
    <cellStyle name="Hyperlink" xfId="16490" builtinId="8" hidden="1"/>
    <cellStyle name="Hyperlink" xfId="16492" builtinId="8" hidden="1"/>
    <cellStyle name="Hyperlink" xfId="16494" builtinId="8" hidden="1"/>
    <cellStyle name="Hyperlink" xfId="16496" builtinId="8" hidden="1"/>
    <cellStyle name="Hyperlink" xfId="16498" builtinId="8" hidden="1"/>
    <cellStyle name="Hyperlink" xfId="16500" builtinId="8" hidden="1"/>
    <cellStyle name="Hyperlink" xfId="16502" builtinId="8" hidden="1"/>
    <cellStyle name="Hyperlink" xfId="16504" builtinId="8" hidden="1"/>
    <cellStyle name="Hyperlink" xfId="16506" builtinId="8" hidden="1"/>
    <cellStyle name="Hyperlink" xfId="16508" builtinId="8" hidden="1"/>
    <cellStyle name="Hyperlink" xfId="16510" builtinId="8" hidden="1"/>
    <cellStyle name="Hyperlink" xfId="16512" builtinId="8" hidden="1"/>
    <cellStyle name="Hyperlink" xfId="16514" builtinId="8" hidden="1"/>
    <cellStyle name="Hyperlink" xfId="16516" builtinId="8" hidden="1"/>
    <cellStyle name="Hyperlink" xfId="16518" builtinId="8" hidden="1"/>
    <cellStyle name="Hyperlink" xfId="16520" builtinId="8" hidden="1"/>
    <cellStyle name="Hyperlink" xfId="16522" builtinId="8" hidden="1"/>
    <cellStyle name="Hyperlink" xfId="16524" builtinId="8" hidden="1"/>
    <cellStyle name="Hyperlink" xfId="16526" builtinId="8" hidden="1"/>
    <cellStyle name="Hyperlink" xfId="16528" builtinId="8" hidden="1"/>
    <cellStyle name="Hyperlink" xfId="16530" builtinId="8" hidden="1"/>
    <cellStyle name="Hyperlink" xfId="16532" builtinId="8" hidden="1"/>
    <cellStyle name="Hyperlink" xfId="16534" builtinId="8" hidden="1"/>
    <cellStyle name="Hyperlink" xfId="16536" builtinId="8" hidden="1"/>
    <cellStyle name="Hyperlink" xfId="16538" builtinId="8" hidden="1"/>
    <cellStyle name="Hyperlink" xfId="16540" builtinId="8" hidden="1"/>
    <cellStyle name="Hyperlink" xfId="16542" builtinId="8" hidden="1"/>
    <cellStyle name="Hyperlink" xfId="16544" builtinId="8" hidden="1"/>
    <cellStyle name="Hyperlink" xfId="16546" builtinId="8" hidden="1"/>
    <cellStyle name="Hyperlink" xfId="16548" builtinId="8" hidden="1"/>
    <cellStyle name="Hyperlink" xfId="16550" builtinId="8" hidden="1"/>
    <cellStyle name="Hyperlink" xfId="16552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56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568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76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84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59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600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608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616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6624" builtinId="8" hidden="1"/>
    <cellStyle name="Hyperlink" xfId="16626" builtinId="8" hidden="1"/>
    <cellStyle name="Hyperlink" xfId="16628" builtinId="8" hidden="1"/>
    <cellStyle name="Hyperlink" xfId="16630" builtinId="8" hidden="1"/>
    <cellStyle name="Hyperlink" xfId="16632" builtinId="8" hidden="1"/>
    <cellStyle name="Hyperlink" xfId="16634" builtinId="8" hidden="1"/>
    <cellStyle name="Hyperlink" xfId="16636" builtinId="8" hidden="1"/>
    <cellStyle name="Hyperlink" xfId="16638" builtinId="8" hidden="1"/>
    <cellStyle name="Hyperlink" xfId="16640" builtinId="8" hidden="1"/>
    <cellStyle name="Hyperlink" xfId="16642" builtinId="8" hidden="1"/>
    <cellStyle name="Hyperlink" xfId="16644" builtinId="8" hidden="1"/>
    <cellStyle name="Hyperlink" xfId="16646" builtinId="8" hidden="1"/>
    <cellStyle name="Hyperlink" xfId="16648" builtinId="8" hidden="1"/>
    <cellStyle name="Hyperlink" xfId="16650" builtinId="8" hidden="1"/>
    <cellStyle name="Hyperlink" xfId="16652" builtinId="8" hidden="1"/>
    <cellStyle name="Hyperlink" xfId="16654" builtinId="8" hidden="1"/>
    <cellStyle name="Hyperlink" xfId="16656" builtinId="8" hidden="1"/>
    <cellStyle name="Hyperlink" xfId="16658" builtinId="8" hidden="1"/>
    <cellStyle name="Hyperlink" xfId="16660" builtinId="8" hidden="1"/>
    <cellStyle name="Hyperlink" xfId="16662" builtinId="8" hidden="1"/>
    <cellStyle name="Hyperlink" xfId="16664" builtinId="8" hidden="1"/>
    <cellStyle name="Hyperlink" xfId="16666" builtinId="8" hidden="1"/>
    <cellStyle name="Hyperlink" xfId="16668" builtinId="8" hidden="1"/>
    <cellStyle name="Hyperlink" xfId="16670" builtinId="8" hidden="1"/>
    <cellStyle name="Hyperlink" xfId="16672" builtinId="8" hidden="1"/>
    <cellStyle name="Hyperlink" xfId="16674" builtinId="8" hidden="1"/>
    <cellStyle name="Hyperlink" xfId="16676" builtinId="8" hidden="1"/>
    <cellStyle name="Hyperlink" xfId="16678" builtinId="8" hidden="1"/>
    <cellStyle name="Hyperlink" xfId="16680" builtinId="8" hidden="1"/>
    <cellStyle name="Hyperlink" xfId="16682" builtinId="8" hidden="1"/>
    <cellStyle name="Hyperlink" xfId="16684" builtinId="8" hidden="1"/>
    <cellStyle name="Hyperlink" xfId="16686" builtinId="8" hidden="1"/>
    <cellStyle name="Hyperlink" xfId="16688" builtinId="8" hidden="1"/>
    <cellStyle name="Hyperlink" xfId="16690" builtinId="8" hidden="1"/>
    <cellStyle name="Hyperlink" xfId="16692" builtinId="8" hidden="1"/>
    <cellStyle name="Hyperlink" xfId="16694" builtinId="8" hidden="1"/>
    <cellStyle name="Hyperlink" xfId="16696" builtinId="8" hidden="1"/>
    <cellStyle name="Hyperlink" xfId="16698" builtinId="8" hidden="1"/>
    <cellStyle name="Hyperlink" xfId="16700" builtinId="8" hidden="1"/>
    <cellStyle name="Hyperlink" xfId="16702" builtinId="8" hidden="1"/>
    <cellStyle name="Hyperlink" xfId="16704" builtinId="8" hidden="1"/>
    <cellStyle name="Hyperlink" xfId="16706" builtinId="8" hidden="1"/>
    <cellStyle name="Hyperlink" xfId="16708" builtinId="8" hidden="1"/>
    <cellStyle name="Hyperlink" xfId="16710" builtinId="8" hidden="1"/>
    <cellStyle name="Hyperlink" xfId="16712" builtinId="8" hidden="1"/>
    <cellStyle name="Hyperlink" xfId="16714" builtinId="8" hidden="1"/>
    <cellStyle name="Hyperlink" xfId="16716" builtinId="8" hidden="1"/>
    <cellStyle name="Hyperlink" xfId="16718" builtinId="8" hidden="1"/>
    <cellStyle name="Hyperlink" xfId="16720" builtinId="8" hidden="1"/>
    <cellStyle name="Hyperlink" xfId="16722" builtinId="8" hidden="1"/>
    <cellStyle name="Hyperlink" xfId="16724" builtinId="8" hidden="1"/>
    <cellStyle name="Hyperlink" xfId="16726" builtinId="8" hidden="1"/>
    <cellStyle name="Hyperlink" xfId="16728" builtinId="8" hidden="1"/>
    <cellStyle name="Hyperlink" xfId="16730" builtinId="8" hidden="1"/>
    <cellStyle name="Hyperlink" xfId="16732" builtinId="8" hidden="1"/>
    <cellStyle name="Hyperlink" xfId="16734" builtinId="8" hidden="1"/>
    <cellStyle name="Hyperlink" xfId="16736" builtinId="8" hidden="1"/>
    <cellStyle name="Hyperlink" xfId="16738" builtinId="8" hidden="1"/>
    <cellStyle name="Hyperlink" xfId="16740" builtinId="8" hidden="1"/>
    <cellStyle name="Hyperlink" xfId="16742" builtinId="8" hidden="1"/>
    <cellStyle name="Hyperlink" xfId="16744" builtinId="8" hidden="1"/>
    <cellStyle name="Hyperlink" xfId="16746" builtinId="8" hidden="1"/>
    <cellStyle name="Hyperlink" xfId="16748" builtinId="8" hidden="1"/>
    <cellStyle name="Hyperlink" xfId="16750" builtinId="8" hidden="1"/>
    <cellStyle name="Hyperlink" xfId="16752" builtinId="8" hidden="1"/>
    <cellStyle name="Hyperlink" xfId="16754" builtinId="8" hidden="1"/>
    <cellStyle name="Hyperlink" xfId="16756" builtinId="8" hidden="1"/>
    <cellStyle name="Hyperlink" xfId="16758" builtinId="8" hidden="1"/>
    <cellStyle name="Hyperlink" xfId="16760" builtinId="8" hidden="1"/>
    <cellStyle name="Hyperlink" xfId="16762" builtinId="8" hidden="1"/>
    <cellStyle name="Hyperlink" xfId="16764" builtinId="8" hidden="1"/>
    <cellStyle name="Hyperlink" xfId="16766" builtinId="8" hidden="1"/>
    <cellStyle name="Hyperlink" xfId="16768" builtinId="8" hidden="1"/>
    <cellStyle name="Hyperlink" xfId="16770" builtinId="8" hidden="1"/>
    <cellStyle name="Hyperlink" xfId="16772" builtinId="8" hidden="1"/>
    <cellStyle name="Hyperlink" xfId="16774" builtinId="8" hidden="1"/>
    <cellStyle name="Hyperlink" xfId="16776" builtinId="8" hidden="1"/>
    <cellStyle name="Hyperlink" xfId="16778" builtinId="8" hidden="1"/>
    <cellStyle name="Hyperlink" xfId="16780" builtinId="8" hidden="1"/>
    <cellStyle name="Hyperlink" xfId="16782" builtinId="8" hidden="1"/>
    <cellStyle name="Hyperlink" xfId="16784" builtinId="8" hidden="1"/>
    <cellStyle name="Hyperlink" xfId="16786" builtinId="8" hidden="1"/>
    <cellStyle name="Hyperlink" xfId="16788" builtinId="8" hidden="1"/>
    <cellStyle name="Hyperlink" xfId="16790" builtinId="8" hidden="1"/>
    <cellStyle name="Hyperlink" xfId="16792" builtinId="8" hidden="1"/>
    <cellStyle name="Hyperlink" xfId="16794" builtinId="8" hidden="1"/>
    <cellStyle name="Hyperlink" xfId="16796" builtinId="8" hidden="1"/>
    <cellStyle name="Hyperlink" xfId="16798" builtinId="8" hidden="1"/>
    <cellStyle name="Hyperlink" xfId="16800" builtinId="8" hidden="1"/>
    <cellStyle name="Hyperlink" xfId="16802" builtinId="8" hidden="1"/>
    <cellStyle name="Hyperlink" xfId="16804" builtinId="8" hidden="1"/>
    <cellStyle name="Hyperlink" xfId="16806" builtinId="8" hidden="1"/>
    <cellStyle name="Hyperlink" xfId="16808" builtinId="8" hidden="1"/>
    <cellStyle name="Hyperlink" xfId="16810" builtinId="8" hidden="1"/>
    <cellStyle name="Hyperlink" xfId="16812" builtinId="8" hidden="1"/>
    <cellStyle name="Hyperlink" xfId="16814" builtinId="8" hidden="1"/>
    <cellStyle name="Hyperlink" xfId="16816" builtinId="8" hidden="1"/>
    <cellStyle name="Hyperlink" xfId="16818" builtinId="8" hidden="1"/>
    <cellStyle name="Hyperlink" xfId="16820" builtinId="8" hidden="1"/>
    <cellStyle name="Hyperlink" xfId="16822" builtinId="8" hidden="1"/>
    <cellStyle name="Hyperlink" xfId="16824" builtinId="8" hidden="1"/>
    <cellStyle name="Hyperlink" xfId="16826" builtinId="8" hidden="1"/>
    <cellStyle name="Hyperlink" xfId="16828" builtinId="8" hidden="1"/>
    <cellStyle name="Hyperlink" xfId="16830" builtinId="8" hidden="1"/>
    <cellStyle name="Hyperlink" xfId="16832" builtinId="8" hidden="1"/>
    <cellStyle name="Hyperlink" xfId="16834" builtinId="8" hidden="1"/>
    <cellStyle name="Hyperlink" xfId="16836" builtinId="8" hidden="1"/>
    <cellStyle name="Hyperlink" xfId="16838" builtinId="8" hidden="1"/>
    <cellStyle name="Hyperlink" xfId="16840" builtinId="8" hidden="1"/>
    <cellStyle name="Hyperlink" xfId="16842" builtinId="8" hidden="1"/>
    <cellStyle name="Hyperlink" xfId="16844" builtinId="8" hidden="1"/>
    <cellStyle name="Hyperlink" xfId="16846" builtinId="8" hidden="1"/>
    <cellStyle name="Hyperlink" xfId="16848" builtinId="8" hidden="1"/>
    <cellStyle name="Hyperlink" xfId="16850" builtinId="8" hidden="1"/>
    <cellStyle name="Hyperlink" xfId="16852" builtinId="8" hidden="1"/>
    <cellStyle name="Hyperlink" xfId="16854" builtinId="8" hidden="1"/>
    <cellStyle name="Hyperlink" xfId="16856" builtinId="8" hidden="1"/>
    <cellStyle name="Hyperlink" xfId="16858" builtinId="8" hidden="1"/>
    <cellStyle name="Hyperlink" xfId="16860" builtinId="8" hidden="1"/>
    <cellStyle name="Hyperlink" xfId="16862" builtinId="8" hidden="1"/>
    <cellStyle name="Hyperlink" xfId="16864" builtinId="8" hidden="1"/>
    <cellStyle name="Hyperlink" xfId="16866" builtinId="8" hidden="1"/>
    <cellStyle name="Hyperlink" xfId="16868" builtinId="8" hidden="1"/>
    <cellStyle name="Hyperlink" xfId="16870" builtinId="8" hidden="1"/>
    <cellStyle name="Hyperlink" xfId="16872" builtinId="8" hidden="1"/>
    <cellStyle name="Hyperlink" xfId="16874" builtinId="8" hidden="1"/>
    <cellStyle name="Hyperlink" xfId="16876" builtinId="8" hidden="1"/>
    <cellStyle name="Hyperlink" xfId="16878" builtinId="8" hidden="1"/>
    <cellStyle name="Hyperlink" xfId="16880" builtinId="8" hidden="1"/>
    <cellStyle name="Hyperlink" xfId="16882" builtinId="8" hidden="1"/>
    <cellStyle name="Hyperlink" xfId="16884" builtinId="8" hidden="1"/>
    <cellStyle name="Hyperlink" xfId="16886" builtinId="8" hidden="1"/>
    <cellStyle name="Hyperlink" xfId="16888" builtinId="8" hidden="1"/>
    <cellStyle name="Hyperlink" xfId="16890" builtinId="8" hidden="1"/>
    <cellStyle name="Hyperlink" xfId="16892" builtinId="8" hidden="1"/>
    <cellStyle name="Hyperlink" xfId="16894" builtinId="8" hidden="1"/>
    <cellStyle name="Hyperlink" xfId="16896" builtinId="8" hidden="1"/>
    <cellStyle name="Hyperlink" xfId="16898" builtinId="8" hidden="1"/>
    <cellStyle name="Hyperlink" xfId="16900" builtinId="8" hidden="1"/>
    <cellStyle name="Hyperlink" xfId="16902" builtinId="8" hidden="1"/>
    <cellStyle name="Hyperlink" xfId="16904" builtinId="8" hidden="1"/>
    <cellStyle name="Hyperlink" xfId="16906" builtinId="8" hidden="1"/>
    <cellStyle name="Hyperlink" xfId="16908" builtinId="8" hidden="1"/>
    <cellStyle name="Hyperlink" xfId="16910" builtinId="8" hidden="1"/>
    <cellStyle name="Hyperlink" xfId="16912" builtinId="8" hidden="1"/>
    <cellStyle name="Hyperlink" xfId="16914" builtinId="8" hidden="1"/>
    <cellStyle name="Hyperlink" xfId="16916" builtinId="8" hidden="1"/>
    <cellStyle name="Hyperlink" xfId="16918" builtinId="8" hidden="1"/>
    <cellStyle name="Hyperlink" xfId="16920" builtinId="8" hidden="1"/>
    <cellStyle name="Hyperlink" xfId="16922" builtinId="8" hidden="1"/>
    <cellStyle name="Hyperlink" xfId="16924" builtinId="8" hidden="1"/>
    <cellStyle name="Hyperlink" xfId="16926" builtinId="8" hidden="1"/>
    <cellStyle name="Hyperlink" xfId="16928" builtinId="8" hidden="1"/>
    <cellStyle name="Hyperlink" xfId="16930" builtinId="8" hidden="1"/>
    <cellStyle name="Hyperlink" xfId="16932" builtinId="8" hidden="1"/>
    <cellStyle name="Hyperlink" xfId="16934" builtinId="8" hidden="1"/>
    <cellStyle name="Hyperlink" xfId="16936" builtinId="8" hidden="1"/>
    <cellStyle name="Hyperlink" xfId="16938" builtinId="8" hidden="1"/>
    <cellStyle name="Hyperlink" xfId="16940" builtinId="8" hidden="1"/>
    <cellStyle name="Hyperlink" xfId="16942" builtinId="8" hidden="1"/>
    <cellStyle name="Hyperlink" xfId="16944" builtinId="8" hidden="1"/>
    <cellStyle name="Hyperlink" xfId="16946" builtinId="8" hidden="1"/>
    <cellStyle name="Hyperlink" xfId="16948" builtinId="8" hidden="1"/>
    <cellStyle name="Hyperlink" xfId="16950" builtinId="8" hidden="1"/>
    <cellStyle name="Hyperlink" xfId="16952" builtinId="8" hidden="1"/>
    <cellStyle name="Hyperlink" xfId="16954" builtinId="8" hidden="1"/>
    <cellStyle name="Hyperlink" xfId="16956" builtinId="8" hidden="1"/>
    <cellStyle name="Hyperlink" xfId="16958" builtinId="8" hidden="1"/>
    <cellStyle name="Hyperlink" xfId="16960" builtinId="8" hidden="1"/>
    <cellStyle name="Hyperlink" xfId="16962" builtinId="8" hidden="1"/>
    <cellStyle name="Hyperlink" xfId="16964" builtinId="8" hidden="1"/>
    <cellStyle name="Hyperlink" xfId="16966" builtinId="8" hidden="1"/>
    <cellStyle name="Hyperlink" xfId="16968" builtinId="8" hidden="1"/>
    <cellStyle name="Hyperlink" xfId="16970" builtinId="8" hidden="1"/>
    <cellStyle name="Hyperlink" xfId="16972" builtinId="8" hidden="1"/>
    <cellStyle name="Hyperlink" xfId="16974" builtinId="8" hidden="1"/>
    <cellStyle name="Hyperlink" xfId="16976" builtinId="8" hidden="1"/>
    <cellStyle name="Hyperlink" xfId="16978" builtinId="8" hidden="1"/>
    <cellStyle name="Hyperlink" xfId="16980" builtinId="8" hidden="1"/>
    <cellStyle name="Hyperlink" xfId="16982" builtinId="8" hidden="1"/>
    <cellStyle name="Hyperlink" xfId="16984" builtinId="8" hidden="1"/>
    <cellStyle name="Hyperlink" xfId="16986" builtinId="8" hidden="1"/>
    <cellStyle name="Hyperlink" xfId="16988" builtinId="8" hidden="1"/>
    <cellStyle name="Hyperlink" xfId="16990" builtinId="8" hidden="1"/>
    <cellStyle name="Hyperlink" xfId="16992" builtinId="8" hidden="1"/>
    <cellStyle name="Hyperlink" xfId="16994" builtinId="8" hidden="1"/>
    <cellStyle name="Hyperlink" xfId="16996" builtinId="8" hidden="1"/>
    <cellStyle name="Hyperlink" xfId="16998" builtinId="8" hidden="1"/>
    <cellStyle name="Hyperlink" xfId="17000" builtinId="8" hidden="1"/>
    <cellStyle name="Hyperlink" xfId="17002" builtinId="8" hidden="1"/>
    <cellStyle name="Hyperlink" xfId="17004" builtinId="8" hidden="1"/>
    <cellStyle name="Hyperlink" xfId="17006" builtinId="8" hidden="1"/>
    <cellStyle name="Hyperlink" xfId="17008" builtinId="8" hidden="1"/>
    <cellStyle name="Hyperlink" xfId="17010" builtinId="8" hidden="1"/>
    <cellStyle name="Hyperlink" xfId="17012" builtinId="8" hidden="1"/>
    <cellStyle name="Hyperlink" xfId="17014" builtinId="8" hidden="1"/>
    <cellStyle name="Hyperlink" xfId="17016" builtinId="8" hidden="1"/>
    <cellStyle name="Hyperlink" xfId="17018" builtinId="8" hidden="1"/>
    <cellStyle name="Hyperlink" xfId="17020" builtinId="8" hidden="1"/>
    <cellStyle name="Hyperlink" xfId="17022" builtinId="8" hidden="1"/>
    <cellStyle name="Hyperlink" xfId="17024" builtinId="8" hidden="1"/>
    <cellStyle name="Hyperlink" xfId="17026" builtinId="8" hidden="1"/>
    <cellStyle name="Hyperlink" xfId="17028" builtinId="8" hidden="1"/>
    <cellStyle name="Hyperlink" xfId="17030" builtinId="8" hidden="1"/>
    <cellStyle name="Hyperlink" xfId="17032" builtinId="8" hidden="1"/>
    <cellStyle name="Hyperlink" xfId="17034" builtinId="8" hidden="1"/>
    <cellStyle name="Hyperlink" xfId="17036" builtinId="8" hidden="1"/>
    <cellStyle name="Hyperlink" xfId="17038" builtinId="8" hidden="1"/>
    <cellStyle name="Hyperlink" xfId="17040" builtinId="8" hidden="1"/>
    <cellStyle name="Hyperlink" xfId="17042" builtinId="8" hidden="1"/>
    <cellStyle name="Hyperlink" xfId="17044" builtinId="8" hidden="1"/>
    <cellStyle name="Hyperlink" xfId="17046" builtinId="8" hidden="1"/>
    <cellStyle name="Hyperlink" xfId="17048" builtinId="8" hidden="1"/>
    <cellStyle name="Hyperlink" xfId="17050" builtinId="8" hidden="1"/>
    <cellStyle name="Hyperlink" xfId="17052" builtinId="8" hidden="1"/>
    <cellStyle name="Hyperlink" xfId="17054" builtinId="8" hidden="1"/>
    <cellStyle name="Hyperlink" xfId="17056" builtinId="8" hidden="1"/>
    <cellStyle name="Hyperlink" xfId="17058" builtinId="8" hidden="1"/>
    <cellStyle name="Hyperlink" xfId="17060" builtinId="8" hidden="1"/>
    <cellStyle name="Hyperlink" xfId="17062" builtinId="8" hidden="1"/>
    <cellStyle name="Hyperlink" xfId="17064" builtinId="8" hidden="1"/>
    <cellStyle name="Hyperlink" xfId="17066" builtinId="8" hidden="1"/>
    <cellStyle name="Hyperlink" xfId="17068" builtinId="8" hidden="1"/>
    <cellStyle name="Hyperlink" xfId="17070" builtinId="8" hidden="1"/>
    <cellStyle name="Hyperlink" xfId="17072" builtinId="8" hidden="1"/>
    <cellStyle name="Hyperlink" xfId="17074" builtinId="8" hidden="1"/>
    <cellStyle name="Hyperlink" xfId="17076" builtinId="8" hidden="1"/>
    <cellStyle name="Hyperlink" xfId="17078" builtinId="8" hidden="1"/>
    <cellStyle name="Hyperlink" xfId="17080" builtinId="8" hidden="1"/>
    <cellStyle name="Hyperlink" xfId="17082" builtinId="8" hidden="1"/>
    <cellStyle name="Hyperlink" xfId="17084" builtinId="8" hidden="1"/>
    <cellStyle name="Hyperlink" xfId="17086" builtinId="8" hidden="1"/>
    <cellStyle name="Hyperlink" xfId="17088" builtinId="8" hidden="1"/>
    <cellStyle name="Hyperlink" xfId="17090" builtinId="8" hidden="1"/>
    <cellStyle name="Hyperlink" xfId="17092" builtinId="8" hidden="1"/>
    <cellStyle name="Hyperlink" xfId="17094" builtinId="8" hidden="1"/>
    <cellStyle name="Hyperlink" xfId="17096" builtinId="8" hidden="1"/>
    <cellStyle name="Hyperlink" xfId="17098" builtinId="8" hidden="1"/>
    <cellStyle name="Hyperlink" xfId="17100" builtinId="8" hidden="1"/>
    <cellStyle name="Hyperlink" xfId="17102" builtinId="8" hidden="1"/>
    <cellStyle name="Hyperlink" xfId="17104" builtinId="8" hidden="1"/>
    <cellStyle name="Hyperlink" xfId="17106" builtinId="8" hidden="1"/>
    <cellStyle name="Hyperlink" xfId="17108" builtinId="8" hidden="1"/>
    <cellStyle name="Hyperlink" xfId="17110" builtinId="8" hidden="1"/>
    <cellStyle name="Hyperlink" xfId="17112" builtinId="8" hidden="1"/>
    <cellStyle name="Hyperlink" xfId="17114" builtinId="8" hidden="1"/>
    <cellStyle name="Hyperlink" xfId="17116" builtinId="8" hidden="1"/>
    <cellStyle name="Hyperlink" xfId="17118" builtinId="8" hidden="1"/>
    <cellStyle name="Hyperlink" xfId="17120" builtinId="8" hidden="1"/>
    <cellStyle name="Hyperlink" xfId="17122" builtinId="8" hidden="1"/>
    <cellStyle name="Hyperlink" xfId="17124" builtinId="8" hidden="1"/>
    <cellStyle name="Hyperlink" xfId="17126" builtinId="8" hidden="1"/>
    <cellStyle name="Hyperlink" xfId="17128" builtinId="8" hidden="1"/>
    <cellStyle name="Hyperlink" xfId="17130" builtinId="8" hidden="1"/>
    <cellStyle name="Hyperlink" xfId="17132" builtinId="8" hidden="1"/>
    <cellStyle name="Hyperlink" xfId="17134" builtinId="8" hidden="1"/>
    <cellStyle name="Hyperlink" xfId="17136" builtinId="8" hidden="1"/>
    <cellStyle name="Normal" xfId="0" builtinId="0"/>
    <cellStyle name="Normal 2" xfId="7"/>
    <cellStyle name="Percent" xfId="29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XFD37"/>
  <sheetViews>
    <sheetView topLeftCell="C1" workbookViewId="0">
      <selection activeCell="C2" sqref="C2:C9"/>
    </sheetView>
  </sheetViews>
  <sheetFormatPr baseColWidth="10" defaultColWidth="11" defaultRowHeight="20" x14ac:dyDescent="0"/>
  <cols>
    <col min="1" max="1" width="76.1640625" style="27" bestFit="1" customWidth="1"/>
    <col min="2" max="2" width="8.6640625" style="27" customWidth="1"/>
    <col min="3" max="3" width="37.1640625" style="27" customWidth="1"/>
    <col min="4" max="4" width="13.6640625" style="27" customWidth="1"/>
    <col min="5" max="5" width="44.83203125" style="27" customWidth="1"/>
    <col min="6" max="6" width="11" style="27"/>
    <col min="7" max="7" width="24.5" style="27" bestFit="1" customWidth="1"/>
    <col min="8" max="8" width="23.1640625" style="27" customWidth="1"/>
    <col min="9" max="9" width="16.83203125" style="27" bestFit="1" customWidth="1"/>
    <col min="10" max="10" width="14.1640625" style="28" bestFit="1" customWidth="1"/>
    <col min="11" max="33" width="11" style="28"/>
    <col min="34" max="16384" width="11" style="27"/>
  </cols>
  <sheetData>
    <row r="1" spans="1:9">
      <c r="A1" s="33" t="s">
        <v>386</v>
      </c>
      <c r="B1" s="33"/>
      <c r="C1" s="33" t="s">
        <v>385</v>
      </c>
      <c r="D1" s="28"/>
      <c r="E1" s="29" t="s">
        <v>380</v>
      </c>
      <c r="F1" s="22"/>
      <c r="G1" s="22"/>
      <c r="H1" s="22"/>
      <c r="I1" s="28"/>
    </row>
    <row r="2" spans="1:9">
      <c r="A2" s="34" t="s">
        <v>360</v>
      </c>
      <c r="B2" s="34"/>
      <c r="C2" s="34" t="s">
        <v>158</v>
      </c>
      <c r="D2" s="28"/>
      <c r="E2" s="22" t="s">
        <v>381</v>
      </c>
      <c r="F2" s="32">
        <f>C12/C23</f>
        <v>293.61389772449223</v>
      </c>
      <c r="G2" s="32">
        <f>F2</f>
        <v>293.61389772449223</v>
      </c>
      <c r="H2" s="32">
        <f>ROUNDUP(F2,0)</f>
        <v>294</v>
      </c>
      <c r="I2" s="28"/>
    </row>
    <row r="3" spans="1:9">
      <c r="A3" s="34" t="s">
        <v>361</v>
      </c>
      <c r="B3" s="34"/>
      <c r="C3" s="34" t="s">
        <v>1</v>
      </c>
      <c r="D3" s="28"/>
      <c r="E3" s="22"/>
      <c r="F3" s="22"/>
      <c r="G3" s="22"/>
      <c r="H3" s="22"/>
      <c r="I3" s="28"/>
    </row>
    <row r="4" spans="1:9">
      <c r="A4" s="34" t="s">
        <v>362</v>
      </c>
      <c r="B4" s="34"/>
      <c r="C4" s="34" t="s">
        <v>1</v>
      </c>
      <c r="D4" s="28"/>
      <c r="E4" s="22"/>
      <c r="F4" s="22"/>
      <c r="G4" s="22" t="s">
        <v>382</v>
      </c>
      <c r="H4" s="22" t="s">
        <v>383</v>
      </c>
      <c r="I4" s="28"/>
    </row>
    <row r="5" spans="1:9">
      <c r="A5" s="34" t="s">
        <v>363</v>
      </c>
      <c r="B5" s="34"/>
      <c r="C5" s="34" t="s">
        <v>1</v>
      </c>
      <c r="D5" s="28"/>
      <c r="E5" s="22" t="s">
        <v>322</v>
      </c>
      <c r="F5" s="22"/>
      <c r="G5" s="58">
        <f>H2*(weeklycosts)-G6-G7</f>
        <v>39175.500000000015</v>
      </c>
      <c r="H5" s="59">
        <f>ROUND(G5,-2)</f>
        <v>39200</v>
      </c>
      <c r="I5" s="28"/>
    </row>
    <row r="6" spans="1:9">
      <c r="A6" s="34" t="s">
        <v>371</v>
      </c>
      <c r="B6" s="34"/>
      <c r="C6" s="35">
        <v>167042</v>
      </c>
      <c r="D6" s="28"/>
      <c r="E6" s="22" t="s">
        <v>323</v>
      </c>
      <c r="F6" s="22"/>
      <c r="G6" s="58">
        <f>('MT calculation'!C24)*'MT calculation'!C22</f>
        <v>100539.18000000001</v>
      </c>
      <c r="H6" s="59">
        <f>ROUND(G6,-2)</f>
        <v>100500</v>
      </c>
      <c r="I6" s="28"/>
    </row>
    <row r="7" spans="1:9">
      <c r="A7" s="34" t="s">
        <v>372</v>
      </c>
      <c r="B7" s="34"/>
      <c r="C7" s="35">
        <v>13000</v>
      </c>
      <c r="D7" s="28"/>
      <c r="E7" s="22" t="s">
        <v>384</v>
      </c>
      <c r="F7" s="22"/>
      <c r="G7" s="58">
        <f>(C18)*('MT calculation'!C13+'MT calculation'!C17)</f>
        <v>0</v>
      </c>
      <c r="H7" s="59">
        <f>ROUND(G7,-2)</f>
        <v>0</v>
      </c>
      <c r="I7" s="28"/>
    </row>
    <row r="8" spans="1:9">
      <c r="A8" s="34" t="s">
        <v>373</v>
      </c>
      <c r="B8" s="34"/>
      <c r="C8" s="34" t="s">
        <v>2</v>
      </c>
      <c r="D8" s="28"/>
      <c r="E8" s="22" t="s">
        <v>359</v>
      </c>
      <c r="F8" s="22"/>
      <c r="G8" s="58">
        <f>G7+G5</f>
        <v>39175.500000000015</v>
      </c>
      <c r="H8" s="59">
        <f>ROUND(G8,-2)</f>
        <v>39200</v>
      </c>
      <c r="I8" s="28"/>
    </row>
    <row r="9" spans="1:9">
      <c r="A9" s="34" t="s">
        <v>374</v>
      </c>
      <c r="B9" s="34"/>
      <c r="C9" s="35">
        <v>157.65</v>
      </c>
      <c r="D9" s="28"/>
      <c r="E9" s="22" t="s">
        <v>358</v>
      </c>
      <c r="F9" s="22"/>
      <c r="G9" s="58">
        <f>G5+G6+G7</f>
        <v>139714.68000000002</v>
      </c>
      <c r="H9" s="59">
        <f>ROUND(G9,-2)</f>
        <v>139700</v>
      </c>
      <c r="I9" s="28"/>
    </row>
    <row r="10" spans="1:9">
      <c r="A10" s="28"/>
      <c r="B10" s="28"/>
      <c r="C10" s="28"/>
      <c r="D10" s="28"/>
      <c r="E10" s="28"/>
      <c r="F10" s="28"/>
      <c r="G10" s="28"/>
      <c r="H10" s="28"/>
      <c r="I10" s="28"/>
    </row>
    <row r="11" spans="1:9">
      <c r="A11" s="38" t="s">
        <v>375</v>
      </c>
      <c r="B11" s="38"/>
      <c r="C11" s="36"/>
      <c r="D11" s="28"/>
      <c r="E11" s="28"/>
      <c r="F11" s="28"/>
      <c r="G11" s="28"/>
      <c r="H11" s="28"/>
      <c r="I11" s="28"/>
    </row>
    <row r="12" spans="1:9">
      <c r="A12" s="36" t="s">
        <v>364</v>
      </c>
      <c r="B12" s="36"/>
      <c r="C12" s="37">
        <v>72000</v>
      </c>
      <c r="D12" s="28"/>
      <c r="E12" s="28"/>
      <c r="F12" s="28"/>
      <c r="G12" s="28"/>
      <c r="H12" s="28"/>
      <c r="I12" s="28"/>
    </row>
    <row r="13" spans="1:9">
      <c r="A13" s="36" t="s">
        <v>365</v>
      </c>
      <c r="B13" s="36"/>
      <c r="C13" s="37">
        <v>118000</v>
      </c>
      <c r="D13" s="28"/>
      <c r="E13" s="28"/>
      <c r="F13" s="28"/>
      <c r="G13" s="28"/>
      <c r="H13" s="28"/>
      <c r="I13" s="28"/>
    </row>
    <row r="14" spans="1:9">
      <c r="A14" s="36" t="s">
        <v>366</v>
      </c>
      <c r="B14" s="36"/>
      <c r="C14" s="37">
        <v>27000</v>
      </c>
      <c r="D14" s="28"/>
      <c r="E14" s="28"/>
      <c r="F14" s="28"/>
      <c r="G14" s="28"/>
      <c r="H14" s="28"/>
      <c r="I14" s="28"/>
    </row>
    <row r="15" spans="1:9">
      <c r="A15" s="36" t="s">
        <v>367</v>
      </c>
      <c r="B15" s="36"/>
      <c r="C15" s="37">
        <v>17000</v>
      </c>
      <c r="D15" s="28"/>
      <c r="E15" s="28"/>
      <c r="F15" s="28"/>
      <c r="G15" s="28"/>
      <c r="H15" s="28"/>
      <c r="I15" s="28"/>
    </row>
    <row r="16" spans="1:9">
      <c r="A16" s="36" t="s">
        <v>368</v>
      </c>
      <c r="B16" s="36"/>
      <c r="C16" s="37">
        <v>230</v>
      </c>
      <c r="D16" s="28"/>
      <c r="E16" s="28"/>
      <c r="F16" s="28"/>
      <c r="G16" s="28"/>
      <c r="H16" s="28"/>
      <c r="I16" s="28"/>
    </row>
    <row r="17" spans="1:16384">
      <c r="A17" s="36" t="s">
        <v>369</v>
      </c>
      <c r="B17" s="36"/>
      <c r="C17" s="37">
        <v>24.4</v>
      </c>
      <c r="D17" s="28"/>
      <c r="E17" s="28"/>
      <c r="F17" s="28"/>
      <c r="G17" s="28"/>
      <c r="H17" s="28"/>
      <c r="I17" s="28"/>
    </row>
    <row r="18" spans="1:16384">
      <c r="A18" s="36" t="s">
        <v>354</v>
      </c>
      <c r="B18" s="36"/>
      <c r="C18" s="37">
        <v>85</v>
      </c>
      <c r="D18" s="28"/>
      <c r="E18" s="28"/>
      <c r="F18" s="28"/>
      <c r="G18" s="28"/>
      <c r="H18" s="28"/>
      <c r="I18" s="28"/>
    </row>
    <row r="19" spans="1:16384">
      <c r="A19" s="36"/>
      <c r="B19" s="36"/>
      <c r="C19" s="36"/>
      <c r="D19" s="31"/>
      <c r="E19" s="31"/>
      <c r="F19" s="31"/>
      <c r="G19" s="31"/>
      <c r="H19" s="28"/>
      <c r="I19" s="56"/>
    </row>
    <row r="20" spans="1:16384">
      <c r="A20" s="28"/>
      <c r="B20" s="28"/>
      <c r="C20" s="28"/>
      <c r="D20" s="31"/>
      <c r="E20" s="31"/>
      <c r="F20" s="31"/>
      <c r="G20" s="31"/>
      <c r="H20" s="57"/>
      <c r="I20" s="28"/>
    </row>
    <row r="21" spans="1:16384">
      <c r="A21" s="43" t="s">
        <v>396</v>
      </c>
      <c r="B21" s="43"/>
      <c r="C21" s="39"/>
      <c r="D21" s="31"/>
      <c r="E21" s="31"/>
      <c r="F21" s="31"/>
      <c r="G21" s="31"/>
      <c r="H21" s="31"/>
      <c r="I21" s="28"/>
    </row>
    <row r="22" spans="1:16384">
      <c r="A22" s="39" t="s">
        <v>377</v>
      </c>
      <c r="B22" s="39"/>
      <c r="C22" s="40">
        <f>VLOOKUP(C2,locations_data!B2:F153,4,FALSE)</f>
        <v>475.22</v>
      </c>
      <c r="D22" s="31"/>
      <c r="E22" s="31"/>
      <c r="F22" s="31"/>
      <c r="G22" s="31"/>
      <c r="H22" s="31"/>
      <c r="I22" s="28"/>
    </row>
    <row r="23" spans="1:16384">
      <c r="A23" s="39" t="s">
        <v>378</v>
      </c>
      <c r="B23" s="39"/>
      <c r="C23" s="40">
        <f>C22-C16</f>
        <v>245.22000000000003</v>
      </c>
      <c r="D23" s="31"/>
      <c r="E23" s="31"/>
      <c r="F23" s="31"/>
      <c r="G23" s="31"/>
      <c r="H23" s="31"/>
      <c r="I23" s="28"/>
    </row>
    <row r="24" spans="1:16384">
      <c r="A24" s="39" t="s">
        <v>397</v>
      </c>
      <c r="B24" s="39"/>
      <c r="C24" s="40">
        <f>IF(C3="No",0,IF(C4="Yes",0,IF(C5="Yes",C6/2,C6)))</f>
        <v>0</v>
      </c>
      <c r="D24" s="31"/>
      <c r="E24" s="31"/>
      <c r="F24" s="31"/>
      <c r="G24" s="31"/>
      <c r="H24" s="31"/>
      <c r="I24" s="28"/>
    </row>
    <row r="25" spans="1:16384">
      <c r="A25" s="39" t="s">
        <v>0</v>
      </c>
      <c r="B25" s="39"/>
      <c r="C25" s="40">
        <f>IF(C8="No",C7,C7/2)</f>
        <v>13000</v>
      </c>
      <c r="D25" s="31"/>
      <c r="E25" s="31"/>
      <c r="F25" s="31"/>
      <c r="G25" s="31"/>
      <c r="H25" s="31"/>
      <c r="I25" s="28"/>
    </row>
    <row r="26" spans="1:16384">
      <c r="A26" s="39" t="s">
        <v>321</v>
      </c>
      <c r="B26" s="39"/>
      <c r="C26" s="40">
        <f>C25+C24</f>
        <v>13000</v>
      </c>
      <c r="D26" s="31"/>
      <c r="E26" s="31"/>
      <c r="F26" s="31"/>
      <c r="G26" s="31"/>
      <c r="H26" s="31"/>
      <c r="I26" s="28"/>
    </row>
    <row r="27" spans="1:16384">
      <c r="A27" s="39" t="s">
        <v>379</v>
      </c>
      <c r="B27" s="39"/>
      <c r="C27" s="40">
        <f>IF(totalAssets-C15&gt;0,totalAssets-C15,0)</f>
        <v>0</v>
      </c>
      <c r="D27" s="31"/>
      <c r="E27" s="31"/>
      <c r="F27" s="31"/>
      <c r="G27" s="31"/>
      <c r="H27" s="31"/>
      <c r="I27" s="28"/>
    </row>
    <row r="28" spans="1:16384">
      <c r="A28" s="39" t="s">
        <v>3</v>
      </c>
      <c r="B28" s="39"/>
      <c r="C28" s="40">
        <f>C17</f>
        <v>24.4</v>
      </c>
      <c r="D28" s="31"/>
      <c r="E28" s="31"/>
      <c r="F28" s="31"/>
      <c r="G28" s="31"/>
      <c r="H28" s="31"/>
      <c r="I28" s="28"/>
    </row>
    <row r="29" spans="1:16384">
      <c r="A29" s="39" t="s">
        <v>324</v>
      </c>
      <c r="B29" s="39"/>
      <c r="C29" s="40">
        <f>C9-C28+C18</f>
        <v>218.25</v>
      </c>
      <c r="D29" s="31"/>
      <c r="E29" s="31"/>
      <c r="F29" s="31"/>
      <c r="G29" s="31"/>
      <c r="H29" s="31"/>
      <c r="I29" s="28"/>
      <c r="J29" s="42"/>
    </row>
    <row r="30" spans="1:16384">
      <c r="A30" s="39" t="s">
        <v>376</v>
      </c>
      <c r="B30" s="39"/>
      <c r="C30" s="41">
        <f>IF(AND(C3="Yes",C4="Yes"),C14,C13)</f>
        <v>27000</v>
      </c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  <c r="QD30" s="31"/>
      <c r="QE30" s="31"/>
      <c r="QF30" s="31"/>
      <c r="QG30" s="31"/>
      <c r="QH30" s="31"/>
      <c r="QI30" s="31"/>
      <c r="QJ30" s="31"/>
      <c r="QK30" s="31"/>
      <c r="QL30" s="31"/>
      <c r="QM30" s="31"/>
      <c r="QN30" s="31"/>
      <c r="QO30" s="31"/>
      <c r="QP30" s="31"/>
      <c r="QQ30" s="31"/>
      <c r="QR30" s="31"/>
      <c r="QS30" s="31"/>
      <c r="QT30" s="31"/>
      <c r="QU30" s="31"/>
      <c r="QV30" s="31"/>
      <c r="QW30" s="31"/>
      <c r="QX30" s="31"/>
      <c r="QY30" s="31"/>
      <c r="QZ30" s="31"/>
      <c r="RA30" s="31"/>
      <c r="RB30" s="31"/>
      <c r="RC30" s="31"/>
      <c r="RD30" s="31"/>
      <c r="RE30" s="31"/>
      <c r="RF30" s="31"/>
      <c r="RG30" s="31"/>
      <c r="RH30" s="31"/>
      <c r="RI30" s="31"/>
      <c r="RJ30" s="31"/>
      <c r="RK30" s="31"/>
      <c r="RL30" s="31"/>
      <c r="RM30" s="31"/>
      <c r="RN30" s="31"/>
      <c r="RO30" s="31"/>
      <c r="RP30" s="31"/>
      <c r="RQ30" s="31"/>
      <c r="RR30" s="31"/>
      <c r="RS30" s="31"/>
      <c r="RT30" s="31"/>
      <c r="RU30" s="31"/>
      <c r="RV30" s="31"/>
      <c r="RW30" s="31"/>
      <c r="RX30" s="31"/>
      <c r="RY30" s="31"/>
      <c r="RZ30" s="31"/>
      <c r="SA30" s="31"/>
      <c r="SB30" s="31"/>
      <c r="SC30" s="31"/>
      <c r="SD30" s="31"/>
      <c r="SE30" s="31"/>
      <c r="SF30" s="31"/>
      <c r="SG30" s="31"/>
      <c r="SH30" s="31"/>
      <c r="SI30" s="31"/>
      <c r="SJ30" s="31"/>
      <c r="SK30" s="31"/>
      <c r="SL30" s="31"/>
      <c r="SM30" s="31"/>
      <c r="SN30" s="31"/>
      <c r="SO30" s="31"/>
      <c r="SP30" s="31"/>
      <c r="SQ30" s="31"/>
      <c r="SR30" s="31"/>
      <c r="SS30" s="31"/>
      <c r="ST30" s="31"/>
      <c r="SU30" s="31"/>
      <c r="SV30" s="31"/>
      <c r="SW30" s="31"/>
      <c r="SX30" s="31"/>
      <c r="SY30" s="31"/>
      <c r="SZ30" s="31"/>
      <c r="TA30" s="31"/>
      <c r="TB30" s="31"/>
      <c r="TC30" s="31"/>
      <c r="TD30" s="31"/>
      <c r="TE30" s="31"/>
      <c r="TF30" s="31"/>
      <c r="TG30" s="31"/>
      <c r="TH30" s="31"/>
      <c r="TI30" s="31"/>
      <c r="TJ30" s="31"/>
      <c r="TK30" s="31"/>
      <c r="TL30" s="31"/>
      <c r="TM30" s="31"/>
      <c r="TN30" s="31"/>
      <c r="TO30" s="31"/>
      <c r="TP30" s="31"/>
      <c r="TQ30" s="31"/>
      <c r="TR30" s="31"/>
      <c r="TS30" s="31"/>
      <c r="TT30" s="31"/>
      <c r="TU30" s="31"/>
      <c r="TV30" s="31"/>
      <c r="TW30" s="31"/>
      <c r="TX30" s="31"/>
      <c r="TY30" s="31"/>
      <c r="TZ30" s="31"/>
      <c r="UA30" s="31"/>
      <c r="UB30" s="31"/>
      <c r="UC30" s="31"/>
      <c r="UD30" s="31"/>
      <c r="UE30" s="31"/>
      <c r="UF30" s="31"/>
      <c r="UG30" s="31"/>
      <c r="UH30" s="31"/>
      <c r="UI30" s="31"/>
      <c r="UJ30" s="31"/>
      <c r="UK30" s="31"/>
      <c r="UL30" s="31"/>
      <c r="UM30" s="31"/>
      <c r="UN30" s="31"/>
      <c r="UO30" s="31"/>
      <c r="UP30" s="31"/>
      <c r="UQ30" s="31"/>
      <c r="UR30" s="31"/>
      <c r="US30" s="31"/>
      <c r="UT30" s="31"/>
      <c r="UU30" s="31"/>
      <c r="UV30" s="31"/>
      <c r="UW30" s="31"/>
      <c r="UX30" s="31"/>
      <c r="UY30" s="31"/>
      <c r="UZ30" s="31"/>
      <c r="VA30" s="31"/>
      <c r="VB30" s="31"/>
      <c r="VC30" s="31"/>
      <c r="VD30" s="31"/>
      <c r="VE30" s="31"/>
      <c r="VF30" s="31"/>
      <c r="VG30" s="31"/>
      <c r="VH30" s="31"/>
      <c r="VI30" s="31"/>
      <c r="VJ30" s="31"/>
      <c r="VK30" s="31"/>
      <c r="VL30" s="31"/>
      <c r="VM30" s="31"/>
      <c r="VN30" s="31"/>
      <c r="VO30" s="31"/>
      <c r="VP30" s="31"/>
      <c r="VQ30" s="31"/>
      <c r="VR30" s="31"/>
      <c r="VS30" s="31"/>
      <c r="VT30" s="31"/>
      <c r="VU30" s="31"/>
      <c r="VV30" s="31"/>
      <c r="VW30" s="31"/>
      <c r="VX30" s="31"/>
      <c r="VY30" s="31"/>
      <c r="VZ30" s="31"/>
      <c r="WA30" s="31"/>
      <c r="WB30" s="31"/>
      <c r="WC30" s="31"/>
      <c r="WD30" s="31"/>
      <c r="WE30" s="31"/>
      <c r="WF30" s="31"/>
      <c r="WG30" s="31"/>
      <c r="WH30" s="31"/>
      <c r="WI30" s="31"/>
      <c r="WJ30" s="31"/>
      <c r="WK30" s="31"/>
      <c r="WL30" s="31"/>
      <c r="WM30" s="31"/>
      <c r="WN30" s="31"/>
      <c r="WO30" s="31"/>
      <c r="WP30" s="31"/>
      <c r="WQ30" s="31"/>
      <c r="WR30" s="31"/>
      <c r="WS30" s="31"/>
      <c r="WT30" s="31"/>
      <c r="WU30" s="31"/>
      <c r="WV30" s="31"/>
      <c r="WW30" s="31"/>
      <c r="WX30" s="31"/>
      <c r="WY30" s="31"/>
      <c r="WZ30" s="31"/>
      <c r="XA30" s="31"/>
      <c r="XB30" s="31"/>
      <c r="XC30" s="31"/>
      <c r="XD30" s="31"/>
      <c r="XE30" s="31"/>
      <c r="XF30" s="31"/>
      <c r="XG30" s="31"/>
      <c r="XH30" s="31"/>
      <c r="XI30" s="31"/>
      <c r="XJ30" s="31"/>
      <c r="XK30" s="31"/>
      <c r="XL30" s="31"/>
      <c r="XM30" s="31"/>
      <c r="XN30" s="31"/>
      <c r="XO30" s="31"/>
      <c r="XP30" s="31"/>
      <c r="XQ30" s="31"/>
      <c r="XR30" s="31"/>
      <c r="XS30" s="31"/>
      <c r="XT30" s="31"/>
      <c r="XU30" s="31"/>
      <c r="XV30" s="31"/>
      <c r="XW30" s="31"/>
      <c r="XX30" s="31"/>
      <c r="XY30" s="31"/>
      <c r="XZ30" s="31"/>
      <c r="YA30" s="31"/>
      <c r="YB30" s="31"/>
      <c r="YC30" s="31"/>
      <c r="YD30" s="31"/>
      <c r="YE30" s="31"/>
      <c r="YF30" s="31"/>
      <c r="YG30" s="31"/>
      <c r="YH30" s="31"/>
      <c r="YI30" s="31"/>
      <c r="YJ30" s="31"/>
      <c r="YK30" s="31"/>
      <c r="YL30" s="31"/>
      <c r="YM30" s="31"/>
      <c r="YN30" s="31"/>
      <c r="YO30" s="31"/>
      <c r="YP30" s="31"/>
      <c r="YQ30" s="31"/>
      <c r="YR30" s="31"/>
      <c r="YS30" s="31"/>
      <c r="YT30" s="31"/>
      <c r="YU30" s="31"/>
      <c r="YV30" s="31"/>
      <c r="YW30" s="31"/>
      <c r="YX30" s="31"/>
      <c r="YY30" s="31"/>
      <c r="YZ30" s="31"/>
      <c r="ZA30" s="31"/>
      <c r="ZB30" s="31"/>
      <c r="ZC30" s="31"/>
      <c r="ZD30" s="31"/>
      <c r="ZE30" s="31"/>
      <c r="ZF30" s="31"/>
      <c r="ZG30" s="31"/>
      <c r="ZH30" s="31"/>
      <c r="ZI30" s="31"/>
      <c r="ZJ30" s="31"/>
      <c r="ZK30" s="31"/>
      <c r="ZL30" s="31"/>
      <c r="ZM30" s="31"/>
      <c r="ZN30" s="31"/>
      <c r="ZO30" s="31"/>
      <c r="ZP30" s="31"/>
      <c r="ZQ30" s="31"/>
      <c r="ZR30" s="31"/>
      <c r="ZS30" s="31"/>
      <c r="ZT30" s="31"/>
      <c r="ZU30" s="31"/>
      <c r="ZV30" s="31"/>
      <c r="ZW30" s="31"/>
      <c r="ZX30" s="31"/>
      <c r="ZY30" s="31"/>
      <c r="ZZ30" s="31"/>
      <c r="AAA30" s="31"/>
      <c r="AAB30" s="31"/>
      <c r="AAC30" s="31"/>
      <c r="AAD30" s="31"/>
      <c r="AAE30" s="31"/>
      <c r="AAF30" s="31"/>
      <c r="AAG30" s="31"/>
      <c r="AAH30" s="31"/>
      <c r="AAI30" s="31"/>
      <c r="AAJ30" s="31"/>
      <c r="AAK30" s="31"/>
      <c r="AAL30" s="31"/>
      <c r="AAM30" s="31"/>
      <c r="AAN30" s="31"/>
      <c r="AAO30" s="31"/>
      <c r="AAP30" s="31"/>
      <c r="AAQ30" s="31"/>
      <c r="AAR30" s="31"/>
      <c r="AAS30" s="31"/>
      <c r="AAT30" s="31"/>
      <c r="AAU30" s="31"/>
      <c r="AAV30" s="31"/>
      <c r="AAW30" s="31"/>
      <c r="AAX30" s="31"/>
      <c r="AAY30" s="31"/>
      <c r="AAZ30" s="31"/>
      <c r="ABA30" s="31"/>
      <c r="ABB30" s="31"/>
      <c r="ABC30" s="31"/>
      <c r="ABD30" s="31"/>
      <c r="ABE30" s="31"/>
      <c r="ABF30" s="31"/>
      <c r="ABG30" s="31"/>
      <c r="ABH30" s="31"/>
      <c r="ABI30" s="31"/>
      <c r="ABJ30" s="31"/>
      <c r="ABK30" s="31"/>
      <c r="ABL30" s="31"/>
      <c r="ABM30" s="31"/>
      <c r="ABN30" s="31"/>
      <c r="ABO30" s="31"/>
      <c r="ABP30" s="31"/>
      <c r="ABQ30" s="31"/>
      <c r="ABR30" s="31"/>
      <c r="ABS30" s="31"/>
      <c r="ABT30" s="31"/>
      <c r="ABU30" s="31"/>
      <c r="ABV30" s="31"/>
      <c r="ABW30" s="31"/>
      <c r="ABX30" s="31"/>
      <c r="ABY30" s="31"/>
      <c r="ABZ30" s="31"/>
      <c r="ACA30" s="31"/>
      <c r="ACB30" s="31"/>
      <c r="ACC30" s="31"/>
      <c r="ACD30" s="31"/>
      <c r="ACE30" s="31"/>
      <c r="ACF30" s="31"/>
      <c r="ACG30" s="31"/>
      <c r="ACH30" s="31"/>
      <c r="ACI30" s="31"/>
      <c r="ACJ30" s="31"/>
      <c r="ACK30" s="31"/>
      <c r="ACL30" s="31"/>
      <c r="ACM30" s="31"/>
      <c r="ACN30" s="31"/>
      <c r="ACO30" s="31"/>
      <c r="ACP30" s="31"/>
      <c r="ACQ30" s="31"/>
      <c r="ACR30" s="31"/>
      <c r="ACS30" s="31"/>
      <c r="ACT30" s="31"/>
      <c r="ACU30" s="31"/>
      <c r="ACV30" s="31"/>
      <c r="ACW30" s="31"/>
      <c r="ACX30" s="31"/>
      <c r="ACY30" s="31"/>
      <c r="ACZ30" s="31"/>
      <c r="ADA30" s="31"/>
      <c r="ADB30" s="31"/>
      <c r="ADC30" s="31"/>
      <c r="ADD30" s="31"/>
      <c r="ADE30" s="31"/>
      <c r="ADF30" s="31"/>
      <c r="ADG30" s="31"/>
      <c r="ADH30" s="31"/>
      <c r="ADI30" s="31"/>
      <c r="ADJ30" s="31"/>
      <c r="ADK30" s="31"/>
      <c r="ADL30" s="31"/>
      <c r="ADM30" s="31"/>
      <c r="ADN30" s="31"/>
      <c r="ADO30" s="31"/>
      <c r="ADP30" s="31"/>
      <c r="ADQ30" s="31"/>
      <c r="ADR30" s="31"/>
      <c r="ADS30" s="31"/>
      <c r="ADT30" s="31"/>
      <c r="ADU30" s="31"/>
      <c r="ADV30" s="31"/>
      <c r="ADW30" s="31"/>
      <c r="ADX30" s="31"/>
      <c r="ADY30" s="31"/>
      <c r="ADZ30" s="31"/>
      <c r="AEA30" s="31"/>
      <c r="AEB30" s="31"/>
      <c r="AEC30" s="31"/>
      <c r="AED30" s="31"/>
      <c r="AEE30" s="31"/>
      <c r="AEF30" s="31"/>
      <c r="AEG30" s="31"/>
      <c r="AEH30" s="31"/>
      <c r="AEI30" s="31"/>
      <c r="AEJ30" s="31"/>
      <c r="AEK30" s="31"/>
      <c r="AEL30" s="31"/>
      <c r="AEM30" s="31"/>
      <c r="AEN30" s="31"/>
      <c r="AEO30" s="31"/>
      <c r="AEP30" s="31"/>
      <c r="AEQ30" s="31"/>
      <c r="AER30" s="31"/>
      <c r="AES30" s="31"/>
      <c r="AET30" s="31"/>
      <c r="AEU30" s="31"/>
      <c r="AEV30" s="31"/>
      <c r="AEW30" s="31"/>
      <c r="AEX30" s="31"/>
      <c r="AEY30" s="31"/>
      <c r="AEZ30" s="31"/>
      <c r="AFA30" s="31"/>
      <c r="AFB30" s="31"/>
      <c r="AFC30" s="31"/>
      <c r="AFD30" s="31"/>
      <c r="AFE30" s="31"/>
      <c r="AFF30" s="31"/>
      <c r="AFG30" s="31"/>
      <c r="AFH30" s="31"/>
      <c r="AFI30" s="31"/>
      <c r="AFJ30" s="31"/>
      <c r="AFK30" s="31"/>
      <c r="AFL30" s="31"/>
      <c r="AFM30" s="31"/>
      <c r="AFN30" s="31"/>
      <c r="AFO30" s="31"/>
      <c r="AFP30" s="31"/>
      <c r="AFQ30" s="31"/>
      <c r="AFR30" s="31"/>
      <c r="AFS30" s="31"/>
      <c r="AFT30" s="31"/>
      <c r="AFU30" s="31"/>
      <c r="AFV30" s="31"/>
      <c r="AFW30" s="31"/>
      <c r="AFX30" s="31"/>
      <c r="AFY30" s="31"/>
      <c r="AFZ30" s="31"/>
      <c r="AGA30" s="31"/>
      <c r="AGB30" s="31"/>
      <c r="AGC30" s="31"/>
      <c r="AGD30" s="31"/>
      <c r="AGE30" s="31"/>
      <c r="AGF30" s="31"/>
      <c r="AGG30" s="31"/>
      <c r="AGH30" s="31"/>
      <c r="AGI30" s="31"/>
      <c r="AGJ30" s="31"/>
      <c r="AGK30" s="31"/>
      <c r="AGL30" s="31"/>
      <c r="AGM30" s="31"/>
      <c r="AGN30" s="31"/>
      <c r="AGO30" s="31"/>
      <c r="AGP30" s="31"/>
      <c r="AGQ30" s="31"/>
      <c r="AGR30" s="31"/>
      <c r="AGS30" s="31"/>
      <c r="AGT30" s="31"/>
      <c r="AGU30" s="31"/>
      <c r="AGV30" s="31"/>
      <c r="AGW30" s="31"/>
      <c r="AGX30" s="31"/>
      <c r="AGY30" s="31"/>
      <c r="AGZ30" s="31"/>
      <c r="AHA30" s="31"/>
      <c r="AHB30" s="31"/>
      <c r="AHC30" s="31"/>
      <c r="AHD30" s="31"/>
      <c r="AHE30" s="31"/>
      <c r="AHF30" s="31"/>
      <c r="AHG30" s="31"/>
      <c r="AHH30" s="31"/>
      <c r="AHI30" s="31"/>
      <c r="AHJ30" s="31"/>
      <c r="AHK30" s="31"/>
      <c r="AHL30" s="31"/>
      <c r="AHM30" s="31"/>
      <c r="AHN30" s="31"/>
      <c r="AHO30" s="31"/>
      <c r="AHP30" s="31"/>
      <c r="AHQ30" s="31"/>
      <c r="AHR30" s="31"/>
      <c r="AHS30" s="31"/>
      <c r="AHT30" s="31"/>
      <c r="AHU30" s="31"/>
      <c r="AHV30" s="31"/>
      <c r="AHW30" s="31"/>
      <c r="AHX30" s="31"/>
      <c r="AHY30" s="31"/>
      <c r="AHZ30" s="31"/>
      <c r="AIA30" s="31"/>
      <c r="AIB30" s="31"/>
      <c r="AIC30" s="31"/>
      <c r="AID30" s="31"/>
      <c r="AIE30" s="31"/>
      <c r="AIF30" s="31"/>
      <c r="AIG30" s="31"/>
      <c r="AIH30" s="31"/>
      <c r="AII30" s="31"/>
      <c r="AIJ30" s="31"/>
      <c r="AIK30" s="31"/>
      <c r="AIL30" s="31"/>
      <c r="AIM30" s="31"/>
      <c r="AIN30" s="31"/>
      <c r="AIO30" s="31"/>
      <c r="AIP30" s="31"/>
      <c r="AIQ30" s="31"/>
      <c r="AIR30" s="31"/>
      <c r="AIS30" s="31"/>
      <c r="AIT30" s="31"/>
      <c r="AIU30" s="31"/>
      <c r="AIV30" s="31"/>
      <c r="AIW30" s="31"/>
      <c r="AIX30" s="31"/>
      <c r="AIY30" s="31"/>
      <c r="AIZ30" s="31"/>
      <c r="AJA30" s="31"/>
      <c r="AJB30" s="31"/>
      <c r="AJC30" s="31"/>
      <c r="AJD30" s="31"/>
      <c r="AJE30" s="31"/>
      <c r="AJF30" s="31"/>
      <c r="AJG30" s="31"/>
      <c r="AJH30" s="31"/>
      <c r="AJI30" s="31"/>
      <c r="AJJ30" s="31"/>
      <c r="AJK30" s="31"/>
      <c r="AJL30" s="31"/>
      <c r="AJM30" s="31"/>
      <c r="AJN30" s="31"/>
      <c r="AJO30" s="31"/>
      <c r="AJP30" s="31"/>
      <c r="AJQ30" s="31"/>
      <c r="AJR30" s="31"/>
      <c r="AJS30" s="31"/>
      <c r="AJT30" s="31"/>
      <c r="AJU30" s="31"/>
      <c r="AJV30" s="31"/>
      <c r="AJW30" s="31"/>
      <c r="AJX30" s="31"/>
      <c r="AJY30" s="31"/>
      <c r="AJZ30" s="31"/>
      <c r="AKA30" s="31"/>
      <c r="AKB30" s="31"/>
      <c r="AKC30" s="31"/>
      <c r="AKD30" s="31"/>
      <c r="AKE30" s="31"/>
      <c r="AKF30" s="31"/>
      <c r="AKG30" s="31"/>
      <c r="AKH30" s="31"/>
      <c r="AKI30" s="31"/>
      <c r="AKJ30" s="31"/>
      <c r="AKK30" s="31"/>
      <c r="AKL30" s="31"/>
      <c r="AKM30" s="31"/>
      <c r="AKN30" s="31"/>
      <c r="AKO30" s="31"/>
      <c r="AKP30" s="31"/>
      <c r="AKQ30" s="31"/>
      <c r="AKR30" s="31"/>
      <c r="AKS30" s="31"/>
      <c r="AKT30" s="31"/>
      <c r="AKU30" s="31"/>
      <c r="AKV30" s="31"/>
      <c r="AKW30" s="31"/>
      <c r="AKX30" s="31"/>
      <c r="AKY30" s="31"/>
      <c r="AKZ30" s="31"/>
      <c r="ALA30" s="31"/>
      <c r="ALB30" s="31"/>
      <c r="ALC30" s="31"/>
      <c r="ALD30" s="31"/>
      <c r="ALE30" s="31"/>
      <c r="ALF30" s="31"/>
      <c r="ALG30" s="31"/>
      <c r="ALH30" s="31"/>
      <c r="ALI30" s="31"/>
      <c r="ALJ30" s="31"/>
      <c r="ALK30" s="31"/>
      <c r="ALL30" s="31"/>
      <c r="ALM30" s="31"/>
      <c r="ALN30" s="31"/>
      <c r="ALO30" s="31"/>
      <c r="ALP30" s="31"/>
      <c r="ALQ30" s="31"/>
      <c r="ALR30" s="31"/>
      <c r="ALS30" s="31"/>
      <c r="ALT30" s="31"/>
      <c r="ALU30" s="31"/>
      <c r="ALV30" s="31"/>
      <c r="ALW30" s="31"/>
      <c r="ALX30" s="31"/>
      <c r="ALY30" s="31"/>
      <c r="ALZ30" s="31"/>
      <c r="AMA30" s="31"/>
      <c r="AMB30" s="31"/>
      <c r="AMC30" s="31"/>
      <c r="AMD30" s="31"/>
      <c r="AME30" s="31"/>
      <c r="AMF30" s="31"/>
      <c r="AMG30" s="31"/>
      <c r="AMH30" s="31"/>
      <c r="AMI30" s="31"/>
      <c r="AMJ30" s="31"/>
      <c r="AMK30" s="31"/>
      <c r="AML30" s="31"/>
      <c r="AMM30" s="31"/>
      <c r="AMN30" s="31"/>
      <c r="AMO30" s="31"/>
      <c r="AMP30" s="31"/>
      <c r="AMQ30" s="31"/>
      <c r="AMR30" s="31"/>
      <c r="AMS30" s="31"/>
      <c r="AMT30" s="31"/>
      <c r="AMU30" s="31"/>
      <c r="AMV30" s="31"/>
      <c r="AMW30" s="31"/>
      <c r="AMX30" s="31"/>
      <c r="AMY30" s="31"/>
      <c r="AMZ30" s="31"/>
      <c r="ANA30" s="31"/>
      <c r="ANB30" s="31"/>
      <c r="ANC30" s="31"/>
      <c r="AND30" s="31"/>
      <c r="ANE30" s="31"/>
      <c r="ANF30" s="31"/>
      <c r="ANG30" s="31"/>
      <c r="ANH30" s="31"/>
      <c r="ANI30" s="31"/>
      <c r="ANJ30" s="31"/>
      <c r="ANK30" s="31"/>
      <c r="ANL30" s="31"/>
      <c r="ANM30" s="31"/>
      <c r="ANN30" s="31"/>
      <c r="ANO30" s="31"/>
      <c r="ANP30" s="31"/>
      <c r="ANQ30" s="31"/>
      <c r="ANR30" s="31"/>
      <c r="ANS30" s="31"/>
      <c r="ANT30" s="31"/>
      <c r="ANU30" s="31"/>
      <c r="ANV30" s="31"/>
      <c r="ANW30" s="31"/>
      <c r="ANX30" s="31"/>
      <c r="ANY30" s="31"/>
      <c r="ANZ30" s="31"/>
      <c r="AOA30" s="31"/>
      <c r="AOB30" s="31"/>
      <c r="AOC30" s="31"/>
      <c r="AOD30" s="31"/>
      <c r="AOE30" s="31"/>
      <c r="AOF30" s="31"/>
      <c r="AOG30" s="31"/>
      <c r="AOH30" s="31"/>
      <c r="AOI30" s="31"/>
      <c r="AOJ30" s="31"/>
      <c r="AOK30" s="31"/>
      <c r="AOL30" s="31"/>
      <c r="AOM30" s="31"/>
      <c r="AON30" s="31"/>
      <c r="AOO30" s="31"/>
      <c r="AOP30" s="31"/>
      <c r="AOQ30" s="31"/>
      <c r="AOR30" s="31"/>
      <c r="AOS30" s="31"/>
      <c r="AOT30" s="31"/>
      <c r="AOU30" s="31"/>
      <c r="AOV30" s="31"/>
      <c r="AOW30" s="31"/>
      <c r="AOX30" s="31"/>
      <c r="AOY30" s="31"/>
      <c r="AOZ30" s="31"/>
      <c r="APA30" s="31"/>
      <c r="APB30" s="31"/>
      <c r="APC30" s="31"/>
      <c r="APD30" s="31"/>
      <c r="APE30" s="31"/>
      <c r="APF30" s="31"/>
      <c r="APG30" s="31"/>
      <c r="APH30" s="31"/>
      <c r="API30" s="31"/>
      <c r="APJ30" s="31"/>
      <c r="APK30" s="31"/>
      <c r="APL30" s="31"/>
      <c r="APM30" s="31"/>
      <c r="APN30" s="31"/>
      <c r="APO30" s="31"/>
      <c r="APP30" s="31"/>
      <c r="APQ30" s="31"/>
      <c r="APR30" s="31"/>
      <c r="APS30" s="31"/>
      <c r="APT30" s="31"/>
      <c r="APU30" s="31"/>
      <c r="APV30" s="31"/>
      <c r="APW30" s="31"/>
      <c r="APX30" s="31"/>
      <c r="APY30" s="31"/>
      <c r="APZ30" s="31"/>
      <c r="AQA30" s="31"/>
      <c r="AQB30" s="31"/>
      <c r="AQC30" s="31"/>
      <c r="AQD30" s="31"/>
      <c r="AQE30" s="31"/>
      <c r="AQF30" s="31"/>
      <c r="AQG30" s="31"/>
      <c r="AQH30" s="31"/>
      <c r="AQI30" s="31"/>
      <c r="AQJ30" s="31"/>
      <c r="AQK30" s="31"/>
      <c r="AQL30" s="31"/>
      <c r="AQM30" s="31"/>
      <c r="AQN30" s="31"/>
      <c r="AQO30" s="31"/>
      <c r="AQP30" s="31"/>
      <c r="AQQ30" s="31"/>
      <c r="AQR30" s="31"/>
      <c r="AQS30" s="31"/>
      <c r="AQT30" s="31"/>
      <c r="AQU30" s="31"/>
      <c r="AQV30" s="31"/>
      <c r="AQW30" s="31"/>
      <c r="AQX30" s="31"/>
      <c r="AQY30" s="31"/>
      <c r="AQZ30" s="31"/>
      <c r="ARA30" s="31"/>
      <c r="ARB30" s="31"/>
      <c r="ARC30" s="31"/>
      <c r="ARD30" s="31"/>
      <c r="ARE30" s="31"/>
      <c r="ARF30" s="31"/>
      <c r="ARG30" s="31"/>
      <c r="ARH30" s="31"/>
      <c r="ARI30" s="31"/>
      <c r="ARJ30" s="31"/>
      <c r="ARK30" s="31"/>
      <c r="ARL30" s="31"/>
      <c r="ARM30" s="31"/>
      <c r="ARN30" s="31"/>
      <c r="ARO30" s="31"/>
      <c r="ARP30" s="31"/>
      <c r="ARQ30" s="31"/>
      <c r="ARR30" s="31"/>
      <c r="ARS30" s="31"/>
      <c r="ART30" s="31"/>
      <c r="ARU30" s="31"/>
      <c r="ARV30" s="31"/>
      <c r="ARW30" s="31"/>
      <c r="ARX30" s="31"/>
      <c r="ARY30" s="31"/>
      <c r="ARZ30" s="31"/>
      <c r="ASA30" s="31"/>
      <c r="ASB30" s="31"/>
      <c r="ASC30" s="31"/>
      <c r="ASD30" s="31"/>
      <c r="ASE30" s="31"/>
      <c r="ASF30" s="31"/>
      <c r="ASG30" s="31"/>
      <c r="ASH30" s="31"/>
      <c r="ASI30" s="31"/>
      <c r="ASJ30" s="31"/>
      <c r="ASK30" s="31"/>
      <c r="ASL30" s="31"/>
      <c r="ASM30" s="31"/>
      <c r="ASN30" s="31"/>
      <c r="ASO30" s="31"/>
      <c r="ASP30" s="31"/>
      <c r="ASQ30" s="31"/>
      <c r="ASR30" s="31"/>
      <c r="ASS30" s="31"/>
      <c r="AST30" s="31"/>
      <c r="ASU30" s="31"/>
      <c r="ASV30" s="31"/>
      <c r="ASW30" s="31"/>
      <c r="ASX30" s="31"/>
      <c r="ASY30" s="31"/>
      <c r="ASZ30" s="31"/>
      <c r="ATA30" s="31"/>
      <c r="ATB30" s="31"/>
      <c r="ATC30" s="31"/>
      <c r="ATD30" s="31"/>
      <c r="ATE30" s="31"/>
      <c r="ATF30" s="31"/>
      <c r="ATG30" s="31"/>
      <c r="ATH30" s="31"/>
      <c r="ATI30" s="31"/>
      <c r="ATJ30" s="31"/>
      <c r="ATK30" s="31"/>
      <c r="ATL30" s="31"/>
      <c r="ATM30" s="31"/>
      <c r="ATN30" s="31"/>
      <c r="ATO30" s="31"/>
      <c r="ATP30" s="31"/>
      <c r="ATQ30" s="31"/>
      <c r="ATR30" s="31"/>
      <c r="ATS30" s="31"/>
      <c r="ATT30" s="31"/>
      <c r="ATU30" s="31"/>
      <c r="ATV30" s="31"/>
      <c r="ATW30" s="31"/>
      <c r="ATX30" s="31"/>
      <c r="ATY30" s="31"/>
      <c r="ATZ30" s="31"/>
      <c r="AUA30" s="31"/>
      <c r="AUB30" s="31"/>
      <c r="AUC30" s="31"/>
      <c r="AUD30" s="31"/>
      <c r="AUE30" s="31"/>
      <c r="AUF30" s="31"/>
      <c r="AUG30" s="31"/>
      <c r="AUH30" s="31"/>
      <c r="AUI30" s="31"/>
      <c r="AUJ30" s="31"/>
      <c r="AUK30" s="31"/>
      <c r="AUL30" s="31"/>
      <c r="AUM30" s="31"/>
      <c r="AUN30" s="31"/>
      <c r="AUO30" s="31"/>
      <c r="AUP30" s="31"/>
      <c r="AUQ30" s="31"/>
      <c r="AUR30" s="31"/>
      <c r="AUS30" s="31"/>
      <c r="AUT30" s="31"/>
      <c r="AUU30" s="31"/>
      <c r="AUV30" s="31"/>
      <c r="AUW30" s="31"/>
      <c r="AUX30" s="31"/>
      <c r="AUY30" s="31"/>
      <c r="AUZ30" s="31"/>
      <c r="AVA30" s="31"/>
      <c r="AVB30" s="31"/>
      <c r="AVC30" s="31"/>
      <c r="AVD30" s="31"/>
      <c r="AVE30" s="31"/>
      <c r="AVF30" s="31"/>
      <c r="AVG30" s="31"/>
      <c r="AVH30" s="31"/>
      <c r="AVI30" s="31"/>
      <c r="AVJ30" s="31"/>
      <c r="AVK30" s="31"/>
      <c r="AVL30" s="31"/>
      <c r="AVM30" s="31"/>
      <c r="AVN30" s="31"/>
      <c r="AVO30" s="31"/>
      <c r="AVP30" s="31"/>
      <c r="AVQ30" s="31"/>
      <c r="AVR30" s="31"/>
      <c r="AVS30" s="31"/>
      <c r="AVT30" s="31"/>
      <c r="AVU30" s="31"/>
      <c r="AVV30" s="31"/>
      <c r="AVW30" s="31"/>
      <c r="AVX30" s="31"/>
      <c r="AVY30" s="31"/>
      <c r="AVZ30" s="31"/>
      <c r="AWA30" s="31"/>
      <c r="AWB30" s="31"/>
      <c r="AWC30" s="31"/>
      <c r="AWD30" s="31"/>
      <c r="AWE30" s="31"/>
      <c r="AWF30" s="31"/>
      <c r="AWG30" s="31"/>
      <c r="AWH30" s="31"/>
      <c r="AWI30" s="31"/>
      <c r="AWJ30" s="31"/>
      <c r="AWK30" s="31"/>
      <c r="AWL30" s="31"/>
      <c r="AWM30" s="31"/>
      <c r="AWN30" s="31"/>
      <c r="AWO30" s="31"/>
      <c r="AWP30" s="31"/>
      <c r="AWQ30" s="31"/>
      <c r="AWR30" s="31"/>
      <c r="AWS30" s="31"/>
      <c r="AWT30" s="31"/>
      <c r="AWU30" s="31"/>
      <c r="AWV30" s="31"/>
      <c r="AWW30" s="31"/>
      <c r="AWX30" s="31"/>
      <c r="AWY30" s="31"/>
      <c r="AWZ30" s="31"/>
      <c r="AXA30" s="31"/>
      <c r="AXB30" s="31"/>
      <c r="AXC30" s="31"/>
      <c r="AXD30" s="31"/>
      <c r="AXE30" s="31"/>
      <c r="AXF30" s="31"/>
      <c r="AXG30" s="31"/>
      <c r="AXH30" s="31"/>
      <c r="AXI30" s="31"/>
      <c r="AXJ30" s="31"/>
      <c r="AXK30" s="31"/>
      <c r="AXL30" s="31"/>
      <c r="AXM30" s="31"/>
      <c r="AXN30" s="31"/>
      <c r="AXO30" s="31"/>
      <c r="AXP30" s="31"/>
      <c r="AXQ30" s="31"/>
      <c r="AXR30" s="31"/>
      <c r="AXS30" s="31"/>
      <c r="AXT30" s="31"/>
      <c r="AXU30" s="31"/>
      <c r="AXV30" s="31"/>
      <c r="AXW30" s="31"/>
      <c r="AXX30" s="31"/>
      <c r="AXY30" s="31"/>
      <c r="AXZ30" s="31"/>
      <c r="AYA30" s="31"/>
      <c r="AYB30" s="31"/>
      <c r="AYC30" s="31"/>
      <c r="AYD30" s="31"/>
      <c r="AYE30" s="31"/>
      <c r="AYF30" s="31"/>
      <c r="AYG30" s="31"/>
      <c r="AYH30" s="31"/>
      <c r="AYI30" s="31"/>
      <c r="AYJ30" s="31"/>
      <c r="AYK30" s="31"/>
      <c r="AYL30" s="31"/>
      <c r="AYM30" s="31"/>
      <c r="AYN30" s="31"/>
      <c r="AYO30" s="31"/>
      <c r="AYP30" s="31"/>
      <c r="AYQ30" s="31"/>
      <c r="AYR30" s="31"/>
      <c r="AYS30" s="31"/>
      <c r="AYT30" s="31"/>
      <c r="AYU30" s="31"/>
      <c r="AYV30" s="31"/>
      <c r="AYW30" s="31"/>
      <c r="AYX30" s="31"/>
      <c r="AYY30" s="31"/>
      <c r="AYZ30" s="31"/>
      <c r="AZA30" s="31"/>
      <c r="AZB30" s="31"/>
      <c r="AZC30" s="31"/>
      <c r="AZD30" s="31"/>
      <c r="AZE30" s="31"/>
      <c r="AZF30" s="31"/>
      <c r="AZG30" s="31"/>
      <c r="AZH30" s="31"/>
      <c r="AZI30" s="31"/>
      <c r="AZJ30" s="31"/>
      <c r="AZK30" s="31"/>
      <c r="AZL30" s="31"/>
      <c r="AZM30" s="31"/>
      <c r="AZN30" s="31"/>
      <c r="AZO30" s="31"/>
      <c r="AZP30" s="31"/>
      <c r="AZQ30" s="31"/>
      <c r="AZR30" s="31"/>
      <c r="AZS30" s="31"/>
      <c r="AZT30" s="31"/>
      <c r="AZU30" s="31"/>
      <c r="AZV30" s="31"/>
      <c r="AZW30" s="31"/>
      <c r="AZX30" s="31"/>
      <c r="AZY30" s="31"/>
      <c r="AZZ30" s="31"/>
      <c r="BAA30" s="31"/>
      <c r="BAB30" s="31"/>
      <c r="BAC30" s="31"/>
      <c r="BAD30" s="31"/>
      <c r="BAE30" s="31"/>
      <c r="BAF30" s="31"/>
      <c r="BAG30" s="31"/>
      <c r="BAH30" s="31"/>
      <c r="BAI30" s="31"/>
      <c r="BAJ30" s="31"/>
      <c r="BAK30" s="31"/>
      <c r="BAL30" s="31"/>
      <c r="BAM30" s="31"/>
      <c r="BAN30" s="31"/>
      <c r="BAO30" s="31"/>
      <c r="BAP30" s="31"/>
      <c r="BAQ30" s="31"/>
      <c r="BAR30" s="31"/>
      <c r="BAS30" s="31"/>
      <c r="BAT30" s="31"/>
      <c r="BAU30" s="31"/>
      <c r="BAV30" s="31"/>
      <c r="BAW30" s="31"/>
      <c r="BAX30" s="31"/>
      <c r="BAY30" s="31"/>
      <c r="BAZ30" s="31"/>
      <c r="BBA30" s="31"/>
      <c r="BBB30" s="31"/>
      <c r="BBC30" s="31"/>
      <c r="BBD30" s="31"/>
      <c r="BBE30" s="31"/>
      <c r="BBF30" s="31"/>
      <c r="BBG30" s="31"/>
      <c r="BBH30" s="31"/>
      <c r="BBI30" s="31"/>
      <c r="BBJ30" s="31"/>
      <c r="BBK30" s="31"/>
      <c r="BBL30" s="31"/>
      <c r="BBM30" s="31"/>
      <c r="BBN30" s="31"/>
      <c r="BBO30" s="31"/>
      <c r="BBP30" s="31"/>
      <c r="BBQ30" s="31"/>
      <c r="BBR30" s="31"/>
      <c r="BBS30" s="31"/>
      <c r="BBT30" s="31"/>
      <c r="BBU30" s="31"/>
      <c r="BBV30" s="31"/>
      <c r="BBW30" s="31"/>
      <c r="BBX30" s="31"/>
      <c r="BBY30" s="31"/>
      <c r="BBZ30" s="31"/>
      <c r="BCA30" s="31"/>
      <c r="BCB30" s="31"/>
      <c r="BCC30" s="31"/>
      <c r="BCD30" s="31"/>
      <c r="BCE30" s="31"/>
      <c r="BCF30" s="31"/>
      <c r="BCG30" s="31"/>
      <c r="BCH30" s="31"/>
      <c r="BCI30" s="31"/>
      <c r="BCJ30" s="31"/>
      <c r="BCK30" s="31"/>
      <c r="BCL30" s="31"/>
      <c r="BCM30" s="31"/>
      <c r="BCN30" s="31"/>
      <c r="BCO30" s="31"/>
      <c r="BCP30" s="31"/>
      <c r="BCQ30" s="31"/>
      <c r="BCR30" s="31"/>
      <c r="BCS30" s="31"/>
      <c r="BCT30" s="31"/>
      <c r="BCU30" s="31"/>
      <c r="BCV30" s="31"/>
      <c r="BCW30" s="31"/>
      <c r="BCX30" s="31"/>
      <c r="BCY30" s="31"/>
      <c r="BCZ30" s="31"/>
      <c r="BDA30" s="31"/>
      <c r="BDB30" s="31"/>
      <c r="BDC30" s="31"/>
      <c r="BDD30" s="31"/>
      <c r="BDE30" s="31"/>
      <c r="BDF30" s="31"/>
      <c r="BDG30" s="31"/>
      <c r="BDH30" s="31"/>
      <c r="BDI30" s="31"/>
      <c r="BDJ30" s="31"/>
      <c r="BDK30" s="31"/>
      <c r="BDL30" s="31"/>
      <c r="BDM30" s="31"/>
      <c r="BDN30" s="31"/>
      <c r="BDO30" s="31"/>
      <c r="BDP30" s="31"/>
      <c r="BDQ30" s="31"/>
      <c r="BDR30" s="31"/>
      <c r="BDS30" s="31"/>
      <c r="BDT30" s="31"/>
      <c r="BDU30" s="31"/>
      <c r="BDV30" s="31"/>
      <c r="BDW30" s="31"/>
      <c r="BDX30" s="31"/>
      <c r="BDY30" s="31"/>
      <c r="BDZ30" s="31"/>
      <c r="BEA30" s="31"/>
      <c r="BEB30" s="31"/>
      <c r="BEC30" s="31"/>
      <c r="BED30" s="31"/>
      <c r="BEE30" s="31"/>
      <c r="BEF30" s="31"/>
      <c r="BEG30" s="31"/>
      <c r="BEH30" s="31"/>
      <c r="BEI30" s="31"/>
      <c r="BEJ30" s="31"/>
      <c r="BEK30" s="31"/>
      <c r="BEL30" s="31"/>
      <c r="BEM30" s="31"/>
      <c r="BEN30" s="31"/>
      <c r="BEO30" s="31"/>
      <c r="BEP30" s="31"/>
      <c r="BEQ30" s="31"/>
      <c r="BER30" s="31"/>
      <c r="BES30" s="31"/>
      <c r="BET30" s="31"/>
      <c r="BEU30" s="31"/>
      <c r="BEV30" s="31"/>
      <c r="BEW30" s="31"/>
      <c r="BEX30" s="31"/>
      <c r="BEY30" s="31"/>
      <c r="BEZ30" s="31"/>
      <c r="BFA30" s="31"/>
      <c r="BFB30" s="31"/>
      <c r="BFC30" s="31"/>
      <c r="BFD30" s="31"/>
      <c r="BFE30" s="31"/>
      <c r="BFF30" s="31"/>
      <c r="BFG30" s="31"/>
      <c r="BFH30" s="31"/>
      <c r="BFI30" s="31"/>
      <c r="BFJ30" s="31"/>
      <c r="BFK30" s="31"/>
      <c r="BFL30" s="31"/>
      <c r="BFM30" s="31"/>
      <c r="BFN30" s="31"/>
      <c r="BFO30" s="31"/>
      <c r="BFP30" s="31"/>
      <c r="BFQ30" s="31"/>
      <c r="BFR30" s="31"/>
      <c r="BFS30" s="31"/>
      <c r="BFT30" s="31"/>
      <c r="BFU30" s="31"/>
      <c r="BFV30" s="31"/>
      <c r="BFW30" s="31"/>
      <c r="BFX30" s="31"/>
      <c r="BFY30" s="31"/>
      <c r="BFZ30" s="31"/>
      <c r="BGA30" s="31"/>
      <c r="BGB30" s="31"/>
      <c r="BGC30" s="31"/>
      <c r="BGD30" s="31"/>
      <c r="BGE30" s="31"/>
      <c r="BGF30" s="31"/>
      <c r="BGG30" s="31"/>
      <c r="BGH30" s="31"/>
      <c r="BGI30" s="31"/>
      <c r="BGJ30" s="31"/>
      <c r="BGK30" s="31"/>
      <c r="BGL30" s="31"/>
      <c r="BGM30" s="31"/>
      <c r="BGN30" s="31"/>
      <c r="BGO30" s="31"/>
      <c r="BGP30" s="31"/>
      <c r="BGQ30" s="31"/>
      <c r="BGR30" s="31"/>
      <c r="BGS30" s="31"/>
      <c r="BGT30" s="31"/>
      <c r="BGU30" s="31"/>
      <c r="BGV30" s="31"/>
      <c r="BGW30" s="31"/>
      <c r="BGX30" s="31"/>
      <c r="BGY30" s="31"/>
      <c r="BGZ30" s="31"/>
      <c r="BHA30" s="31"/>
      <c r="BHB30" s="31"/>
      <c r="BHC30" s="31"/>
      <c r="BHD30" s="31"/>
      <c r="BHE30" s="31"/>
      <c r="BHF30" s="31"/>
      <c r="BHG30" s="31"/>
      <c r="BHH30" s="31"/>
      <c r="BHI30" s="31"/>
      <c r="BHJ30" s="31"/>
      <c r="BHK30" s="31"/>
      <c r="BHL30" s="31"/>
      <c r="BHM30" s="31"/>
      <c r="BHN30" s="31"/>
      <c r="BHO30" s="31"/>
      <c r="BHP30" s="31"/>
      <c r="BHQ30" s="31"/>
      <c r="BHR30" s="31"/>
      <c r="BHS30" s="31"/>
      <c r="BHT30" s="31"/>
      <c r="BHU30" s="31"/>
      <c r="BHV30" s="31"/>
      <c r="BHW30" s="31"/>
      <c r="BHX30" s="31"/>
      <c r="BHY30" s="31"/>
      <c r="BHZ30" s="31"/>
      <c r="BIA30" s="31"/>
      <c r="BIB30" s="31"/>
      <c r="BIC30" s="31"/>
      <c r="BID30" s="31"/>
      <c r="BIE30" s="31"/>
      <c r="BIF30" s="31"/>
      <c r="BIG30" s="31"/>
      <c r="BIH30" s="31"/>
      <c r="BII30" s="31"/>
      <c r="BIJ30" s="31"/>
      <c r="BIK30" s="31"/>
      <c r="BIL30" s="31"/>
      <c r="BIM30" s="31"/>
      <c r="BIN30" s="31"/>
      <c r="BIO30" s="31"/>
      <c r="BIP30" s="31"/>
      <c r="BIQ30" s="31"/>
      <c r="BIR30" s="31"/>
      <c r="BIS30" s="31"/>
      <c r="BIT30" s="31"/>
      <c r="BIU30" s="31"/>
      <c r="BIV30" s="31"/>
      <c r="BIW30" s="31"/>
      <c r="BIX30" s="31"/>
      <c r="BIY30" s="31"/>
      <c r="BIZ30" s="31"/>
      <c r="BJA30" s="31"/>
      <c r="BJB30" s="31"/>
      <c r="BJC30" s="31"/>
      <c r="BJD30" s="31"/>
      <c r="BJE30" s="31"/>
      <c r="BJF30" s="31"/>
      <c r="BJG30" s="31"/>
      <c r="BJH30" s="31"/>
      <c r="BJI30" s="31"/>
      <c r="BJJ30" s="31"/>
      <c r="BJK30" s="31"/>
      <c r="BJL30" s="31"/>
      <c r="BJM30" s="31"/>
      <c r="BJN30" s="31"/>
      <c r="BJO30" s="31"/>
      <c r="BJP30" s="31"/>
      <c r="BJQ30" s="31"/>
      <c r="BJR30" s="31"/>
      <c r="BJS30" s="31"/>
      <c r="BJT30" s="31"/>
      <c r="BJU30" s="31"/>
      <c r="BJV30" s="31"/>
      <c r="BJW30" s="31"/>
      <c r="BJX30" s="31"/>
      <c r="BJY30" s="31"/>
      <c r="BJZ30" s="31"/>
      <c r="BKA30" s="31"/>
      <c r="BKB30" s="31"/>
      <c r="BKC30" s="31"/>
      <c r="BKD30" s="31"/>
      <c r="BKE30" s="31"/>
      <c r="BKF30" s="31"/>
      <c r="BKG30" s="31"/>
      <c r="BKH30" s="31"/>
      <c r="BKI30" s="31"/>
      <c r="BKJ30" s="31"/>
      <c r="BKK30" s="31"/>
      <c r="BKL30" s="31"/>
      <c r="BKM30" s="31"/>
      <c r="BKN30" s="31"/>
      <c r="BKO30" s="31"/>
      <c r="BKP30" s="31"/>
      <c r="BKQ30" s="31"/>
      <c r="BKR30" s="31"/>
      <c r="BKS30" s="31"/>
      <c r="BKT30" s="31"/>
      <c r="BKU30" s="31"/>
      <c r="BKV30" s="31"/>
      <c r="BKW30" s="31"/>
      <c r="BKX30" s="31"/>
      <c r="BKY30" s="31"/>
      <c r="BKZ30" s="31"/>
      <c r="BLA30" s="31"/>
      <c r="BLB30" s="31"/>
      <c r="BLC30" s="31"/>
      <c r="BLD30" s="31"/>
      <c r="BLE30" s="31"/>
      <c r="BLF30" s="31"/>
      <c r="BLG30" s="31"/>
      <c r="BLH30" s="31"/>
      <c r="BLI30" s="31"/>
      <c r="BLJ30" s="31"/>
      <c r="BLK30" s="31"/>
      <c r="BLL30" s="31"/>
      <c r="BLM30" s="31"/>
      <c r="BLN30" s="31"/>
      <c r="BLO30" s="31"/>
      <c r="BLP30" s="31"/>
      <c r="BLQ30" s="31"/>
      <c r="BLR30" s="31"/>
      <c r="BLS30" s="31"/>
      <c r="BLT30" s="31"/>
      <c r="BLU30" s="31"/>
      <c r="BLV30" s="31"/>
      <c r="BLW30" s="31"/>
      <c r="BLX30" s="31"/>
      <c r="BLY30" s="31"/>
      <c r="BLZ30" s="31"/>
      <c r="BMA30" s="31"/>
      <c r="BMB30" s="31"/>
      <c r="BMC30" s="31"/>
      <c r="BMD30" s="31"/>
      <c r="BME30" s="31"/>
      <c r="BMF30" s="31"/>
      <c r="BMG30" s="31"/>
      <c r="BMH30" s="31"/>
      <c r="BMI30" s="31"/>
      <c r="BMJ30" s="31"/>
      <c r="BMK30" s="31"/>
      <c r="BML30" s="31"/>
      <c r="BMM30" s="31"/>
      <c r="BMN30" s="31"/>
      <c r="BMO30" s="31"/>
      <c r="BMP30" s="31"/>
      <c r="BMQ30" s="31"/>
      <c r="BMR30" s="31"/>
      <c r="BMS30" s="31"/>
      <c r="BMT30" s="31"/>
      <c r="BMU30" s="31"/>
      <c r="BMV30" s="31"/>
      <c r="BMW30" s="31"/>
      <c r="BMX30" s="31"/>
      <c r="BMY30" s="31"/>
      <c r="BMZ30" s="31"/>
      <c r="BNA30" s="31"/>
      <c r="BNB30" s="31"/>
      <c r="BNC30" s="31"/>
      <c r="BND30" s="31"/>
      <c r="BNE30" s="31"/>
      <c r="BNF30" s="31"/>
      <c r="BNG30" s="31"/>
      <c r="BNH30" s="31"/>
      <c r="BNI30" s="31"/>
      <c r="BNJ30" s="31"/>
      <c r="BNK30" s="31"/>
      <c r="BNL30" s="31"/>
      <c r="BNM30" s="31"/>
      <c r="BNN30" s="31"/>
      <c r="BNO30" s="31"/>
      <c r="BNP30" s="31"/>
      <c r="BNQ30" s="31"/>
      <c r="BNR30" s="31"/>
      <c r="BNS30" s="31"/>
      <c r="BNT30" s="31"/>
      <c r="BNU30" s="31"/>
      <c r="BNV30" s="31"/>
      <c r="BNW30" s="31"/>
      <c r="BNX30" s="31"/>
      <c r="BNY30" s="31"/>
      <c r="BNZ30" s="31"/>
      <c r="BOA30" s="31"/>
      <c r="BOB30" s="31"/>
      <c r="BOC30" s="31"/>
      <c r="BOD30" s="31"/>
      <c r="BOE30" s="31"/>
      <c r="BOF30" s="31"/>
      <c r="BOG30" s="31"/>
      <c r="BOH30" s="31"/>
      <c r="BOI30" s="31"/>
      <c r="BOJ30" s="31"/>
      <c r="BOK30" s="31"/>
      <c r="BOL30" s="31"/>
      <c r="BOM30" s="31"/>
      <c r="BON30" s="31"/>
      <c r="BOO30" s="31"/>
      <c r="BOP30" s="31"/>
      <c r="BOQ30" s="31"/>
      <c r="BOR30" s="31"/>
      <c r="BOS30" s="31"/>
      <c r="BOT30" s="31"/>
      <c r="BOU30" s="31"/>
      <c r="BOV30" s="31"/>
      <c r="BOW30" s="31"/>
      <c r="BOX30" s="31"/>
      <c r="BOY30" s="31"/>
      <c r="BOZ30" s="31"/>
      <c r="BPA30" s="31"/>
      <c r="BPB30" s="31"/>
      <c r="BPC30" s="31"/>
      <c r="BPD30" s="31"/>
      <c r="BPE30" s="31"/>
      <c r="BPF30" s="31"/>
      <c r="BPG30" s="31"/>
      <c r="BPH30" s="31"/>
      <c r="BPI30" s="31"/>
      <c r="BPJ30" s="31"/>
      <c r="BPK30" s="31"/>
      <c r="BPL30" s="31"/>
      <c r="BPM30" s="31"/>
      <c r="BPN30" s="31"/>
      <c r="BPO30" s="31"/>
      <c r="BPP30" s="31"/>
      <c r="BPQ30" s="31"/>
      <c r="BPR30" s="31"/>
      <c r="BPS30" s="31"/>
      <c r="BPT30" s="31"/>
      <c r="BPU30" s="31"/>
      <c r="BPV30" s="31"/>
      <c r="BPW30" s="31"/>
      <c r="BPX30" s="31"/>
      <c r="BPY30" s="31"/>
      <c r="BPZ30" s="31"/>
      <c r="BQA30" s="31"/>
      <c r="BQB30" s="31"/>
      <c r="BQC30" s="31"/>
      <c r="BQD30" s="31"/>
      <c r="BQE30" s="31"/>
      <c r="BQF30" s="31"/>
      <c r="BQG30" s="31"/>
      <c r="BQH30" s="31"/>
      <c r="BQI30" s="31"/>
      <c r="BQJ30" s="31"/>
      <c r="BQK30" s="31"/>
      <c r="BQL30" s="31"/>
      <c r="BQM30" s="31"/>
      <c r="BQN30" s="31"/>
      <c r="BQO30" s="31"/>
      <c r="BQP30" s="31"/>
      <c r="BQQ30" s="31"/>
      <c r="BQR30" s="31"/>
      <c r="BQS30" s="31"/>
      <c r="BQT30" s="31"/>
      <c r="BQU30" s="31"/>
      <c r="BQV30" s="31"/>
      <c r="BQW30" s="31"/>
      <c r="BQX30" s="31"/>
      <c r="BQY30" s="31"/>
      <c r="BQZ30" s="31"/>
      <c r="BRA30" s="31"/>
      <c r="BRB30" s="31"/>
      <c r="BRC30" s="31"/>
      <c r="BRD30" s="31"/>
      <c r="BRE30" s="31"/>
      <c r="BRF30" s="31"/>
      <c r="BRG30" s="31"/>
      <c r="BRH30" s="31"/>
      <c r="BRI30" s="31"/>
      <c r="BRJ30" s="31"/>
      <c r="BRK30" s="31"/>
      <c r="BRL30" s="31"/>
      <c r="BRM30" s="31"/>
      <c r="BRN30" s="31"/>
      <c r="BRO30" s="31"/>
      <c r="BRP30" s="31"/>
      <c r="BRQ30" s="31"/>
      <c r="BRR30" s="31"/>
      <c r="BRS30" s="31"/>
      <c r="BRT30" s="31"/>
      <c r="BRU30" s="31"/>
      <c r="BRV30" s="31"/>
      <c r="BRW30" s="31"/>
      <c r="BRX30" s="31"/>
      <c r="BRY30" s="31"/>
      <c r="BRZ30" s="31"/>
      <c r="BSA30" s="31"/>
      <c r="BSB30" s="31"/>
      <c r="BSC30" s="31"/>
      <c r="BSD30" s="31"/>
      <c r="BSE30" s="31"/>
      <c r="BSF30" s="31"/>
      <c r="BSG30" s="31"/>
      <c r="BSH30" s="31"/>
      <c r="BSI30" s="31"/>
      <c r="BSJ30" s="31"/>
      <c r="BSK30" s="31"/>
      <c r="BSL30" s="31"/>
      <c r="BSM30" s="31"/>
      <c r="BSN30" s="31"/>
      <c r="BSO30" s="31"/>
      <c r="BSP30" s="31"/>
      <c r="BSQ30" s="31"/>
      <c r="BSR30" s="31"/>
      <c r="BSS30" s="31"/>
      <c r="BST30" s="31"/>
      <c r="BSU30" s="31"/>
      <c r="BSV30" s="31"/>
      <c r="BSW30" s="31"/>
      <c r="BSX30" s="31"/>
      <c r="BSY30" s="31"/>
      <c r="BSZ30" s="31"/>
      <c r="BTA30" s="31"/>
      <c r="BTB30" s="31"/>
      <c r="BTC30" s="31"/>
      <c r="BTD30" s="31"/>
      <c r="BTE30" s="31"/>
      <c r="BTF30" s="31"/>
      <c r="BTG30" s="31"/>
      <c r="BTH30" s="31"/>
      <c r="BTI30" s="31"/>
      <c r="BTJ30" s="31"/>
      <c r="BTK30" s="31"/>
      <c r="BTL30" s="31"/>
      <c r="BTM30" s="31"/>
      <c r="BTN30" s="31"/>
      <c r="BTO30" s="31"/>
      <c r="BTP30" s="31"/>
      <c r="BTQ30" s="31"/>
      <c r="BTR30" s="31"/>
      <c r="BTS30" s="31"/>
      <c r="BTT30" s="31"/>
      <c r="BTU30" s="31"/>
      <c r="BTV30" s="31"/>
      <c r="BTW30" s="31"/>
      <c r="BTX30" s="31"/>
      <c r="BTY30" s="31"/>
      <c r="BTZ30" s="31"/>
      <c r="BUA30" s="31"/>
      <c r="BUB30" s="31"/>
      <c r="BUC30" s="31"/>
      <c r="BUD30" s="31"/>
      <c r="BUE30" s="31"/>
      <c r="BUF30" s="31"/>
      <c r="BUG30" s="31"/>
      <c r="BUH30" s="31"/>
      <c r="BUI30" s="31"/>
      <c r="BUJ30" s="31"/>
      <c r="BUK30" s="31"/>
      <c r="BUL30" s="31"/>
      <c r="BUM30" s="31"/>
      <c r="BUN30" s="31"/>
      <c r="BUO30" s="31"/>
      <c r="BUP30" s="31"/>
      <c r="BUQ30" s="31"/>
      <c r="BUR30" s="31"/>
      <c r="BUS30" s="31"/>
      <c r="BUT30" s="31"/>
      <c r="BUU30" s="31"/>
      <c r="BUV30" s="31"/>
      <c r="BUW30" s="31"/>
      <c r="BUX30" s="31"/>
      <c r="BUY30" s="31"/>
      <c r="BUZ30" s="31"/>
      <c r="BVA30" s="31"/>
      <c r="BVB30" s="31"/>
      <c r="BVC30" s="31"/>
      <c r="BVD30" s="31"/>
      <c r="BVE30" s="31"/>
      <c r="BVF30" s="31"/>
      <c r="BVG30" s="31"/>
      <c r="BVH30" s="31"/>
      <c r="BVI30" s="31"/>
      <c r="BVJ30" s="31"/>
      <c r="BVK30" s="31"/>
      <c r="BVL30" s="31"/>
      <c r="BVM30" s="31"/>
      <c r="BVN30" s="31"/>
      <c r="BVO30" s="31"/>
      <c r="BVP30" s="31"/>
      <c r="BVQ30" s="31"/>
      <c r="BVR30" s="31"/>
      <c r="BVS30" s="31"/>
      <c r="BVT30" s="31"/>
      <c r="BVU30" s="31"/>
      <c r="BVV30" s="31"/>
      <c r="BVW30" s="31"/>
      <c r="BVX30" s="31"/>
      <c r="BVY30" s="31"/>
      <c r="BVZ30" s="31"/>
      <c r="BWA30" s="31"/>
      <c r="BWB30" s="31"/>
      <c r="BWC30" s="31"/>
      <c r="BWD30" s="31"/>
      <c r="BWE30" s="31"/>
      <c r="BWF30" s="31"/>
      <c r="BWG30" s="31"/>
      <c r="BWH30" s="31"/>
      <c r="BWI30" s="31"/>
      <c r="BWJ30" s="31"/>
      <c r="BWK30" s="31"/>
      <c r="BWL30" s="31"/>
      <c r="BWM30" s="31"/>
      <c r="BWN30" s="31"/>
      <c r="BWO30" s="31"/>
      <c r="BWP30" s="31"/>
      <c r="BWQ30" s="31"/>
      <c r="BWR30" s="31"/>
      <c r="BWS30" s="31"/>
      <c r="BWT30" s="31"/>
      <c r="BWU30" s="31"/>
      <c r="BWV30" s="31"/>
      <c r="BWW30" s="31"/>
      <c r="BWX30" s="31"/>
      <c r="BWY30" s="31"/>
      <c r="BWZ30" s="31"/>
      <c r="BXA30" s="31"/>
      <c r="BXB30" s="31"/>
      <c r="BXC30" s="31"/>
      <c r="BXD30" s="31"/>
      <c r="BXE30" s="31"/>
      <c r="BXF30" s="31"/>
      <c r="BXG30" s="31"/>
      <c r="BXH30" s="31"/>
      <c r="BXI30" s="31"/>
      <c r="BXJ30" s="31"/>
      <c r="BXK30" s="31"/>
      <c r="BXL30" s="31"/>
      <c r="BXM30" s="31"/>
      <c r="BXN30" s="31"/>
      <c r="BXO30" s="31"/>
      <c r="BXP30" s="31"/>
      <c r="BXQ30" s="31"/>
      <c r="BXR30" s="31"/>
      <c r="BXS30" s="31"/>
      <c r="BXT30" s="31"/>
      <c r="BXU30" s="31"/>
      <c r="BXV30" s="31"/>
      <c r="BXW30" s="31"/>
      <c r="BXX30" s="31"/>
      <c r="BXY30" s="31"/>
      <c r="BXZ30" s="31"/>
      <c r="BYA30" s="31"/>
      <c r="BYB30" s="31"/>
      <c r="BYC30" s="31"/>
      <c r="BYD30" s="31"/>
      <c r="BYE30" s="31"/>
      <c r="BYF30" s="31"/>
      <c r="BYG30" s="31"/>
      <c r="BYH30" s="31"/>
      <c r="BYI30" s="31"/>
      <c r="BYJ30" s="31"/>
      <c r="BYK30" s="31"/>
      <c r="BYL30" s="31"/>
      <c r="BYM30" s="31"/>
      <c r="BYN30" s="31"/>
      <c r="BYO30" s="31"/>
      <c r="BYP30" s="31"/>
      <c r="BYQ30" s="31"/>
      <c r="BYR30" s="31"/>
      <c r="BYS30" s="31"/>
      <c r="BYT30" s="31"/>
      <c r="BYU30" s="31"/>
      <c r="BYV30" s="31"/>
      <c r="BYW30" s="31"/>
      <c r="BYX30" s="31"/>
      <c r="BYY30" s="31"/>
      <c r="BYZ30" s="31"/>
      <c r="BZA30" s="31"/>
      <c r="BZB30" s="31"/>
      <c r="BZC30" s="31"/>
      <c r="BZD30" s="31"/>
      <c r="BZE30" s="31"/>
      <c r="BZF30" s="31"/>
      <c r="BZG30" s="31"/>
      <c r="BZH30" s="31"/>
      <c r="BZI30" s="31"/>
      <c r="BZJ30" s="31"/>
      <c r="BZK30" s="31"/>
      <c r="BZL30" s="31"/>
      <c r="BZM30" s="31"/>
      <c r="BZN30" s="31"/>
      <c r="BZO30" s="31"/>
      <c r="BZP30" s="31"/>
      <c r="BZQ30" s="31"/>
      <c r="BZR30" s="31"/>
      <c r="BZS30" s="31"/>
      <c r="BZT30" s="31"/>
      <c r="BZU30" s="31"/>
      <c r="BZV30" s="31"/>
      <c r="BZW30" s="31"/>
      <c r="BZX30" s="31"/>
      <c r="BZY30" s="31"/>
      <c r="BZZ30" s="31"/>
      <c r="CAA30" s="31"/>
      <c r="CAB30" s="31"/>
      <c r="CAC30" s="31"/>
      <c r="CAD30" s="31"/>
      <c r="CAE30" s="31"/>
      <c r="CAF30" s="31"/>
      <c r="CAG30" s="31"/>
      <c r="CAH30" s="31"/>
      <c r="CAI30" s="31"/>
      <c r="CAJ30" s="31"/>
      <c r="CAK30" s="31"/>
      <c r="CAL30" s="31"/>
      <c r="CAM30" s="31"/>
      <c r="CAN30" s="31"/>
      <c r="CAO30" s="31"/>
      <c r="CAP30" s="31"/>
      <c r="CAQ30" s="31"/>
      <c r="CAR30" s="31"/>
      <c r="CAS30" s="31"/>
      <c r="CAT30" s="31"/>
      <c r="CAU30" s="31"/>
      <c r="CAV30" s="31"/>
      <c r="CAW30" s="31"/>
      <c r="CAX30" s="31"/>
      <c r="CAY30" s="31"/>
      <c r="CAZ30" s="31"/>
      <c r="CBA30" s="31"/>
      <c r="CBB30" s="31"/>
      <c r="CBC30" s="31"/>
      <c r="CBD30" s="31"/>
      <c r="CBE30" s="31"/>
      <c r="CBF30" s="31"/>
      <c r="CBG30" s="31"/>
      <c r="CBH30" s="31"/>
      <c r="CBI30" s="31"/>
      <c r="CBJ30" s="31"/>
      <c r="CBK30" s="31"/>
      <c r="CBL30" s="31"/>
      <c r="CBM30" s="31"/>
      <c r="CBN30" s="31"/>
      <c r="CBO30" s="31"/>
      <c r="CBP30" s="31"/>
      <c r="CBQ30" s="31"/>
      <c r="CBR30" s="31"/>
      <c r="CBS30" s="31"/>
      <c r="CBT30" s="31"/>
      <c r="CBU30" s="31"/>
      <c r="CBV30" s="31"/>
      <c r="CBW30" s="31"/>
      <c r="CBX30" s="31"/>
      <c r="CBY30" s="31"/>
      <c r="CBZ30" s="31"/>
      <c r="CCA30" s="31"/>
      <c r="CCB30" s="31"/>
      <c r="CCC30" s="31"/>
      <c r="CCD30" s="31"/>
      <c r="CCE30" s="31"/>
      <c r="CCF30" s="31"/>
      <c r="CCG30" s="31"/>
      <c r="CCH30" s="31"/>
      <c r="CCI30" s="31"/>
      <c r="CCJ30" s="31"/>
      <c r="CCK30" s="31"/>
      <c r="CCL30" s="31"/>
      <c r="CCM30" s="31"/>
      <c r="CCN30" s="31"/>
      <c r="CCO30" s="31"/>
      <c r="CCP30" s="31"/>
      <c r="CCQ30" s="31"/>
      <c r="CCR30" s="31"/>
      <c r="CCS30" s="31"/>
      <c r="CCT30" s="31"/>
      <c r="CCU30" s="31"/>
      <c r="CCV30" s="31"/>
      <c r="CCW30" s="31"/>
      <c r="CCX30" s="31"/>
      <c r="CCY30" s="31"/>
      <c r="CCZ30" s="31"/>
      <c r="CDA30" s="31"/>
      <c r="CDB30" s="31"/>
      <c r="CDC30" s="31"/>
      <c r="CDD30" s="31"/>
      <c r="CDE30" s="31"/>
      <c r="CDF30" s="31"/>
      <c r="CDG30" s="31"/>
      <c r="CDH30" s="31"/>
      <c r="CDI30" s="31"/>
      <c r="CDJ30" s="31"/>
      <c r="CDK30" s="31"/>
      <c r="CDL30" s="31"/>
      <c r="CDM30" s="31"/>
      <c r="CDN30" s="31"/>
      <c r="CDO30" s="31"/>
      <c r="CDP30" s="31"/>
      <c r="CDQ30" s="31"/>
      <c r="CDR30" s="31"/>
      <c r="CDS30" s="31"/>
      <c r="CDT30" s="31"/>
      <c r="CDU30" s="31"/>
      <c r="CDV30" s="31"/>
      <c r="CDW30" s="31"/>
      <c r="CDX30" s="31"/>
      <c r="CDY30" s="31"/>
      <c r="CDZ30" s="31"/>
      <c r="CEA30" s="31"/>
      <c r="CEB30" s="31"/>
      <c r="CEC30" s="31"/>
      <c r="CED30" s="31"/>
      <c r="CEE30" s="31"/>
      <c r="CEF30" s="31"/>
      <c r="CEG30" s="31"/>
      <c r="CEH30" s="31"/>
      <c r="CEI30" s="31"/>
      <c r="CEJ30" s="31"/>
      <c r="CEK30" s="31"/>
      <c r="CEL30" s="31"/>
      <c r="CEM30" s="31"/>
      <c r="CEN30" s="31"/>
      <c r="CEO30" s="31"/>
      <c r="CEP30" s="31"/>
      <c r="CEQ30" s="31"/>
      <c r="CER30" s="31"/>
      <c r="CES30" s="31"/>
      <c r="CET30" s="31"/>
      <c r="CEU30" s="31"/>
      <c r="CEV30" s="31"/>
      <c r="CEW30" s="31"/>
      <c r="CEX30" s="31"/>
      <c r="CEY30" s="31"/>
      <c r="CEZ30" s="31"/>
      <c r="CFA30" s="31"/>
      <c r="CFB30" s="31"/>
      <c r="CFC30" s="31"/>
      <c r="CFD30" s="31"/>
      <c r="CFE30" s="31"/>
      <c r="CFF30" s="31"/>
      <c r="CFG30" s="31"/>
      <c r="CFH30" s="31"/>
      <c r="CFI30" s="31"/>
      <c r="CFJ30" s="31"/>
      <c r="CFK30" s="31"/>
      <c r="CFL30" s="31"/>
      <c r="CFM30" s="31"/>
      <c r="CFN30" s="31"/>
      <c r="CFO30" s="31"/>
      <c r="CFP30" s="31"/>
      <c r="CFQ30" s="31"/>
      <c r="CFR30" s="31"/>
      <c r="CFS30" s="31"/>
      <c r="CFT30" s="31"/>
      <c r="CFU30" s="31"/>
      <c r="CFV30" s="31"/>
      <c r="CFW30" s="31"/>
      <c r="CFX30" s="31"/>
      <c r="CFY30" s="31"/>
      <c r="CFZ30" s="31"/>
      <c r="CGA30" s="31"/>
      <c r="CGB30" s="31"/>
      <c r="CGC30" s="31"/>
      <c r="CGD30" s="31"/>
      <c r="CGE30" s="31"/>
      <c r="CGF30" s="31"/>
      <c r="CGG30" s="31"/>
      <c r="CGH30" s="31"/>
      <c r="CGI30" s="31"/>
      <c r="CGJ30" s="31"/>
      <c r="CGK30" s="31"/>
      <c r="CGL30" s="31"/>
      <c r="CGM30" s="31"/>
      <c r="CGN30" s="31"/>
      <c r="CGO30" s="31"/>
      <c r="CGP30" s="31"/>
      <c r="CGQ30" s="31"/>
      <c r="CGR30" s="31"/>
      <c r="CGS30" s="31"/>
      <c r="CGT30" s="31"/>
      <c r="CGU30" s="31"/>
      <c r="CGV30" s="31"/>
      <c r="CGW30" s="31"/>
      <c r="CGX30" s="31"/>
      <c r="CGY30" s="31"/>
      <c r="CGZ30" s="31"/>
      <c r="CHA30" s="31"/>
      <c r="CHB30" s="31"/>
      <c r="CHC30" s="31"/>
      <c r="CHD30" s="31"/>
      <c r="CHE30" s="31"/>
      <c r="CHF30" s="31"/>
      <c r="CHG30" s="31"/>
      <c r="CHH30" s="31"/>
      <c r="CHI30" s="31"/>
      <c r="CHJ30" s="31"/>
      <c r="CHK30" s="31"/>
      <c r="CHL30" s="31"/>
      <c r="CHM30" s="31"/>
      <c r="CHN30" s="31"/>
      <c r="CHO30" s="31"/>
      <c r="CHP30" s="31"/>
      <c r="CHQ30" s="31"/>
      <c r="CHR30" s="31"/>
      <c r="CHS30" s="31"/>
      <c r="CHT30" s="31"/>
      <c r="CHU30" s="31"/>
      <c r="CHV30" s="31"/>
      <c r="CHW30" s="31"/>
      <c r="CHX30" s="31"/>
      <c r="CHY30" s="31"/>
      <c r="CHZ30" s="31"/>
      <c r="CIA30" s="31"/>
      <c r="CIB30" s="31"/>
      <c r="CIC30" s="31"/>
      <c r="CID30" s="31"/>
      <c r="CIE30" s="31"/>
      <c r="CIF30" s="31"/>
      <c r="CIG30" s="31"/>
      <c r="CIH30" s="31"/>
      <c r="CII30" s="31"/>
      <c r="CIJ30" s="31"/>
      <c r="CIK30" s="31"/>
      <c r="CIL30" s="31"/>
      <c r="CIM30" s="31"/>
      <c r="CIN30" s="31"/>
      <c r="CIO30" s="31"/>
      <c r="CIP30" s="31"/>
      <c r="CIQ30" s="31"/>
      <c r="CIR30" s="31"/>
      <c r="CIS30" s="31"/>
      <c r="CIT30" s="31"/>
      <c r="CIU30" s="31"/>
      <c r="CIV30" s="31"/>
      <c r="CIW30" s="31"/>
      <c r="CIX30" s="31"/>
      <c r="CIY30" s="31"/>
      <c r="CIZ30" s="31"/>
      <c r="CJA30" s="31"/>
      <c r="CJB30" s="31"/>
      <c r="CJC30" s="31"/>
      <c r="CJD30" s="31"/>
      <c r="CJE30" s="31"/>
      <c r="CJF30" s="31"/>
      <c r="CJG30" s="31"/>
      <c r="CJH30" s="31"/>
      <c r="CJI30" s="31"/>
      <c r="CJJ30" s="31"/>
      <c r="CJK30" s="31"/>
      <c r="CJL30" s="31"/>
      <c r="CJM30" s="31"/>
      <c r="CJN30" s="31"/>
      <c r="CJO30" s="31"/>
      <c r="CJP30" s="31"/>
      <c r="CJQ30" s="31"/>
      <c r="CJR30" s="31"/>
      <c r="CJS30" s="31"/>
      <c r="CJT30" s="31"/>
      <c r="CJU30" s="31"/>
      <c r="CJV30" s="31"/>
      <c r="CJW30" s="31"/>
      <c r="CJX30" s="31"/>
      <c r="CJY30" s="31"/>
      <c r="CJZ30" s="31"/>
      <c r="CKA30" s="31"/>
      <c r="CKB30" s="31"/>
      <c r="CKC30" s="31"/>
      <c r="CKD30" s="31"/>
      <c r="CKE30" s="31"/>
      <c r="CKF30" s="31"/>
      <c r="CKG30" s="31"/>
      <c r="CKH30" s="31"/>
      <c r="CKI30" s="31"/>
      <c r="CKJ30" s="31"/>
      <c r="CKK30" s="31"/>
      <c r="CKL30" s="31"/>
      <c r="CKM30" s="31"/>
      <c r="CKN30" s="31"/>
      <c r="CKO30" s="31"/>
      <c r="CKP30" s="31"/>
      <c r="CKQ30" s="31"/>
      <c r="CKR30" s="31"/>
      <c r="CKS30" s="31"/>
      <c r="CKT30" s="31"/>
      <c r="CKU30" s="31"/>
      <c r="CKV30" s="31"/>
      <c r="CKW30" s="31"/>
      <c r="CKX30" s="31"/>
      <c r="CKY30" s="31"/>
      <c r="CKZ30" s="31"/>
      <c r="CLA30" s="31"/>
      <c r="CLB30" s="31"/>
      <c r="CLC30" s="31"/>
      <c r="CLD30" s="31"/>
      <c r="CLE30" s="31"/>
      <c r="CLF30" s="31"/>
      <c r="CLG30" s="31"/>
      <c r="CLH30" s="31"/>
      <c r="CLI30" s="31"/>
      <c r="CLJ30" s="31"/>
      <c r="CLK30" s="31"/>
      <c r="CLL30" s="31"/>
      <c r="CLM30" s="31"/>
      <c r="CLN30" s="31"/>
      <c r="CLO30" s="31"/>
      <c r="CLP30" s="31"/>
      <c r="CLQ30" s="31"/>
      <c r="CLR30" s="31"/>
      <c r="CLS30" s="31"/>
      <c r="CLT30" s="31"/>
      <c r="CLU30" s="31"/>
      <c r="CLV30" s="31"/>
      <c r="CLW30" s="31"/>
      <c r="CLX30" s="31"/>
      <c r="CLY30" s="31"/>
      <c r="CLZ30" s="31"/>
      <c r="CMA30" s="31"/>
      <c r="CMB30" s="31"/>
      <c r="CMC30" s="31"/>
      <c r="CMD30" s="31"/>
      <c r="CME30" s="31"/>
      <c r="CMF30" s="31"/>
      <c r="CMG30" s="31"/>
      <c r="CMH30" s="31"/>
      <c r="CMI30" s="31"/>
      <c r="CMJ30" s="31"/>
      <c r="CMK30" s="31"/>
      <c r="CML30" s="31"/>
      <c r="CMM30" s="31"/>
      <c r="CMN30" s="31"/>
      <c r="CMO30" s="31"/>
      <c r="CMP30" s="31"/>
      <c r="CMQ30" s="31"/>
      <c r="CMR30" s="31"/>
      <c r="CMS30" s="31"/>
      <c r="CMT30" s="31"/>
      <c r="CMU30" s="31"/>
      <c r="CMV30" s="31"/>
      <c r="CMW30" s="31"/>
      <c r="CMX30" s="31"/>
      <c r="CMY30" s="31"/>
      <c r="CMZ30" s="31"/>
      <c r="CNA30" s="31"/>
      <c r="CNB30" s="31"/>
      <c r="CNC30" s="31"/>
      <c r="CND30" s="31"/>
      <c r="CNE30" s="31"/>
      <c r="CNF30" s="31"/>
      <c r="CNG30" s="31"/>
      <c r="CNH30" s="31"/>
      <c r="CNI30" s="31"/>
      <c r="CNJ30" s="31"/>
      <c r="CNK30" s="31"/>
      <c r="CNL30" s="31"/>
      <c r="CNM30" s="31"/>
      <c r="CNN30" s="31"/>
      <c r="CNO30" s="31"/>
      <c r="CNP30" s="31"/>
      <c r="CNQ30" s="31"/>
      <c r="CNR30" s="31"/>
      <c r="CNS30" s="31"/>
      <c r="CNT30" s="31"/>
      <c r="CNU30" s="31"/>
      <c r="CNV30" s="31"/>
      <c r="CNW30" s="31"/>
      <c r="CNX30" s="31"/>
      <c r="CNY30" s="31"/>
      <c r="CNZ30" s="31"/>
      <c r="COA30" s="31"/>
      <c r="COB30" s="31"/>
      <c r="COC30" s="31"/>
      <c r="COD30" s="31"/>
      <c r="COE30" s="31"/>
      <c r="COF30" s="31"/>
      <c r="COG30" s="31"/>
      <c r="COH30" s="31"/>
      <c r="COI30" s="31"/>
      <c r="COJ30" s="31"/>
      <c r="COK30" s="31"/>
      <c r="COL30" s="31"/>
      <c r="COM30" s="31"/>
      <c r="CON30" s="31"/>
      <c r="COO30" s="31"/>
      <c r="COP30" s="31"/>
      <c r="COQ30" s="31"/>
      <c r="COR30" s="31"/>
      <c r="COS30" s="31"/>
      <c r="COT30" s="31"/>
      <c r="COU30" s="31"/>
      <c r="COV30" s="31"/>
      <c r="COW30" s="31"/>
      <c r="COX30" s="31"/>
      <c r="COY30" s="31"/>
      <c r="COZ30" s="31"/>
      <c r="CPA30" s="31"/>
      <c r="CPB30" s="31"/>
      <c r="CPC30" s="31"/>
      <c r="CPD30" s="31"/>
      <c r="CPE30" s="31"/>
      <c r="CPF30" s="31"/>
      <c r="CPG30" s="31"/>
      <c r="CPH30" s="31"/>
      <c r="CPI30" s="31"/>
      <c r="CPJ30" s="31"/>
      <c r="CPK30" s="31"/>
      <c r="CPL30" s="31"/>
      <c r="CPM30" s="31"/>
      <c r="CPN30" s="31"/>
      <c r="CPO30" s="31"/>
      <c r="CPP30" s="31"/>
      <c r="CPQ30" s="31"/>
      <c r="CPR30" s="31"/>
      <c r="CPS30" s="31"/>
      <c r="CPT30" s="31"/>
      <c r="CPU30" s="31"/>
      <c r="CPV30" s="31"/>
      <c r="CPW30" s="31"/>
      <c r="CPX30" s="31"/>
      <c r="CPY30" s="31"/>
      <c r="CPZ30" s="31"/>
      <c r="CQA30" s="31"/>
      <c r="CQB30" s="31"/>
      <c r="CQC30" s="31"/>
      <c r="CQD30" s="31"/>
      <c r="CQE30" s="31"/>
      <c r="CQF30" s="31"/>
      <c r="CQG30" s="31"/>
      <c r="CQH30" s="31"/>
      <c r="CQI30" s="31"/>
      <c r="CQJ30" s="31"/>
      <c r="CQK30" s="31"/>
      <c r="CQL30" s="31"/>
      <c r="CQM30" s="31"/>
      <c r="CQN30" s="31"/>
      <c r="CQO30" s="31"/>
      <c r="CQP30" s="31"/>
      <c r="CQQ30" s="31"/>
      <c r="CQR30" s="31"/>
      <c r="CQS30" s="31"/>
      <c r="CQT30" s="31"/>
      <c r="CQU30" s="31"/>
      <c r="CQV30" s="31"/>
      <c r="CQW30" s="31"/>
      <c r="CQX30" s="31"/>
      <c r="CQY30" s="31"/>
      <c r="CQZ30" s="31"/>
      <c r="CRA30" s="31"/>
      <c r="CRB30" s="31"/>
      <c r="CRC30" s="31"/>
      <c r="CRD30" s="31"/>
      <c r="CRE30" s="31"/>
      <c r="CRF30" s="31"/>
      <c r="CRG30" s="31"/>
      <c r="CRH30" s="31"/>
      <c r="CRI30" s="31"/>
      <c r="CRJ30" s="31"/>
      <c r="CRK30" s="31"/>
      <c r="CRL30" s="31"/>
      <c r="CRM30" s="31"/>
      <c r="CRN30" s="31"/>
      <c r="CRO30" s="31"/>
      <c r="CRP30" s="31"/>
      <c r="CRQ30" s="31"/>
      <c r="CRR30" s="31"/>
      <c r="CRS30" s="31"/>
      <c r="CRT30" s="31"/>
      <c r="CRU30" s="31"/>
      <c r="CRV30" s="31"/>
      <c r="CRW30" s="31"/>
      <c r="CRX30" s="31"/>
      <c r="CRY30" s="31"/>
      <c r="CRZ30" s="31"/>
      <c r="CSA30" s="31"/>
      <c r="CSB30" s="31"/>
      <c r="CSC30" s="31"/>
      <c r="CSD30" s="31"/>
      <c r="CSE30" s="31"/>
      <c r="CSF30" s="31"/>
      <c r="CSG30" s="31"/>
      <c r="CSH30" s="31"/>
      <c r="CSI30" s="31"/>
      <c r="CSJ30" s="31"/>
      <c r="CSK30" s="31"/>
      <c r="CSL30" s="31"/>
      <c r="CSM30" s="31"/>
      <c r="CSN30" s="31"/>
      <c r="CSO30" s="31"/>
      <c r="CSP30" s="31"/>
      <c r="CSQ30" s="31"/>
      <c r="CSR30" s="31"/>
      <c r="CSS30" s="31"/>
      <c r="CST30" s="31"/>
      <c r="CSU30" s="31"/>
      <c r="CSV30" s="31"/>
      <c r="CSW30" s="31"/>
      <c r="CSX30" s="31"/>
      <c r="CSY30" s="31"/>
      <c r="CSZ30" s="31"/>
      <c r="CTA30" s="31"/>
      <c r="CTB30" s="31"/>
      <c r="CTC30" s="31"/>
      <c r="CTD30" s="31"/>
      <c r="CTE30" s="31"/>
      <c r="CTF30" s="31"/>
      <c r="CTG30" s="31"/>
      <c r="CTH30" s="31"/>
      <c r="CTI30" s="31"/>
      <c r="CTJ30" s="31"/>
      <c r="CTK30" s="31"/>
      <c r="CTL30" s="31"/>
      <c r="CTM30" s="31"/>
      <c r="CTN30" s="31"/>
      <c r="CTO30" s="31"/>
      <c r="CTP30" s="31"/>
      <c r="CTQ30" s="31"/>
      <c r="CTR30" s="31"/>
      <c r="CTS30" s="31"/>
      <c r="CTT30" s="31"/>
      <c r="CTU30" s="31"/>
      <c r="CTV30" s="31"/>
      <c r="CTW30" s="31"/>
      <c r="CTX30" s="31"/>
      <c r="CTY30" s="31"/>
      <c r="CTZ30" s="31"/>
      <c r="CUA30" s="31"/>
      <c r="CUB30" s="31"/>
      <c r="CUC30" s="31"/>
      <c r="CUD30" s="31"/>
      <c r="CUE30" s="31"/>
      <c r="CUF30" s="31"/>
      <c r="CUG30" s="31"/>
      <c r="CUH30" s="31"/>
      <c r="CUI30" s="31"/>
      <c r="CUJ30" s="31"/>
      <c r="CUK30" s="31"/>
      <c r="CUL30" s="31"/>
      <c r="CUM30" s="31"/>
      <c r="CUN30" s="31"/>
      <c r="CUO30" s="31"/>
      <c r="CUP30" s="31"/>
      <c r="CUQ30" s="31"/>
      <c r="CUR30" s="31"/>
      <c r="CUS30" s="31"/>
      <c r="CUT30" s="31"/>
      <c r="CUU30" s="31"/>
      <c r="CUV30" s="31"/>
      <c r="CUW30" s="31"/>
      <c r="CUX30" s="31"/>
      <c r="CUY30" s="31"/>
      <c r="CUZ30" s="31"/>
      <c r="CVA30" s="31"/>
      <c r="CVB30" s="31"/>
      <c r="CVC30" s="31"/>
      <c r="CVD30" s="31"/>
      <c r="CVE30" s="31"/>
      <c r="CVF30" s="31"/>
      <c r="CVG30" s="31"/>
      <c r="CVH30" s="31"/>
      <c r="CVI30" s="31"/>
      <c r="CVJ30" s="31"/>
      <c r="CVK30" s="31"/>
      <c r="CVL30" s="31"/>
      <c r="CVM30" s="31"/>
      <c r="CVN30" s="31"/>
      <c r="CVO30" s="31"/>
      <c r="CVP30" s="31"/>
      <c r="CVQ30" s="31"/>
      <c r="CVR30" s="31"/>
      <c r="CVS30" s="31"/>
      <c r="CVT30" s="31"/>
      <c r="CVU30" s="31"/>
      <c r="CVV30" s="31"/>
      <c r="CVW30" s="31"/>
      <c r="CVX30" s="31"/>
      <c r="CVY30" s="31"/>
      <c r="CVZ30" s="31"/>
      <c r="CWA30" s="31"/>
      <c r="CWB30" s="31"/>
      <c r="CWC30" s="31"/>
      <c r="CWD30" s="31"/>
      <c r="CWE30" s="31"/>
      <c r="CWF30" s="31"/>
      <c r="CWG30" s="31"/>
      <c r="CWH30" s="31"/>
      <c r="CWI30" s="31"/>
      <c r="CWJ30" s="31"/>
      <c r="CWK30" s="31"/>
      <c r="CWL30" s="31"/>
      <c r="CWM30" s="31"/>
      <c r="CWN30" s="31"/>
      <c r="CWO30" s="31"/>
      <c r="CWP30" s="31"/>
      <c r="CWQ30" s="31"/>
      <c r="CWR30" s="31"/>
      <c r="CWS30" s="31"/>
      <c r="CWT30" s="31"/>
      <c r="CWU30" s="31"/>
      <c r="CWV30" s="31"/>
      <c r="CWW30" s="31"/>
      <c r="CWX30" s="31"/>
      <c r="CWY30" s="31"/>
      <c r="CWZ30" s="31"/>
      <c r="CXA30" s="31"/>
      <c r="CXB30" s="31"/>
      <c r="CXC30" s="31"/>
      <c r="CXD30" s="31"/>
      <c r="CXE30" s="31"/>
      <c r="CXF30" s="31"/>
      <c r="CXG30" s="31"/>
      <c r="CXH30" s="31"/>
      <c r="CXI30" s="31"/>
      <c r="CXJ30" s="31"/>
      <c r="CXK30" s="31"/>
      <c r="CXL30" s="31"/>
      <c r="CXM30" s="31"/>
      <c r="CXN30" s="31"/>
      <c r="CXO30" s="31"/>
      <c r="CXP30" s="31"/>
      <c r="CXQ30" s="31"/>
      <c r="CXR30" s="31"/>
      <c r="CXS30" s="31"/>
      <c r="CXT30" s="31"/>
      <c r="CXU30" s="31"/>
      <c r="CXV30" s="31"/>
      <c r="CXW30" s="31"/>
      <c r="CXX30" s="31"/>
      <c r="CXY30" s="31"/>
      <c r="CXZ30" s="31"/>
      <c r="CYA30" s="31"/>
      <c r="CYB30" s="31"/>
      <c r="CYC30" s="31"/>
      <c r="CYD30" s="31"/>
      <c r="CYE30" s="31"/>
      <c r="CYF30" s="31"/>
      <c r="CYG30" s="31"/>
      <c r="CYH30" s="31"/>
      <c r="CYI30" s="31"/>
      <c r="CYJ30" s="31"/>
      <c r="CYK30" s="31"/>
      <c r="CYL30" s="31"/>
      <c r="CYM30" s="31"/>
      <c r="CYN30" s="31"/>
      <c r="CYO30" s="31"/>
      <c r="CYP30" s="31"/>
      <c r="CYQ30" s="31"/>
      <c r="CYR30" s="31"/>
      <c r="CYS30" s="31"/>
      <c r="CYT30" s="31"/>
      <c r="CYU30" s="31"/>
      <c r="CYV30" s="31"/>
      <c r="CYW30" s="31"/>
      <c r="CYX30" s="31"/>
      <c r="CYY30" s="31"/>
      <c r="CYZ30" s="31"/>
      <c r="CZA30" s="31"/>
      <c r="CZB30" s="31"/>
      <c r="CZC30" s="31"/>
      <c r="CZD30" s="31"/>
      <c r="CZE30" s="31"/>
      <c r="CZF30" s="31"/>
      <c r="CZG30" s="31"/>
      <c r="CZH30" s="31"/>
      <c r="CZI30" s="31"/>
      <c r="CZJ30" s="31"/>
      <c r="CZK30" s="31"/>
      <c r="CZL30" s="31"/>
      <c r="CZM30" s="31"/>
      <c r="CZN30" s="31"/>
      <c r="CZO30" s="31"/>
      <c r="CZP30" s="31"/>
      <c r="CZQ30" s="31"/>
      <c r="CZR30" s="31"/>
      <c r="CZS30" s="31"/>
      <c r="CZT30" s="31"/>
      <c r="CZU30" s="31"/>
      <c r="CZV30" s="31"/>
      <c r="CZW30" s="31"/>
      <c r="CZX30" s="31"/>
      <c r="CZY30" s="31"/>
      <c r="CZZ30" s="31"/>
      <c r="DAA30" s="31"/>
      <c r="DAB30" s="31"/>
      <c r="DAC30" s="31"/>
      <c r="DAD30" s="31"/>
      <c r="DAE30" s="31"/>
      <c r="DAF30" s="31"/>
      <c r="DAG30" s="31"/>
      <c r="DAH30" s="31"/>
      <c r="DAI30" s="31"/>
      <c r="DAJ30" s="31"/>
      <c r="DAK30" s="31"/>
      <c r="DAL30" s="31"/>
      <c r="DAM30" s="31"/>
      <c r="DAN30" s="31"/>
      <c r="DAO30" s="31"/>
      <c r="DAP30" s="31"/>
      <c r="DAQ30" s="31"/>
      <c r="DAR30" s="31"/>
      <c r="DAS30" s="31"/>
      <c r="DAT30" s="31"/>
      <c r="DAU30" s="31"/>
      <c r="DAV30" s="31"/>
      <c r="DAW30" s="31"/>
      <c r="DAX30" s="31"/>
      <c r="DAY30" s="31"/>
      <c r="DAZ30" s="31"/>
      <c r="DBA30" s="31"/>
      <c r="DBB30" s="31"/>
      <c r="DBC30" s="31"/>
      <c r="DBD30" s="31"/>
      <c r="DBE30" s="31"/>
      <c r="DBF30" s="31"/>
      <c r="DBG30" s="31"/>
      <c r="DBH30" s="31"/>
      <c r="DBI30" s="31"/>
      <c r="DBJ30" s="31"/>
      <c r="DBK30" s="31"/>
      <c r="DBL30" s="31"/>
      <c r="DBM30" s="31"/>
      <c r="DBN30" s="31"/>
      <c r="DBO30" s="31"/>
      <c r="DBP30" s="31"/>
      <c r="DBQ30" s="31"/>
      <c r="DBR30" s="31"/>
      <c r="DBS30" s="31"/>
      <c r="DBT30" s="31"/>
      <c r="DBU30" s="31"/>
      <c r="DBV30" s="31"/>
      <c r="DBW30" s="31"/>
      <c r="DBX30" s="31"/>
      <c r="DBY30" s="31"/>
      <c r="DBZ30" s="31"/>
      <c r="DCA30" s="31"/>
      <c r="DCB30" s="31"/>
      <c r="DCC30" s="31"/>
      <c r="DCD30" s="31"/>
      <c r="DCE30" s="31"/>
      <c r="DCF30" s="31"/>
      <c r="DCG30" s="31"/>
      <c r="DCH30" s="31"/>
      <c r="DCI30" s="31"/>
      <c r="DCJ30" s="31"/>
      <c r="DCK30" s="31"/>
      <c r="DCL30" s="31"/>
      <c r="DCM30" s="31"/>
      <c r="DCN30" s="31"/>
      <c r="DCO30" s="31"/>
      <c r="DCP30" s="31"/>
      <c r="DCQ30" s="31"/>
      <c r="DCR30" s="31"/>
      <c r="DCS30" s="31"/>
      <c r="DCT30" s="31"/>
      <c r="DCU30" s="31"/>
      <c r="DCV30" s="31"/>
      <c r="DCW30" s="31"/>
      <c r="DCX30" s="31"/>
      <c r="DCY30" s="31"/>
      <c r="DCZ30" s="31"/>
      <c r="DDA30" s="31"/>
      <c r="DDB30" s="31"/>
      <c r="DDC30" s="31"/>
      <c r="DDD30" s="31"/>
      <c r="DDE30" s="31"/>
      <c r="DDF30" s="31"/>
      <c r="DDG30" s="31"/>
      <c r="DDH30" s="31"/>
      <c r="DDI30" s="31"/>
      <c r="DDJ30" s="31"/>
      <c r="DDK30" s="31"/>
      <c r="DDL30" s="31"/>
      <c r="DDM30" s="31"/>
      <c r="DDN30" s="31"/>
      <c r="DDO30" s="31"/>
      <c r="DDP30" s="31"/>
      <c r="DDQ30" s="31"/>
      <c r="DDR30" s="31"/>
      <c r="DDS30" s="31"/>
      <c r="DDT30" s="31"/>
      <c r="DDU30" s="31"/>
      <c r="DDV30" s="31"/>
      <c r="DDW30" s="31"/>
      <c r="DDX30" s="31"/>
      <c r="DDY30" s="31"/>
      <c r="DDZ30" s="31"/>
      <c r="DEA30" s="31"/>
      <c r="DEB30" s="31"/>
      <c r="DEC30" s="31"/>
      <c r="DED30" s="31"/>
      <c r="DEE30" s="31"/>
      <c r="DEF30" s="31"/>
      <c r="DEG30" s="31"/>
      <c r="DEH30" s="31"/>
      <c r="DEI30" s="31"/>
      <c r="DEJ30" s="31"/>
      <c r="DEK30" s="31"/>
      <c r="DEL30" s="31"/>
      <c r="DEM30" s="31"/>
      <c r="DEN30" s="31"/>
      <c r="DEO30" s="31"/>
      <c r="DEP30" s="31"/>
      <c r="DEQ30" s="31"/>
      <c r="DER30" s="31"/>
      <c r="DES30" s="31"/>
      <c r="DET30" s="31"/>
      <c r="DEU30" s="31"/>
      <c r="DEV30" s="31"/>
      <c r="DEW30" s="31"/>
      <c r="DEX30" s="31"/>
      <c r="DEY30" s="31"/>
      <c r="DEZ30" s="31"/>
      <c r="DFA30" s="31"/>
      <c r="DFB30" s="31"/>
      <c r="DFC30" s="31"/>
      <c r="DFD30" s="31"/>
      <c r="DFE30" s="31"/>
      <c r="DFF30" s="31"/>
      <c r="DFG30" s="31"/>
      <c r="DFH30" s="31"/>
      <c r="DFI30" s="31"/>
      <c r="DFJ30" s="31"/>
      <c r="DFK30" s="31"/>
      <c r="DFL30" s="31"/>
      <c r="DFM30" s="31"/>
      <c r="DFN30" s="31"/>
      <c r="DFO30" s="31"/>
      <c r="DFP30" s="31"/>
      <c r="DFQ30" s="31"/>
      <c r="DFR30" s="31"/>
      <c r="DFS30" s="31"/>
      <c r="DFT30" s="31"/>
      <c r="DFU30" s="31"/>
      <c r="DFV30" s="31"/>
      <c r="DFW30" s="31"/>
      <c r="DFX30" s="31"/>
      <c r="DFY30" s="31"/>
      <c r="DFZ30" s="31"/>
      <c r="DGA30" s="31"/>
      <c r="DGB30" s="31"/>
      <c r="DGC30" s="31"/>
      <c r="DGD30" s="31"/>
      <c r="DGE30" s="31"/>
      <c r="DGF30" s="31"/>
      <c r="DGG30" s="31"/>
      <c r="DGH30" s="31"/>
      <c r="DGI30" s="31"/>
      <c r="DGJ30" s="31"/>
      <c r="DGK30" s="31"/>
      <c r="DGL30" s="31"/>
      <c r="DGM30" s="31"/>
      <c r="DGN30" s="31"/>
      <c r="DGO30" s="31"/>
      <c r="DGP30" s="31"/>
      <c r="DGQ30" s="31"/>
      <c r="DGR30" s="31"/>
      <c r="DGS30" s="31"/>
      <c r="DGT30" s="31"/>
      <c r="DGU30" s="31"/>
      <c r="DGV30" s="31"/>
      <c r="DGW30" s="31"/>
      <c r="DGX30" s="31"/>
      <c r="DGY30" s="31"/>
      <c r="DGZ30" s="31"/>
      <c r="DHA30" s="31"/>
      <c r="DHB30" s="31"/>
      <c r="DHC30" s="31"/>
      <c r="DHD30" s="31"/>
      <c r="DHE30" s="31"/>
      <c r="DHF30" s="31"/>
      <c r="DHG30" s="31"/>
      <c r="DHH30" s="31"/>
      <c r="DHI30" s="31"/>
      <c r="DHJ30" s="31"/>
      <c r="DHK30" s="31"/>
      <c r="DHL30" s="31"/>
      <c r="DHM30" s="31"/>
      <c r="DHN30" s="31"/>
      <c r="DHO30" s="31"/>
      <c r="DHP30" s="31"/>
      <c r="DHQ30" s="31"/>
      <c r="DHR30" s="31"/>
      <c r="DHS30" s="31"/>
      <c r="DHT30" s="31"/>
      <c r="DHU30" s="31"/>
      <c r="DHV30" s="31"/>
      <c r="DHW30" s="31"/>
      <c r="DHX30" s="31"/>
      <c r="DHY30" s="31"/>
      <c r="DHZ30" s="31"/>
      <c r="DIA30" s="31"/>
      <c r="DIB30" s="31"/>
      <c r="DIC30" s="31"/>
      <c r="DID30" s="31"/>
      <c r="DIE30" s="31"/>
      <c r="DIF30" s="31"/>
      <c r="DIG30" s="31"/>
      <c r="DIH30" s="31"/>
      <c r="DII30" s="31"/>
      <c r="DIJ30" s="31"/>
      <c r="DIK30" s="31"/>
      <c r="DIL30" s="31"/>
      <c r="DIM30" s="31"/>
      <c r="DIN30" s="31"/>
      <c r="DIO30" s="31"/>
      <c r="DIP30" s="31"/>
      <c r="DIQ30" s="31"/>
      <c r="DIR30" s="31"/>
      <c r="DIS30" s="31"/>
      <c r="DIT30" s="31"/>
      <c r="DIU30" s="31"/>
      <c r="DIV30" s="31"/>
      <c r="DIW30" s="31"/>
      <c r="DIX30" s="31"/>
      <c r="DIY30" s="31"/>
      <c r="DIZ30" s="31"/>
      <c r="DJA30" s="31"/>
      <c r="DJB30" s="31"/>
      <c r="DJC30" s="31"/>
      <c r="DJD30" s="31"/>
      <c r="DJE30" s="31"/>
      <c r="DJF30" s="31"/>
      <c r="DJG30" s="31"/>
      <c r="DJH30" s="31"/>
      <c r="DJI30" s="31"/>
      <c r="DJJ30" s="31"/>
      <c r="DJK30" s="31"/>
      <c r="DJL30" s="31"/>
      <c r="DJM30" s="31"/>
      <c r="DJN30" s="31"/>
      <c r="DJO30" s="31"/>
      <c r="DJP30" s="31"/>
      <c r="DJQ30" s="31"/>
      <c r="DJR30" s="31"/>
      <c r="DJS30" s="31"/>
      <c r="DJT30" s="31"/>
      <c r="DJU30" s="31"/>
      <c r="DJV30" s="31"/>
      <c r="DJW30" s="31"/>
      <c r="DJX30" s="31"/>
      <c r="DJY30" s="31"/>
      <c r="DJZ30" s="31"/>
      <c r="DKA30" s="31"/>
      <c r="DKB30" s="31"/>
      <c r="DKC30" s="31"/>
      <c r="DKD30" s="31"/>
      <c r="DKE30" s="31"/>
      <c r="DKF30" s="31"/>
      <c r="DKG30" s="31"/>
      <c r="DKH30" s="31"/>
      <c r="DKI30" s="31"/>
      <c r="DKJ30" s="31"/>
      <c r="DKK30" s="31"/>
      <c r="DKL30" s="31"/>
      <c r="DKM30" s="31"/>
      <c r="DKN30" s="31"/>
      <c r="DKO30" s="31"/>
      <c r="DKP30" s="31"/>
      <c r="DKQ30" s="31"/>
      <c r="DKR30" s="31"/>
      <c r="DKS30" s="31"/>
      <c r="DKT30" s="31"/>
      <c r="DKU30" s="31"/>
      <c r="DKV30" s="31"/>
      <c r="DKW30" s="31"/>
      <c r="DKX30" s="31"/>
      <c r="DKY30" s="31"/>
      <c r="DKZ30" s="31"/>
      <c r="DLA30" s="31"/>
      <c r="DLB30" s="31"/>
      <c r="DLC30" s="31"/>
      <c r="DLD30" s="31"/>
      <c r="DLE30" s="31"/>
      <c r="DLF30" s="31"/>
      <c r="DLG30" s="31"/>
      <c r="DLH30" s="31"/>
      <c r="DLI30" s="31"/>
      <c r="DLJ30" s="31"/>
      <c r="DLK30" s="31"/>
      <c r="DLL30" s="31"/>
      <c r="DLM30" s="31"/>
      <c r="DLN30" s="31"/>
      <c r="DLO30" s="31"/>
      <c r="DLP30" s="31"/>
      <c r="DLQ30" s="31"/>
      <c r="DLR30" s="31"/>
      <c r="DLS30" s="31"/>
      <c r="DLT30" s="31"/>
      <c r="DLU30" s="31"/>
      <c r="DLV30" s="31"/>
      <c r="DLW30" s="31"/>
      <c r="DLX30" s="31"/>
      <c r="DLY30" s="31"/>
      <c r="DLZ30" s="31"/>
      <c r="DMA30" s="31"/>
      <c r="DMB30" s="31"/>
      <c r="DMC30" s="31"/>
      <c r="DMD30" s="31"/>
      <c r="DME30" s="31"/>
      <c r="DMF30" s="31"/>
      <c r="DMG30" s="31"/>
      <c r="DMH30" s="31"/>
      <c r="DMI30" s="31"/>
      <c r="DMJ30" s="31"/>
      <c r="DMK30" s="31"/>
      <c r="DML30" s="31"/>
      <c r="DMM30" s="31"/>
      <c r="DMN30" s="31"/>
      <c r="DMO30" s="31"/>
      <c r="DMP30" s="31"/>
      <c r="DMQ30" s="31"/>
      <c r="DMR30" s="31"/>
      <c r="DMS30" s="31"/>
      <c r="DMT30" s="31"/>
      <c r="DMU30" s="31"/>
      <c r="DMV30" s="31"/>
      <c r="DMW30" s="31"/>
      <c r="DMX30" s="31"/>
      <c r="DMY30" s="31"/>
      <c r="DMZ30" s="31"/>
      <c r="DNA30" s="31"/>
      <c r="DNB30" s="31"/>
      <c r="DNC30" s="31"/>
      <c r="DND30" s="31"/>
      <c r="DNE30" s="31"/>
      <c r="DNF30" s="31"/>
      <c r="DNG30" s="31"/>
      <c r="DNH30" s="31"/>
      <c r="DNI30" s="31"/>
      <c r="DNJ30" s="31"/>
      <c r="DNK30" s="31"/>
      <c r="DNL30" s="31"/>
      <c r="DNM30" s="31"/>
      <c r="DNN30" s="31"/>
      <c r="DNO30" s="31"/>
      <c r="DNP30" s="31"/>
      <c r="DNQ30" s="31"/>
      <c r="DNR30" s="31"/>
      <c r="DNS30" s="31"/>
      <c r="DNT30" s="31"/>
      <c r="DNU30" s="31"/>
      <c r="DNV30" s="31"/>
      <c r="DNW30" s="31"/>
      <c r="DNX30" s="31"/>
      <c r="DNY30" s="31"/>
      <c r="DNZ30" s="31"/>
      <c r="DOA30" s="31"/>
      <c r="DOB30" s="31"/>
      <c r="DOC30" s="31"/>
      <c r="DOD30" s="31"/>
      <c r="DOE30" s="31"/>
      <c r="DOF30" s="31"/>
      <c r="DOG30" s="31"/>
      <c r="DOH30" s="31"/>
      <c r="DOI30" s="31"/>
      <c r="DOJ30" s="31"/>
      <c r="DOK30" s="31"/>
      <c r="DOL30" s="31"/>
      <c r="DOM30" s="31"/>
      <c r="DON30" s="31"/>
      <c r="DOO30" s="31"/>
      <c r="DOP30" s="31"/>
      <c r="DOQ30" s="31"/>
      <c r="DOR30" s="31"/>
      <c r="DOS30" s="31"/>
      <c r="DOT30" s="31"/>
      <c r="DOU30" s="31"/>
      <c r="DOV30" s="31"/>
      <c r="DOW30" s="31"/>
      <c r="DOX30" s="31"/>
      <c r="DOY30" s="31"/>
      <c r="DOZ30" s="31"/>
      <c r="DPA30" s="31"/>
      <c r="DPB30" s="31"/>
      <c r="DPC30" s="31"/>
      <c r="DPD30" s="31"/>
      <c r="DPE30" s="31"/>
      <c r="DPF30" s="31"/>
      <c r="DPG30" s="31"/>
      <c r="DPH30" s="31"/>
      <c r="DPI30" s="31"/>
      <c r="DPJ30" s="31"/>
      <c r="DPK30" s="31"/>
      <c r="DPL30" s="31"/>
      <c r="DPM30" s="31"/>
      <c r="DPN30" s="31"/>
      <c r="DPO30" s="31"/>
      <c r="DPP30" s="31"/>
      <c r="DPQ30" s="31"/>
      <c r="DPR30" s="31"/>
      <c r="DPS30" s="31"/>
      <c r="DPT30" s="31"/>
      <c r="DPU30" s="31"/>
      <c r="DPV30" s="31"/>
      <c r="DPW30" s="31"/>
      <c r="DPX30" s="31"/>
      <c r="DPY30" s="31"/>
      <c r="DPZ30" s="31"/>
      <c r="DQA30" s="31"/>
      <c r="DQB30" s="31"/>
      <c r="DQC30" s="31"/>
      <c r="DQD30" s="31"/>
      <c r="DQE30" s="31"/>
      <c r="DQF30" s="31"/>
      <c r="DQG30" s="31"/>
      <c r="DQH30" s="31"/>
      <c r="DQI30" s="31"/>
      <c r="DQJ30" s="31"/>
      <c r="DQK30" s="31"/>
      <c r="DQL30" s="31"/>
      <c r="DQM30" s="31"/>
      <c r="DQN30" s="31"/>
      <c r="DQO30" s="31"/>
      <c r="DQP30" s="31"/>
      <c r="DQQ30" s="31"/>
      <c r="DQR30" s="31"/>
      <c r="DQS30" s="31"/>
      <c r="DQT30" s="31"/>
      <c r="DQU30" s="31"/>
      <c r="DQV30" s="31"/>
      <c r="DQW30" s="31"/>
      <c r="DQX30" s="31"/>
      <c r="DQY30" s="31"/>
      <c r="DQZ30" s="31"/>
      <c r="DRA30" s="31"/>
      <c r="DRB30" s="31"/>
      <c r="DRC30" s="31"/>
      <c r="DRD30" s="31"/>
      <c r="DRE30" s="31"/>
      <c r="DRF30" s="31"/>
      <c r="DRG30" s="31"/>
      <c r="DRH30" s="31"/>
      <c r="DRI30" s="31"/>
      <c r="DRJ30" s="31"/>
      <c r="DRK30" s="31"/>
      <c r="DRL30" s="31"/>
      <c r="DRM30" s="31"/>
      <c r="DRN30" s="31"/>
      <c r="DRO30" s="31"/>
      <c r="DRP30" s="31"/>
      <c r="DRQ30" s="31"/>
      <c r="DRR30" s="31"/>
      <c r="DRS30" s="31"/>
      <c r="DRT30" s="31"/>
      <c r="DRU30" s="31"/>
      <c r="DRV30" s="31"/>
      <c r="DRW30" s="31"/>
      <c r="DRX30" s="31"/>
      <c r="DRY30" s="31"/>
      <c r="DRZ30" s="31"/>
      <c r="DSA30" s="31"/>
      <c r="DSB30" s="31"/>
      <c r="DSC30" s="31"/>
      <c r="DSD30" s="31"/>
      <c r="DSE30" s="31"/>
      <c r="DSF30" s="31"/>
      <c r="DSG30" s="31"/>
      <c r="DSH30" s="31"/>
      <c r="DSI30" s="31"/>
      <c r="DSJ30" s="31"/>
      <c r="DSK30" s="31"/>
      <c r="DSL30" s="31"/>
      <c r="DSM30" s="31"/>
      <c r="DSN30" s="31"/>
      <c r="DSO30" s="31"/>
      <c r="DSP30" s="31"/>
      <c r="DSQ30" s="31"/>
      <c r="DSR30" s="31"/>
      <c r="DSS30" s="31"/>
      <c r="DST30" s="31"/>
      <c r="DSU30" s="31"/>
      <c r="DSV30" s="31"/>
      <c r="DSW30" s="31"/>
      <c r="DSX30" s="31"/>
      <c r="DSY30" s="31"/>
      <c r="DSZ30" s="31"/>
      <c r="DTA30" s="31"/>
      <c r="DTB30" s="31"/>
      <c r="DTC30" s="31"/>
      <c r="DTD30" s="31"/>
      <c r="DTE30" s="31"/>
      <c r="DTF30" s="31"/>
      <c r="DTG30" s="31"/>
      <c r="DTH30" s="31"/>
      <c r="DTI30" s="31"/>
      <c r="DTJ30" s="31"/>
      <c r="DTK30" s="31"/>
      <c r="DTL30" s="31"/>
      <c r="DTM30" s="31"/>
      <c r="DTN30" s="31"/>
      <c r="DTO30" s="31"/>
      <c r="DTP30" s="31"/>
      <c r="DTQ30" s="31"/>
      <c r="DTR30" s="31"/>
      <c r="DTS30" s="31"/>
      <c r="DTT30" s="31"/>
      <c r="DTU30" s="31"/>
      <c r="DTV30" s="31"/>
      <c r="DTW30" s="31"/>
      <c r="DTX30" s="31"/>
      <c r="DTY30" s="31"/>
      <c r="DTZ30" s="31"/>
      <c r="DUA30" s="31"/>
      <c r="DUB30" s="31"/>
      <c r="DUC30" s="31"/>
      <c r="DUD30" s="31"/>
      <c r="DUE30" s="31"/>
      <c r="DUF30" s="31"/>
      <c r="DUG30" s="31"/>
      <c r="DUH30" s="31"/>
      <c r="DUI30" s="31"/>
      <c r="DUJ30" s="31"/>
      <c r="DUK30" s="31"/>
      <c r="DUL30" s="31"/>
      <c r="DUM30" s="31"/>
      <c r="DUN30" s="31"/>
      <c r="DUO30" s="31"/>
      <c r="DUP30" s="31"/>
      <c r="DUQ30" s="31"/>
      <c r="DUR30" s="31"/>
      <c r="DUS30" s="31"/>
      <c r="DUT30" s="31"/>
      <c r="DUU30" s="31"/>
      <c r="DUV30" s="31"/>
      <c r="DUW30" s="31"/>
      <c r="DUX30" s="31"/>
      <c r="DUY30" s="31"/>
      <c r="DUZ30" s="31"/>
      <c r="DVA30" s="31"/>
      <c r="DVB30" s="31"/>
      <c r="DVC30" s="31"/>
      <c r="DVD30" s="31"/>
      <c r="DVE30" s="31"/>
      <c r="DVF30" s="31"/>
      <c r="DVG30" s="31"/>
      <c r="DVH30" s="31"/>
      <c r="DVI30" s="31"/>
      <c r="DVJ30" s="31"/>
      <c r="DVK30" s="31"/>
      <c r="DVL30" s="31"/>
      <c r="DVM30" s="31"/>
      <c r="DVN30" s="31"/>
      <c r="DVO30" s="31"/>
      <c r="DVP30" s="31"/>
      <c r="DVQ30" s="31"/>
      <c r="DVR30" s="31"/>
      <c r="DVS30" s="31"/>
      <c r="DVT30" s="31"/>
      <c r="DVU30" s="31"/>
      <c r="DVV30" s="31"/>
      <c r="DVW30" s="31"/>
      <c r="DVX30" s="31"/>
      <c r="DVY30" s="31"/>
      <c r="DVZ30" s="31"/>
      <c r="DWA30" s="31"/>
      <c r="DWB30" s="31"/>
      <c r="DWC30" s="31"/>
      <c r="DWD30" s="31"/>
      <c r="DWE30" s="31"/>
      <c r="DWF30" s="31"/>
      <c r="DWG30" s="31"/>
      <c r="DWH30" s="31"/>
      <c r="DWI30" s="31"/>
      <c r="DWJ30" s="31"/>
      <c r="DWK30" s="31"/>
      <c r="DWL30" s="31"/>
      <c r="DWM30" s="31"/>
      <c r="DWN30" s="31"/>
      <c r="DWO30" s="31"/>
      <c r="DWP30" s="31"/>
      <c r="DWQ30" s="31"/>
      <c r="DWR30" s="31"/>
      <c r="DWS30" s="31"/>
      <c r="DWT30" s="31"/>
      <c r="DWU30" s="31"/>
      <c r="DWV30" s="31"/>
      <c r="DWW30" s="31"/>
      <c r="DWX30" s="31"/>
      <c r="DWY30" s="31"/>
      <c r="DWZ30" s="31"/>
      <c r="DXA30" s="31"/>
      <c r="DXB30" s="31"/>
      <c r="DXC30" s="31"/>
      <c r="DXD30" s="31"/>
      <c r="DXE30" s="31"/>
      <c r="DXF30" s="31"/>
      <c r="DXG30" s="31"/>
      <c r="DXH30" s="31"/>
      <c r="DXI30" s="31"/>
      <c r="DXJ30" s="31"/>
      <c r="DXK30" s="31"/>
      <c r="DXL30" s="31"/>
      <c r="DXM30" s="31"/>
      <c r="DXN30" s="31"/>
      <c r="DXO30" s="31"/>
      <c r="DXP30" s="31"/>
      <c r="DXQ30" s="31"/>
      <c r="DXR30" s="31"/>
      <c r="DXS30" s="31"/>
      <c r="DXT30" s="31"/>
      <c r="DXU30" s="31"/>
      <c r="DXV30" s="31"/>
      <c r="DXW30" s="31"/>
      <c r="DXX30" s="31"/>
      <c r="DXY30" s="31"/>
      <c r="DXZ30" s="31"/>
      <c r="DYA30" s="31"/>
      <c r="DYB30" s="31"/>
      <c r="DYC30" s="31"/>
      <c r="DYD30" s="31"/>
      <c r="DYE30" s="31"/>
      <c r="DYF30" s="31"/>
      <c r="DYG30" s="31"/>
      <c r="DYH30" s="31"/>
      <c r="DYI30" s="31"/>
      <c r="DYJ30" s="31"/>
      <c r="DYK30" s="31"/>
      <c r="DYL30" s="31"/>
      <c r="DYM30" s="31"/>
      <c r="DYN30" s="31"/>
      <c r="DYO30" s="31"/>
      <c r="DYP30" s="31"/>
      <c r="DYQ30" s="31"/>
      <c r="DYR30" s="31"/>
      <c r="DYS30" s="31"/>
      <c r="DYT30" s="31"/>
      <c r="DYU30" s="31"/>
      <c r="DYV30" s="31"/>
      <c r="DYW30" s="31"/>
      <c r="DYX30" s="31"/>
      <c r="DYY30" s="31"/>
      <c r="DYZ30" s="31"/>
      <c r="DZA30" s="31"/>
      <c r="DZB30" s="31"/>
      <c r="DZC30" s="31"/>
      <c r="DZD30" s="31"/>
      <c r="DZE30" s="31"/>
      <c r="DZF30" s="31"/>
      <c r="DZG30" s="31"/>
      <c r="DZH30" s="31"/>
      <c r="DZI30" s="31"/>
      <c r="DZJ30" s="31"/>
      <c r="DZK30" s="31"/>
      <c r="DZL30" s="31"/>
      <c r="DZM30" s="31"/>
      <c r="DZN30" s="31"/>
      <c r="DZO30" s="31"/>
      <c r="DZP30" s="31"/>
      <c r="DZQ30" s="31"/>
      <c r="DZR30" s="31"/>
      <c r="DZS30" s="31"/>
      <c r="DZT30" s="31"/>
      <c r="DZU30" s="31"/>
      <c r="DZV30" s="31"/>
      <c r="DZW30" s="31"/>
      <c r="DZX30" s="31"/>
      <c r="DZY30" s="31"/>
      <c r="DZZ30" s="31"/>
      <c r="EAA30" s="31"/>
      <c r="EAB30" s="31"/>
      <c r="EAC30" s="31"/>
      <c r="EAD30" s="31"/>
      <c r="EAE30" s="31"/>
      <c r="EAF30" s="31"/>
      <c r="EAG30" s="31"/>
      <c r="EAH30" s="31"/>
      <c r="EAI30" s="31"/>
      <c r="EAJ30" s="31"/>
      <c r="EAK30" s="31"/>
      <c r="EAL30" s="31"/>
      <c r="EAM30" s="31"/>
      <c r="EAN30" s="31"/>
      <c r="EAO30" s="31"/>
      <c r="EAP30" s="31"/>
      <c r="EAQ30" s="31"/>
      <c r="EAR30" s="31"/>
      <c r="EAS30" s="31"/>
      <c r="EAT30" s="31"/>
      <c r="EAU30" s="31"/>
      <c r="EAV30" s="31"/>
      <c r="EAW30" s="31"/>
      <c r="EAX30" s="31"/>
      <c r="EAY30" s="31"/>
      <c r="EAZ30" s="31"/>
      <c r="EBA30" s="31"/>
      <c r="EBB30" s="31"/>
      <c r="EBC30" s="31"/>
      <c r="EBD30" s="31"/>
      <c r="EBE30" s="31"/>
      <c r="EBF30" s="31"/>
      <c r="EBG30" s="31"/>
      <c r="EBH30" s="31"/>
      <c r="EBI30" s="31"/>
      <c r="EBJ30" s="31"/>
      <c r="EBK30" s="31"/>
      <c r="EBL30" s="31"/>
      <c r="EBM30" s="31"/>
      <c r="EBN30" s="31"/>
      <c r="EBO30" s="31"/>
      <c r="EBP30" s="31"/>
      <c r="EBQ30" s="31"/>
      <c r="EBR30" s="31"/>
      <c r="EBS30" s="31"/>
      <c r="EBT30" s="31"/>
      <c r="EBU30" s="31"/>
      <c r="EBV30" s="31"/>
      <c r="EBW30" s="31"/>
      <c r="EBX30" s="31"/>
      <c r="EBY30" s="31"/>
      <c r="EBZ30" s="31"/>
      <c r="ECA30" s="31"/>
      <c r="ECB30" s="31"/>
      <c r="ECC30" s="31"/>
      <c r="ECD30" s="31"/>
      <c r="ECE30" s="31"/>
      <c r="ECF30" s="31"/>
      <c r="ECG30" s="31"/>
      <c r="ECH30" s="31"/>
      <c r="ECI30" s="31"/>
      <c r="ECJ30" s="31"/>
      <c r="ECK30" s="31"/>
      <c r="ECL30" s="31"/>
      <c r="ECM30" s="31"/>
      <c r="ECN30" s="31"/>
      <c r="ECO30" s="31"/>
      <c r="ECP30" s="31"/>
      <c r="ECQ30" s="31"/>
      <c r="ECR30" s="31"/>
      <c r="ECS30" s="31"/>
      <c r="ECT30" s="31"/>
      <c r="ECU30" s="31"/>
      <c r="ECV30" s="31"/>
      <c r="ECW30" s="31"/>
      <c r="ECX30" s="31"/>
      <c r="ECY30" s="31"/>
      <c r="ECZ30" s="31"/>
      <c r="EDA30" s="31"/>
      <c r="EDB30" s="31"/>
      <c r="EDC30" s="31"/>
      <c r="EDD30" s="31"/>
      <c r="EDE30" s="31"/>
      <c r="EDF30" s="31"/>
      <c r="EDG30" s="31"/>
      <c r="EDH30" s="31"/>
      <c r="EDI30" s="31"/>
      <c r="EDJ30" s="31"/>
      <c r="EDK30" s="31"/>
      <c r="EDL30" s="31"/>
      <c r="EDM30" s="31"/>
      <c r="EDN30" s="31"/>
      <c r="EDO30" s="31"/>
      <c r="EDP30" s="31"/>
      <c r="EDQ30" s="31"/>
      <c r="EDR30" s="31"/>
      <c r="EDS30" s="31"/>
      <c r="EDT30" s="31"/>
      <c r="EDU30" s="31"/>
      <c r="EDV30" s="31"/>
      <c r="EDW30" s="31"/>
      <c r="EDX30" s="31"/>
      <c r="EDY30" s="31"/>
      <c r="EDZ30" s="31"/>
      <c r="EEA30" s="31"/>
      <c r="EEB30" s="31"/>
      <c r="EEC30" s="31"/>
      <c r="EED30" s="31"/>
      <c r="EEE30" s="31"/>
      <c r="EEF30" s="31"/>
      <c r="EEG30" s="31"/>
      <c r="EEH30" s="31"/>
      <c r="EEI30" s="31"/>
      <c r="EEJ30" s="31"/>
      <c r="EEK30" s="31"/>
      <c r="EEL30" s="31"/>
      <c r="EEM30" s="31"/>
      <c r="EEN30" s="31"/>
      <c r="EEO30" s="31"/>
      <c r="EEP30" s="31"/>
      <c r="EEQ30" s="31"/>
      <c r="EER30" s="31"/>
      <c r="EES30" s="31"/>
      <c r="EET30" s="31"/>
      <c r="EEU30" s="31"/>
      <c r="EEV30" s="31"/>
      <c r="EEW30" s="31"/>
      <c r="EEX30" s="31"/>
      <c r="EEY30" s="31"/>
      <c r="EEZ30" s="31"/>
      <c r="EFA30" s="31"/>
      <c r="EFB30" s="31"/>
      <c r="EFC30" s="31"/>
      <c r="EFD30" s="31"/>
      <c r="EFE30" s="31"/>
      <c r="EFF30" s="31"/>
      <c r="EFG30" s="31"/>
      <c r="EFH30" s="31"/>
      <c r="EFI30" s="31"/>
      <c r="EFJ30" s="31"/>
      <c r="EFK30" s="31"/>
      <c r="EFL30" s="31"/>
      <c r="EFM30" s="31"/>
      <c r="EFN30" s="31"/>
      <c r="EFO30" s="31"/>
      <c r="EFP30" s="31"/>
      <c r="EFQ30" s="31"/>
      <c r="EFR30" s="31"/>
      <c r="EFS30" s="31"/>
      <c r="EFT30" s="31"/>
      <c r="EFU30" s="31"/>
      <c r="EFV30" s="31"/>
      <c r="EFW30" s="31"/>
      <c r="EFX30" s="31"/>
      <c r="EFY30" s="31"/>
      <c r="EFZ30" s="31"/>
      <c r="EGA30" s="31"/>
      <c r="EGB30" s="31"/>
      <c r="EGC30" s="31"/>
      <c r="EGD30" s="31"/>
      <c r="EGE30" s="31"/>
      <c r="EGF30" s="31"/>
      <c r="EGG30" s="31"/>
      <c r="EGH30" s="31"/>
      <c r="EGI30" s="31"/>
      <c r="EGJ30" s="31"/>
      <c r="EGK30" s="31"/>
      <c r="EGL30" s="31"/>
      <c r="EGM30" s="31"/>
      <c r="EGN30" s="31"/>
      <c r="EGO30" s="31"/>
      <c r="EGP30" s="31"/>
      <c r="EGQ30" s="31"/>
      <c r="EGR30" s="31"/>
      <c r="EGS30" s="31"/>
      <c r="EGT30" s="31"/>
      <c r="EGU30" s="31"/>
      <c r="EGV30" s="31"/>
      <c r="EGW30" s="31"/>
      <c r="EGX30" s="31"/>
      <c r="EGY30" s="31"/>
      <c r="EGZ30" s="31"/>
      <c r="EHA30" s="31"/>
      <c r="EHB30" s="31"/>
      <c r="EHC30" s="31"/>
      <c r="EHD30" s="31"/>
      <c r="EHE30" s="31"/>
      <c r="EHF30" s="31"/>
      <c r="EHG30" s="31"/>
      <c r="EHH30" s="31"/>
      <c r="EHI30" s="31"/>
      <c r="EHJ30" s="31"/>
      <c r="EHK30" s="31"/>
      <c r="EHL30" s="31"/>
      <c r="EHM30" s="31"/>
      <c r="EHN30" s="31"/>
      <c r="EHO30" s="31"/>
      <c r="EHP30" s="31"/>
      <c r="EHQ30" s="31"/>
      <c r="EHR30" s="31"/>
      <c r="EHS30" s="31"/>
      <c r="EHT30" s="31"/>
      <c r="EHU30" s="31"/>
      <c r="EHV30" s="31"/>
      <c r="EHW30" s="31"/>
      <c r="EHX30" s="31"/>
      <c r="EHY30" s="31"/>
      <c r="EHZ30" s="31"/>
      <c r="EIA30" s="31"/>
      <c r="EIB30" s="31"/>
      <c r="EIC30" s="31"/>
      <c r="EID30" s="31"/>
      <c r="EIE30" s="31"/>
      <c r="EIF30" s="31"/>
      <c r="EIG30" s="31"/>
      <c r="EIH30" s="31"/>
      <c r="EII30" s="31"/>
      <c r="EIJ30" s="31"/>
      <c r="EIK30" s="31"/>
      <c r="EIL30" s="31"/>
      <c r="EIM30" s="31"/>
      <c r="EIN30" s="31"/>
      <c r="EIO30" s="31"/>
      <c r="EIP30" s="31"/>
      <c r="EIQ30" s="31"/>
      <c r="EIR30" s="31"/>
      <c r="EIS30" s="31"/>
      <c r="EIT30" s="31"/>
      <c r="EIU30" s="31"/>
      <c r="EIV30" s="31"/>
      <c r="EIW30" s="31"/>
      <c r="EIX30" s="31"/>
      <c r="EIY30" s="31"/>
      <c r="EIZ30" s="31"/>
      <c r="EJA30" s="31"/>
      <c r="EJB30" s="31"/>
      <c r="EJC30" s="31"/>
      <c r="EJD30" s="31"/>
      <c r="EJE30" s="31"/>
      <c r="EJF30" s="31"/>
      <c r="EJG30" s="31"/>
      <c r="EJH30" s="31"/>
      <c r="EJI30" s="31"/>
      <c r="EJJ30" s="31"/>
      <c r="EJK30" s="31"/>
      <c r="EJL30" s="31"/>
      <c r="EJM30" s="31"/>
      <c r="EJN30" s="31"/>
      <c r="EJO30" s="31"/>
      <c r="EJP30" s="31"/>
      <c r="EJQ30" s="31"/>
      <c r="EJR30" s="31"/>
      <c r="EJS30" s="31"/>
      <c r="EJT30" s="31"/>
      <c r="EJU30" s="31"/>
      <c r="EJV30" s="31"/>
      <c r="EJW30" s="31"/>
      <c r="EJX30" s="31"/>
      <c r="EJY30" s="31"/>
      <c r="EJZ30" s="31"/>
      <c r="EKA30" s="31"/>
      <c r="EKB30" s="31"/>
      <c r="EKC30" s="31"/>
      <c r="EKD30" s="31"/>
      <c r="EKE30" s="31"/>
      <c r="EKF30" s="31"/>
      <c r="EKG30" s="31"/>
      <c r="EKH30" s="31"/>
      <c r="EKI30" s="31"/>
      <c r="EKJ30" s="31"/>
      <c r="EKK30" s="31"/>
      <c r="EKL30" s="31"/>
      <c r="EKM30" s="31"/>
      <c r="EKN30" s="31"/>
      <c r="EKO30" s="31"/>
      <c r="EKP30" s="31"/>
      <c r="EKQ30" s="31"/>
      <c r="EKR30" s="31"/>
      <c r="EKS30" s="31"/>
      <c r="EKT30" s="31"/>
      <c r="EKU30" s="31"/>
      <c r="EKV30" s="31"/>
      <c r="EKW30" s="31"/>
      <c r="EKX30" s="31"/>
      <c r="EKY30" s="31"/>
      <c r="EKZ30" s="31"/>
      <c r="ELA30" s="31"/>
      <c r="ELB30" s="31"/>
      <c r="ELC30" s="31"/>
      <c r="ELD30" s="31"/>
      <c r="ELE30" s="31"/>
      <c r="ELF30" s="31"/>
      <c r="ELG30" s="31"/>
      <c r="ELH30" s="31"/>
      <c r="ELI30" s="31"/>
      <c r="ELJ30" s="31"/>
      <c r="ELK30" s="31"/>
      <c r="ELL30" s="31"/>
      <c r="ELM30" s="31"/>
      <c r="ELN30" s="31"/>
      <c r="ELO30" s="31"/>
      <c r="ELP30" s="31"/>
      <c r="ELQ30" s="31"/>
      <c r="ELR30" s="31"/>
      <c r="ELS30" s="31"/>
      <c r="ELT30" s="31"/>
      <c r="ELU30" s="31"/>
      <c r="ELV30" s="31"/>
      <c r="ELW30" s="31"/>
      <c r="ELX30" s="31"/>
      <c r="ELY30" s="31"/>
      <c r="ELZ30" s="31"/>
      <c r="EMA30" s="31"/>
      <c r="EMB30" s="31"/>
      <c r="EMC30" s="31"/>
      <c r="EMD30" s="31"/>
      <c r="EME30" s="31"/>
      <c r="EMF30" s="31"/>
      <c r="EMG30" s="31"/>
      <c r="EMH30" s="31"/>
      <c r="EMI30" s="31"/>
      <c r="EMJ30" s="31"/>
      <c r="EMK30" s="31"/>
      <c r="EML30" s="31"/>
      <c r="EMM30" s="31"/>
      <c r="EMN30" s="31"/>
      <c r="EMO30" s="31"/>
      <c r="EMP30" s="31"/>
      <c r="EMQ30" s="31"/>
      <c r="EMR30" s="31"/>
      <c r="EMS30" s="31"/>
      <c r="EMT30" s="31"/>
      <c r="EMU30" s="31"/>
      <c r="EMV30" s="31"/>
      <c r="EMW30" s="31"/>
      <c r="EMX30" s="31"/>
      <c r="EMY30" s="31"/>
      <c r="EMZ30" s="31"/>
      <c r="ENA30" s="31"/>
      <c r="ENB30" s="31"/>
      <c r="ENC30" s="31"/>
      <c r="END30" s="31"/>
      <c r="ENE30" s="31"/>
      <c r="ENF30" s="31"/>
      <c r="ENG30" s="31"/>
      <c r="ENH30" s="31"/>
      <c r="ENI30" s="31"/>
      <c r="ENJ30" s="31"/>
      <c r="ENK30" s="31"/>
      <c r="ENL30" s="31"/>
      <c r="ENM30" s="31"/>
      <c r="ENN30" s="31"/>
      <c r="ENO30" s="31"/>
      <c r="ENP30" s="31"/>
      <c r="ENQ30" s="31"/>
      <c r="ENR30" s="31"/>
      <c r="ENS30" s="31"/>
      <c r="ENT30" s="31"/>
      <c r="ENU30" s="31"/>
      <c r="ENV30" s="31"/>
      <c r="ENW30" s="31"/>
      <c r="ENX30" s="31"/>
      <c r="ENY30" s="31"/>
      <c r="ENZ30" s="31"/>
      <c r="EOA30" s="31"/>
      <c r="EOB30" s="31"/>
      <c r="EOC30" s="31"/>
      <c r="EOD30" s="31"/>
      <c r="EOE30" s="31"/>
      <c r="EOF30" s="31"/>
      <c r="EOG30" s="31"/>
      <c r="EOH30" s="31"/>
      <c r="EOI30" s="31"/>
      <c r="EOJ30" s="31"/>
      <c r="EOK30" s="31"/>
      <c r="EOL30" s="31"/>
      <c r="EOM30" s="31"/>
      <c r="EON30" s="31"/>
      <c r="EOO30" s="31"/>
      <c r="EOP30" s="31"/>
      <c r="EOQ30" s="31"/>
      <c r="EOR30" s="31"/>
      <c r="EOS30" s="31"/>
      <c r="EOT30" s="31"/>
      <c r="EOU30" s="31"/>
      <c r="EOV30" s="31"/>
      <c r="EOW30" s="31"/>
      <c r="EOX30" s="31"/>
      <c r="EOY30" s="31"/>
      <c r="EOZ30" s="31"/>
      <c r="EPA30" s="31"/>
      <c r="EPB30" s="31"/>
      <c r="EPC30" s="31"/>
      <c r="EPD30" s="31"/>
      <c r="EPE30" s="31"/>
      <c r="EPF30" s="31"/>
      <c r="EPG30" s="31"/>
      <c r="EPH30" s="31"/>
      <c r="EPI30" s="31"/>
      <c r="EPJ30" s="31"/>
      <c r="EPK30" s="31"/>
      <c r="EPL30" s="31"/>
      <c r="EPM30" s="31"/>
      <c r="EPN30" s="31"/>
      <c r="EPO30" s="31"/>
      <c r="EPP30" s="31"/>
      <c r="EPQ30" s="31"/>
      <c r="EPR30" s="31"/>
      <c r="EPS30" s="31"/>
      <c r="EPT30" s="31"/>
      <c r="EPU30" s="31"/>
      <c r="EPV30" s="31"/>
      <c r="EPW30" s="31"/>
      <c r="EPX30" s="31"/>
      <c r="EPY30" s="31"/>
      <c r="EPZ30" s="31"/>
      <c r="EQA30" s="31"/>
      <c r="EQB30" s="31"/>
      <c r="EQC30" s="31"/>
      <c r="EQD30" s="31"/>
      <c r="EQE30" s="31"/>
      <c r="EQF30" s="31"/>
      <c r="EQG30" s="31"/>
      <c r="EQH30" s="31"/>
      <c r="EQI30" s="31"/>
      <c r="EQJ30" s="31"/>
      <c r="EQK30" s="31"/>
      <c r="EQL30" s="31"/>
      <c r="EQM30" s="31"/>
      <c r="EQN30" s="31"/>
      <c r="EQO30" s="31"/>
      <c r="EQP30" s="31"/>
      <c r="EQQ30" s="31"/>
      <c r="EQR30" s="31"/>
      <c r="EQS30" s="31"/>
      <c r="EQT30" s="31"/>
      <c r="EQU30" s="31"/>
      <c r="EQV30" s="31"/>
      <c r="EQW30" s="31"/>
      <c r="EQX30" s="31"/>
      <c r="EQY30" s="31"/>
      <c r="EQZ30" s="31"/>
      <c r="ERA30" s="31"/>
      <c r="ERB30" s="31"/>
      <c r="ERC30" s="31"/>
      <c r="ERD30" s="31"/>
      <c r="ERE30" s="31"/>
      <c r="ERF30" s="31"/>
      <c r="ERG30" s="31"/>
      <c r="ERH30" s="31"/>
      <c r="ERI30" s="31"/>
      <c r="ERJ30" s="31"/>
      <c r="ERK30" s="31"/>
      <c r="ERL30" s="31"/>
      <c r="ERM30" s="31"/>
      <c r="ERN30" s="31"/>
      <c r="ERO30" s="31"/>
      <c r="ERP30" s="31"/>
      <c r="ERQ30" s="31"/>
      <c r="ERR30" s="31"/>
      <c r="ERS30" s="31"/>
      <c r="ERT30" s="31"/>
      <c r="ERU30" s="31"/>
      <c r="ERV30" s="31"/>
      <c r="ERW30" s="31"/>
      <c r="ERX30" s="31"/>
      <c r="ERY30" s="31"/>
      <c r="ERZ30" s="31"/>
      <c r="ESA30" s="31"/>
      <c r="ESB30" s="31"/>
      <c r="ESC30" s="31"/>
      <c r="ESD30" s="31"/>
      <c r="ESE30" s="31"/>
      <c r="ESF30" s="31"/>
      <c r="ESG30" s="31"/>
      <c r="ESH30" s="31"/>
      <c r="ESI30" s="31"/>
      <c r="ESJ30" s="31"/>
      <c r="ESK30" s="31"/>
      <c r="ESL30" s="31"/>
      <c r="ESM30" s="31"/>
      <c r="ESN30" s="31"/>
      <c r="ESO30" s="31"/>
      <c r="ESP30" s="31"/>
      <c r="ESQ30" s="31"/>
      <c r="ESR30" s="31"/>
      <c r="ESS30" s="31"/>
      <c r="EST30" s="31"/>
      <c r="ESU30" s="31"/>
      <c r="ESV30" s="31"/>
      <c r="ESW30" s="31"/>
      <c r="ESX30" s="31"/>
      <c r="ESY30" s="31"/>
      <c r="ESZ30" s="31"/>
      <c r="ETA30" s="31"/>
      <c r="ETB30" s="31"/>
      <c r="ETC30" s="31"/>
      <c r="ETD30" s="31"/>
      <c r="ETE30" s="31"/>
      <c r="ETF30" s="31"/>
      <c r="ETG30" s="31"/>
      <c r="ETH30" s="31"/>
      <c r="ETI30" s="31"/>
      <c r="ETJ30" s="31"/>
      <c r="ETK30" s="31"/>
      <c r="ETL30" s="31"/>
      <c r="ETM30" s="31"/>
      <c r="ETN30" s="31"/>
      <c r="ETO30" s="31"/>
      <c r="ETP30" s="31"/>
      <c r="ETQ30" s="31"/>
      <c r="ETR30" s="31"/>
      <c r="ETS30" s="31"/>
      <c r="ETT30" s="31"/>
      <c r="ETU30" s="31"/>
      <c r="ETV30" s="31"/>
      <c r="ETW30" s="31"/>
      <c r="ETX30" s="31"/>
      <c r="ETY30" s="31"/>
      <c r="ETZ30" s="31"/>
      <c r="EUA30" s="31"/>
      <c r="EUB30" s="31"/>
      <c r="EUC30" s="31"/>
      <c r="EUD30" s="31"/>
      <c r="EUE30" s="31"/>
      <c r="EUF30" s="31"/>
      <c r="EUG30" s="31"/>
      <c r="EUH30" s="31"/>
      <c r="EUI30" s="31"/>
      <c r="EUJ30" s="31"/>
      <c r="EUK30" s="31"/>
      <c r="EUL30" s="31"/>
      <c r="EUM30" s="31"/>
      <c r="EUN30" s="31"/>
      <c r="EUO30" s="31"/>
      <c r="EUP30" s="31"/>
      <c r="EUQ30" s="31"/>
      <c r="EUR30" s="31"/>
      <c r="EUS30" s="31"/>
      <c r="EUT30" s="31"/>
      <c r="EUU30" s="31"/>
      <c r="EUV30" s="31"/>
      <c r="EUW30" s="31"/>
      <c r="EUX30" s="31"/>
      <c r="EUY30" s="31"/>
      <c r="EUZ30" s="31"/>
      <c r="EVA30" s="31"/>
      <c r="EVB30" s="31"/>
      <c r="EVC30" s="31"/>
      <c r="EVD30" s="31"/>
      <c r="EVE30" s="31"/>
      <c r="EVF30" s="31"/>
      <c r="EVG30" s="31"/>
      <c r="EVH30" s="31"/>
      <c r="EVI30" s="31"/>
      <c r="EVJ30" s="31"/>
      <c r="EVK30" s="31"/>
      <c r="EVL30" s="31"/>
      <c r="EVM30" s="31"/>
      <c r="EVN30" s="31"/>
      <c r="EVO30" s="31"/>
      <c r="EVP30" s="31"/>
      <c r="EVQ30" s="31"/>
      <c r="EVR30" s="31"/>
      <c r="EVS30" s="31"/>
      <c r="EVT30" s="31"/>
      <c r="EVU30" s="31"/>
      <c r="EVV30" s="31"/>
      <c r="EVW30" s="31"/>
      <c r="EVX30" s="31"/>
      <c r="EVY30" s="31"/>
      <c r="EVZ30" s="31"/>
      <c r="EWA30" s="31"/>
      <c r="EWB30" s="31"/>
      <c r="EWC30" s="31"/>
      <c r="EWD30" s="31"/>
      <c r="EWE30" s="31"/>
      <c r="EWF30" s="31"/>
      <c r="EWG30" s="31"/>
      <c r="EWH30" s="31"/>
      <c r="EWI30" s="31"/>
      <c r="EWJ30" s="31"/>
      <c r="EWK30" s="31"/>
      <c r="EWL30" s="31"/>
      <c r="EWM30" s="31"/>
      <c r="EWN30" s="31"/>
      <c r="EWO30" s="31"/>
      <c r="EWP30" s="31"/>
      <c r="EWQ30" s="31"/>
      <c r="EWR30" s="31"/>
      <c r="EWS30" s="31"/>
      <c r="EWT30" s="31"/>
      <c r="EWU30" s="31"/>
      <c r="EWV30" s="31"/>
      <c r="EWW30" s="31"/>
      <c r="EWX30" s="31"/>
      <c r="EWY30" s="31"/>
      <c r="EWZ30" s="31"/>
      <c r="EXA30" s="31"/>
      <c r="EXB30" s="31"/>
      <c r="EXC30" s="31"/>
      <c r="EXD30" s="31"/>
      <c r="EXE30" s="31"/>
      <c r="EXF30" s="31"/>
      <c r="EXG30" s="31"/>
      <c r="EXH30" s="31"/>
      <c r="EXI30" s="31"/>
      <c r="EXJ30" s="31"/>
      <c r="EXK30" s="31"/>
      <c r="EXL30" s="31"/>
      <c r="EXM30" s="31"/>
      <c r="EXN30" s="31"/>
      <c r="EXO30" s="31"/>
      <c r="EXP30" s="31"/>
      <c r="EXQ30" s="31"/>
      <c r="EXR30" s="31"/>
      <c r="EXS30" s="31"/>
      <c r="EXT30" s="31"/>
      <c r="EXU30" s="31"/>
      <c r="EXV30" s="31"/>
      <c r="EXW30" s="31"/>
      <c r="EXX30" s="31"/>
      <c r="EXY30" s="31"/>
      <c r="EXZ30" s="31"/>
      <c r="EYA30" s="31"/>
      <c r="EYB30" s="31"/>
      <c r="EYC30" s="31"/>
      <c r="EYD30" s="31"/>
      <c r="EYE30" s="31"/>
      <c r="EYF30" s="31"/>
      <c r="EYG30" s="31"/>
      <c r="EYH30" s="31"/>
      <c r="EYI30" s="31"/>
      <c r="EYJ30" s="31"/>
      <c r="EYK30" s="31"/>
      <c r="EYL30" s="31"/>
      <c r="EYM30" s="31"/>
      <c r="EYN30" s="31"/>
      <c r="EYO30" s="31"/>
      <c r="EYP30" s="31"/>
      <c r="EYQ30" s="31"/>
      <c r="EYR30" s="31"/>
      <c r="EYS30" s="31"/>
      <c r="EYT30" s="31"/>
      <c r="EYU30" s="31"/>
      <c r="EYV30" s="31"/>
      <c r="EYW30" s="31"/>
      <c r="EYX30" s="31"/>
      <c r="EYY30" s="31"/>
      <c r="EYZ30" s="31"/>
      <c r="EZA30" s="31"/>
      <c r="EZB30" s="31"/>
      <c r="EZC30" s="31"/>
      <c r="EZD30" s="31"/>
      <c r="EZE30" s="31"/>
      <c r="EZF30" s="31"/>
      <c r="EZG30" s="31"/>
      <c r="EZH30" s="31"/>
      <c r="EZI30" s="31"/>
      <c r="EZJ30" s="31"/>
      <c r="EZK30" s="31"/>
      <c r="EZL30" s="31"/>
      <c r="EZM30" s="31"/>
      <c r="EZN30" s="31"/>
      <c r="EZO30" s="31"/>
      <c r="EZP30" s="31"/>
      <c r="EZQ30" s="31"/>
      <c r="EZR30" s="31"/>
      <c r="EZS30" s="31"/>
      <c r="EZT30" s="31"/>
      <c r="EZU30" s="31"/>
      <c r="EZV30" s="31"/>
      <c r="EZW30" s="31"/>
      <c r="EZX30" s="31"/>
      <c r="EZY30" s="31"/>
      <c r="EZZ30" s="31"/>
      <c r="FAA30" s="31"/>
      <c r="FAB30" s="31"/>
      <c r="FAC30" s="31"/>
      <c r="FAD30" s="31"/>
      <c r="FAE30" s="31"/>
      <c r="FAF30" s="31"/>
      <c r="FAG30" s="31"/>
      <c r="FAH30" s="31"/>
      <c r="FAI30" s="31"/>
      <c r="FAJ30" s="31"/>
      <c r="FAK30" s="31"/>
      <c r="FAL30" s="31"/>
      <c r="FAM30" s="31"/>
      <c r="FAN30" s="31"/>
      <c r="FAO30" s="31"/>
      <c r="FAP30" s="31"/>
      <c r="FAQ30" s="31"/>
      <c r="FAR30" s="31"/>
      <c r="FAS30" s="31"/>
      <c r="FAT30" s="31"/>
      <c r="FAU30" s="31"/>
      <c r="FAV30" s="31"/>
      <c r="FAW30" s="31"/>
      <c r="FAX30" s="31"/>
      <c r="FAY30" s="31"/>
      <c r="FAZ30" s="31"/>
      <c r="FBA30" s="31"/>
      <c r="FBB30" s="31"/>
      <c r="FBC30" s="31"/>
      <c r="FBD30" s="31"/>
      <c r="FBE30" s="31"/>
      <c r="FBF30" s="31"/>
      <c r="FBG30" s="31"/>
      <c r="FBH30" s="31"/>
      <c r="FBI30" s="31"/>
      <c r="FBJ30" s="31"/>
      <c r="FBK30" s="31"/>
      <c r="FBL30" s="31"/>
      <c r="FBM30" s="31"/>
      <c r="FBN30" s="31"/>
      <c r="FBO30" s="31"/>
      <c r="FBP30" s="31"/>
      <c r="FBQ30" s="31"/>
      <c r="FBR30" s="31"/>
      <c r="FBS30" s="31"/>
      <c r="FBT30" s="31"/>
      <c r="FBU30" s="31"/>
      <c r="FBV30" s="31"/>
      <c r="FBW30" s="31"/>
      <c r="FBX30" s="31"/>
      <c r="FBY30" s="31"/>
      <c r="FBZ30" s="31"/>
      <c r="FCA30" s="31"/>
      <c r="FCB30" s="31"/>
      <c r="FCC30" s="31"/>
      <c r="FCD30" s="31"/>
      <c r="FCE30" s="31"/>
      <c r="FCF30" s="31"/>
      <c r="FCG30" s="31"/>
      <c r="FCH30" s="31"/>
      <c r="FCI30" s="31"/>
      <c r="FCJ30" s="31"/>
      <c r="FCK30" s="31"/>
      <c r="FCL30" s="31"/>
      <c r="FCM30" s="31"/>
      <c r="FCN30" s="31"/>
      <c r="FCO30" s="31"/>
      <c r="FCP30" s="31"/>
      <c r="FCQ30" s="31"/>
      <c r="FCR30" s="31"/>
      <c r="FCS30" s="31"/>
      <c r="FCT30" s="31"/>
      <c r="FCU30" s="31"/>
      <c r="FCV30" s="31"/>
      <c r="FCW30" s="31"/>
      <c r="FCX30" s="31"/>
      <c r="FCY30" s="31"/>
      <c r="FCZ30" s="31"/>
      <c r="FDA30" s="31"/>
      <c r="FDB30" s="31"/>
      <c r="FDC30" s="31"/>
      <c r="FDD30" s="31"/>
      <c r="FDE30" s="31"/>
      <c r="FDF30" s="31"/>
      <c r="FDG30" s="31"/>
      <c r="FDH30" s="31"/>
      <c r="FDI30" s="31"/>
      <c r="FDJ30" s="31"/>
      <c r="FDK30" s="31"/>
      <c r="FDL30" s="31"/>
      <c r="FDM30" s="31"/>
      <c r="FDN30" s="31"/>
      <c r="FDO30" s="31"/>
      <c r="FDP30" s="31"/>
      <c r="FDQ30" s="31"/>
      <c r="FDR30" s="31"/>
      <c r="FDS30" s="31"/>
      <c r="FDT30" s="31"/>
      <c r="FDU30" s="31"/>
      <c r="FDV30" s="31"/>
      <c r="FDW30" s="31"/>
      <c r="FDX30" s="31"/>
      <c r="FDY30" s="31"/>
      <c r="FDZ30" s="31"/>
      <c r="FEA30" s="31"/>
      <c r="FEB30" s="31"/>
      <c r="FEC30" s="31"/>
      <c r="FED30" s="31"/>
      <c r="FEE30" s="31"/>
      <c r="FEF30" s="31"/>
      <c r="FEG30" s="31"/>
      <c r="FEH30" s="31"/>
      <c r="FEI30" s="31"/>
      <c r="FEJ30" s="31"/>
      <c r="FEK30" s="31"/>
      <c r="FEL30" s="31"/>
      <c r="FEM30" s="31"/>
      <c r="FEN30" s="31"/>
      <c r="FEO30" s="31"/>
      <c r="FEP30" s="31"/>
      <c r="FEQ30" s="31"/>
      <c r="FER30" s="31"/>
      <c r="FES30" s="31"/>
      <c r="FET30" s="31"/>
      <c r="FEU30" s="31"/>
      <c r="FEV30" s="31"/>
      <c r="FEW30" s="31"/>
      <c r="FEX30" s="31"/>
      <c r="FEY30" s="31"/>
      <c r="FEZ30" s="31"/>
      <c r="FFA30" s="31"/>
      <c r="FFB30" s="31"/>
      <c r="FFC30" s="31"/>
      <c r="FFD30" s="31"/>
      <c r="FFE30" s="31"/>
      <c r="FFF30" s="31"/>
      <c r="FFG30" s="31"/>
      <c r="FFH30" s="31"/>
      <c r="FFI30" s="31"/>
      <c r="FFJ30" s="31"/>
      <c r="FFK30" s="31"/>
      <c r="FFL30" s="31"/>
      <c r="FFM30" s="31"/>
      <c r="FFN30" s="31"/>
      <c r="FFO30" s="31"/>
      <c r="FFP30" s="31"/>
      <c r="FFQ30" s="31"/>
      <c r="FFR30" s="31"/>
      <c r="FFS30" s="31"/>
      <c r="FFT30" s="31"/>
      <c r="FFU30" s="31"/>
      <c r="FFV30" s="31"/>
      <c r="FFW30" s="31"/>
      <c r="FFX30" s="31"/>
      <c r="FFY30" s="31"/>
      <c r="FFZ30" s="31"/>
      <c r="FGA30" s="31"/>
      <c r="FGB30" s="31"/>
      <c r="FGC30" s="31"/>
      <c r="FGD30" s="31"/>
      <c r="FGE30" s="31"/>
      <c r="FGF30" s="31"/>
      <c r="FGG30" s="31"/>
      <c r="FGH30" s="31"/>
      <c r="FGI30" s="31"/>
      <c r="FGJ30" s="31"/>
      <c r="FGK30" s="31"/>
      <c r="FGL30" s="31"/>
      <c r="FGM30" s="31"/>
      <c r="FGN30" s="31"/>
      <c r="FGO30" s="31"/>
      <c r="FGP30" s="31"/>
      <c r="FGQ30" s="31"/>
      <c r="FGR30" s="31"/>
      <c r="FGS30" s="31"/>
      <c r="FGT30" s="31"/>
      <c r="FGU30" s="31"/>
      <c r="FGV30" s="31"/>
      <c r="FGW30" s="31"/>
      <c r="FGX30" s="31"/>
      <c r="FGY30" s="31"/>
      <c r="FGZ30" s="31"/>
      <c r="FHA30" s="31"/>
      <c r="FHB30" s="31"/>
      <c r="FHC30" s="31"/>
      <c r="FHD30" s="31"/>
      <c r="FHE30" s="31"/>
      <c r="FHF30" s="31"/>
      <c r="FHG30" s="31"/>
      <c r="FHH30" s="31"/>
      <c r="FHI30" s="31"/>
      <c r="FHJ30" s="31"/>
      <c r="FHK30" s="31"/>
      <c r="FHL30" s="31"/>
      <c r="FHM30" s="31"/>
      <c r="FHN30" s="31"/>
      <c r="FHO30" s="31"/>
      <c r="FHP30" s="31"/>
      <c r="FHQ30" s="31"/>
      <c r="FHR30" s="31"/>
      <c r="FHS30" s="31"/>
      <c r="FHT30" s="31"/>
      <c r="FHU30" s="31"/>
      <c r="FHV30" s="31"/>
      <c r="FHW30" s="31"/>
      <c r="FHX30" s="31"/>
      <c r="FHY30" s="31"/>
      <c r="FHZ30" s="31"/>
      <c r="FIA30" s="31"/>
      <c r="FIB30" s="31"/>
      <c r="FIC30" s="31"/>
      <c r="FID30" s="31"/>
      <c r="FIE30" s="31"/>
      <c r="FIF30" s="31"/>
      <c r="FIG30" s="31"/>
      <c r="FIH30" s="31"/>
      <c r="FII30" s="31"/>
      <c r="FIJ30" s="31"/>
      <c r="FIK30" s="31"/>
      <c r="FIL30" s="31"/>
      <c r="FIM30" s="31"/>
      <c r="FIN30" s="31"/>
      <c r="FIO30" s="31"/>
      <c r="FIP30" s="31"/>
      <c r="FIQ30" s="31"/>
      <c r="FIR30" s="31"/>
      <c r="FIS30" s="31"/>
      <c r="FIT30" s="31"/>
      <c r="FIU30" s="31"/>
      <c r="FIV30" s="31"/>
      <c r="FIW30" s="31"/>
      <c r="FIX30" s="31"/>
      <c r="FIY30" s="31"/>
      <c r="FIZ30" s="31"/>
      <c r="FJA30" s="31"/>
      <c r="FJB30" s="31"/>
      <c r="FJC30" s="31"/>
      <c r="FJD30" s="31"/>
      <c r="FJE30" s="31"/>
      <c r="FJF30" s="31"/>
      <c r="FJG30" s="31"/>
      <c r="FJH30" s="31"/>
      <c r="FJI30" s="31"/>
      <c r="FJJ30" s="31"/>
      <c r="FJK30" s="31"/>
      <c r="FJL30" s="31"/>
      <c r="FJM30" s="31"/>
      <c r="FJN30" s="31"/>
      <c r="FJO30" s="31"/>
      <c r="FJP30" s="31"/>
      <c r="FJQ30" s="31"/>
      <c r="FJR30" s="31"/>
      <c r="FJS30" s="31"/>
      <c r="FJT30" s="31"/>
      <c r="FJU30" s="31"/>
      <c r="FJV30" s="31"/>
      <c r="FJW30" s="31"/>
      <c r="FJX30" s="31"/>
      <c r="FJY30" s="31"/>
      <c r="FJZ30" s="31"/>
      <c r="FKA30" s="31"/>
      <c r="FKB30" s="31"/>
      <c r="FKC30" s="31"/>
      <c r="FKD30" s="31"/>
      <c r="FKE30" s="31"/>
      <c r="FKF30" s="31"/>
      <c r="FKG30" s="31"/>
      <c r="FKH30" s="31"/>
      <c r="FKI30" s="31"/>
      <c r="FKJ30" s="31"/>
      <c r="FKK30" s="31"/>
      <c r="FKL30" s="31"/>
      <c r="FKM30" s="31"/>
      <c r="FKN30" s="31"/>
      <c r="FKO30" s="31"/>
      <c r="FKP30" s="31"/>
      <c r="FKQ30" s="31"/>
      <c r="FKR30" s="31"/>
      <c r="FKS30" s="31"/>
      <c r="FKT30" s="31"/>
      <c r="FKU30" s="31"/>
      <c r="FKV30" s="31"/>
      <c r="FKW30" s="31"/>
      <c r="FKX30" s="31"/>
      <c r="FKY30" s="31"/>
      <c r="FKZ30" s="31"/>
      <c r="FLA30" s="31"/>
      <c r="FLB30" s="31"/>
      <c r="FLC30" s="31"/>
      <c r="FLD30" s="31"/>
      <c r="FLE30" s="31"/>
      <c r="FLF30" s="31"/>
      <c r="FLG30" s="31"/>
      <c r="FLH30" s="31"/>
      <c r="FLI30" s="31"/>
      <c r="FLJ30" s="31"/>
      <c r="FLK30" s="31"/>
      <c r="FLL30" s="31"/>
      <c r="FLM30" s="31"/>
      <c r="FLN30" s="31"/>
      <c r="FLO30" s="31"/>
      <c r="FLP30" s="31"/>
      <c r="FLQ30" s="31"/>
      <c r="FLR30" s="31"/>
      <c r="FLS30" s="31"/>
      <c r="FLT30" s="31"/>
      <c r="FLU30" s="31"/>
      <c r="FLV30" s="31"/>
      <c r="FLW30" s="31"/>
      <c r="FLX30" s="31"/>
      <c r="FLY30" s="31"/>
      <c r="FLZ30" s="31"/>
      <c r="FMA30" s="31"/>
      <c r="FMB30" s="31"/>
      <c r="FMC30" s="31"/>
      <c r="FMD30" s="31"/>
      <c r="FME30" s="31"/>
      <c r="FMF30" s="31"/>
      <c r="FMG30" s="31"/>
      <c r="FMH30" s="31"/>
      <c r="FMI30" s="31"/>
      <c r="FMJ30" s="31"/>
      <c r="FMK30" s="31"/>
      <c r="FML30" s="31"/>
      <c r="FMM30" s="31"/>
      <c r="FMN30" s="31"/>
      <c r="FMO30" s="31"/>
      <c r="FMP30" s="31"/>
      <c r="FMQ30" s="31"/>
      <c r="FMR30" s="31"/>
      <c r="FMS30" s="31"/>
      <c r="FMT30" s="31"/>
      <c r="FMU30" s="31"/>
      <c r="FMV30" s="31"/>
      <c r="FMW30" s="31"/>
      <c r="FMX30" s="31"/>
      <c r="FMY30" s="31"/>
      <c r="FMZ30" s="31"/>
      <c r="FNA30" s="31"/>
      <c r="FNB30" s="31"/>
      <c r="FNC30" s="31"/>
      <c r="FND30" s="31"/>
      <c r="FNE30" s="31"/>
      <c r="FNF30" s="31"/>
      <c r="FNG30" s="31"/>
      <c r="FNH30" s="31"/>
      <c r="FNI30" s="31"/>
      <c r="FNJ30" s="31"/>
      <c r="FNK30" s="31"/>
      <c r="FNL30" s="31"/>
      <c r="FNM30" s="31"/>
      <c r="FNN30" s="31"/>
      <c r="FNO30" s="31"/>
      <c r="FNP30" s="31"/>
      <c r="FNQ30" s="31"/>
      <c r="FNR30" s="31"/>
      <c r="FNS30" s="31"/>
      <c r="FNT30" s="31"/>
      <c r="FNU30" s="31"/>
      <c r="FNV30" s="31"/>
      <c r="FNW30" s="31"/>
      <c r="FNX30" s="31"/>
      <c r="FNY30" s="31"/>
      <c r="FNZ30" s="31"/>
      <c r="FOA30" s="31"/>
      <c r="FOB30" s="31"/>
      <c r="FOC30" s="31"/>
      <c r="FOD30" s="31"/>
      <c r="FOE30" s="31"/>
      <c r="FOF30" s="31"/>
      <c r="FOG30" s="31"/>
      <c r="FOH30" s="31"/>
      <c r="FOI30" s="31"/>
      <c r="FOJ30" s="31"/>
      <c r="FOK30" s="31"/>
      <c r="FOL30" s="31"/>
      <c r="FOM30" s="31"/>
      <c r="FON30" s="31"/>
      <c r="FOO30" s="31"/>
      <c r="FOP30" s="31"/>
      <c r="FOQ30" s="31"/>
      <c r="FOR30" s="31"/>
      <c r="FOS30" s="31"/>
      <c r="FOT30" s="31"/>
      <c r="FOU30" s="31"/>
      <c r="FOV30" s="31"/>
      <c r="FOW30" s="31"/>
      <c r="FOX30" s="31"/>
      <c r="FOY30" s="31"/>
      <c r="FOZ30" s="31"/>
      <c r="FPA30" s="31"/>
      <c r="FPB30" s="31"/>
      <c r="FPC30" s="31"/>
      <c r="FPD30" s="31"/>
      <c r="FPE30" s="31"/>
      <c r="FPF30" s="31"/>
      <c r="FPG30" s="31"/>
      <c r="FPH30" s="31"/>
      <c r="FPI30" s="31"/>
      <c r="FPJ30" s="31"/>
      <c r="FPK30" s="31"/>
      <c r="FPL30" s="31"/>
      <c r="FPM30" s="31"/>
      <c r="FPN30" s="31"/>
      <c r="FPO30" s="31"/>
      <c r="FPP30" s="31"/>
      <c r="FPQ30" s="31"/>
      <c r="FPR30" s="31"/>
      <c r="FPS30" s="31"/>
      <c r="FPT30" s="31"/>
      <c r="FPU30" s="31"/>
      <c r="FPV30" s="31"/>
      <c r="FPW30" s="31"/>
      <c r="FPX30" s="31"/>
      <c r="FPY30" s="31"/>
      <c r="FPZ30" s="31"/>
      <c r="FQA30" s="31"/>
      <c r="FQB30" s="31"/>
      <c r="FQC30" s="31"/>
      <c r="FQD30" s="31"/>
      <c r="FQE30" s="31"/>
      <c r="FQF30" s="31"/>
      <c r="FQG30" s="31"/>
      <c r="FQH30" s="31"/>
      <c r="FQI30" s="31"/>
      <c r="FQJ30" s="31"/>
      <c r="FQK30" s="31"/>
      <c r="FQL30" s="31"/>
      <c r="FQM30" s="31"/>
      <c r="FQN30" s="31"/>
      <c r="FQO30" s="31"/>
      <c r="FQP30" s="31"/>
      <c r="FQQ30" s="31"/>
      <c r="FQR30" s="31"/>
      <c r="FQS30" s="31"/>
      <c r="FQT30" s="31"/>
      <c r="FQU30" s="31"/>
      <c r="FQV30" s="31"/>
      <c r="FQW30" s="31"/>
      <c r="FQX30" s="31"/>
      <c r="FQY30" s="31"/>
      <c r="FQZ30" s="31"/>
      <c r="FRA30" s="31"/>
      <c r="FRB30" s="31"/>
      <c r="FRC30" s="31"/>
      <c r="FRD30" s="31"/>
      <c r="FRE30" s="31"/>
      <c r="FRF30" s="31"/>
      <c r="FRG30" s="31"/>
      <c r="FRH30" s="31"/>
      <c r="FRI30" s="31"/>
      <c r="FRJ30" s="31"/>
      <c r="FRK30" s="31"/>
      <c r="FRL30" s="31"/>
      <c r="FRM30" s="31"/>
      <c r="FRN30" s="31"/>
      <c r="FRO30" s="31"/>
      <c r="FRP30" s="31"/>
      <c r="FRQ30" s="31"/>
      <c r="FRR30" s="31"/>
      <c r="FRS30" s="31"/>
      <c r="FRT30" s="31"/>
      <c r="FRU30" s="31"/>
      <c r="FRV30" s="31"/>
      <c r="FRW30" s="31"/>
      <c r="FRX30" s="31"/>
      <c r="FRY30" s="31"/>
      <c r="FRZ30" s="31"/>
      <c r="FSA30" s="31"/>
      <c r="FSB30" s="31"/>
      <c r="FSC30" s="31"/>
      <c r="FSD30" s="31"/>
      <c r="FSE30" s="31"/>
      <c r="FSF30" s="31"/>
      <c r="FSG30" s="31"/>
      <c r="FSH30" s="31"/>
      <c r="FSI30" s="31"/>
      <c r="FSJ30" s="31"/>
      <c r="FSK30" s="31"/>
      <c r="FSL30" s="31"/>
      <c r="FSM30" s="31"/>
      <c r="FSN30" s="31"/>
      <c r="FSO30" s="31"/>
      <c r="FSP30" s="31"/>
      <c r="FSQ30" s="31"/>
      <c r="FSR30" s="31"/>
      <c r="FSS30" s="31"/>
      <c r="FST30" s="31"/>
      <c r="FSU30" s="31"/>
      <c r="FSV30" s="31"/>
      <c r="FSW30" s="31"/>
      <c r="FSX30" s="31"/>
      <c r="FSY30" s="31"/>
      <c r="FSZ30" s="31"/>
      <c r="FTA30" s="31"/>
      <c r="FTB30" s="31"/>
      <c r="FTC30" s="31"/>
      <c r="FTD30" s="31"/>
      <c r="FTE30" s="31"/>
      <c r="FTF30" s="31"/>
      <c r="FTG30" s="31"/>
      <c r="FTH30" s="31"/>
      <c r="FTI30" s="31"/>
      <c r="FTJ30" s="31"/>
      <c r="FTK30" s="31"/>
      <c r="FTL30" s="31"/>
      <c r="FTM30" s="31"/>
      <c r="FTN30" s="31"/>
      <c r="FTO30" s="31"/>
      <c r="FTP30" s="31"/>
      <c r="FTQ30" s="31"/>
      <c r="FTR30" s="31"/>
      <c r="FTS30" s="31"/>
      <c r="FTT30" s="31"/>
      <c r="FTU30" s="31"/>
      <c r="FTV30" s="31"/>
      <c r="FTW30" s="31"/>
      <c r="FTX30" s="31"/>
      <c r="FTY30" s="31"/>
      <c r="FTZ30" s="31"/>
      <c r="FUA30" s="31"/>
      <c r="FUB30" s="31"/>
      <c r="FUC30" s="31"/>
      <c r="FUD30" s="31"/>
      <c r="FUE30" s="31"/>
      <c r="FUF30" s="31"/>
      <c r="FUG30" s="31"/>
      <c r="FUH30" s="31"/>
      <c r="FUI30" s="31"/>
      <c r="FUJ30" s="31"/>
      <c r="FUK30" s="31"/>
      <c r="FUL30" s="31"/>
      <c r="FUM30" s="31"/>
      <c r="FUN30" s="31"/>
      <c r="FUO30" s="31"/>
      <c r="FUP30" s="31"/>
      <c r="FUQ30" s="31"/>
      <c r="FUR30" s="31"/>
      <c r="FUS30" s="31"/>
      <c r="FUT30" s="31"/>
      <c r="FUU30" s="31"/>
      <c r="FUV30" s="31"/>
      <c r="FUW30" s="31"/>
      <c r="FUX30" s="31"/>
      <c r="FUY30" s="31"/>
      <c r="FUZ30" s="31"/>
      <c r="FVA30" s="31"/>
      <c r="FVB30" s="31"/>
      <c r="FVC30" s="31"/>
      <c r="FVD30" s="31"/>
      <c r="FVE30" s="31"/>
      <c r="FVF30" s="31"/>
      <c r="FVG30" s="31"/>
      <c r="FVH30" s="31"/>
      <c r="FVI30" s="31"/>
      <c r="FVJ30" s="31"/>
      <c r="FVK30" s="31"/>
      <c r="FVL30" s="31"/>
      <c r="FVM30" s="31"/>
      <c r="FVN30" s="31"/>
      <c r="FVO30" s="31"/>
      <c r="FVP30" s="31"/>
      <c r="FVQ30" s="31"/>
      <c r="FVR30" s="31"/>
      <c r="FVS30" s="31"/>
      <c r="FVT30" s="31"/>
      <c r="FVU30" s="31"/>
      <c r="FVV30" s="31"/>
      <c r="FVW30" s="31"/>
      <c r="FVX30" s="31"/>
      <c r="FVY30" s="31"/>
      <c r="FVZ30" s="31"/>
      <c r="FWA30" s="31"/>
      <c r="FWB30" s="31"/>
      <c r="FWC30" s="31"/>
      <c r="FWD30" s="31"/>
      <c r="FWE30" s="31"/>
      <c r="FWF30" s="31"/>
      <c r="FWG30" s="31"/>
      <c r="FWH30" s="31"/>
      <c r="FWI30" s="31"/>
      <c r="FWJ30" s="31"/>
      <c r="FWK30" s="31"/>
      <c r="FWL30" s="31"/>
      <c r="FWM30" s="31"/>
      <c r="FWN30" s="31"/>
      <c r="FWO30" s="31"/>
      <c r="FWP30" s="31"/>
      <c r="FWQ30" s="31"/>
      <c r="FWR30" s="31"/>
      <c r="FWS30" s="31"/>
      <c r="FWT30" s="31"/>
      <c r="FWU30" s="31"/>
      <c r="FWV30" s="31"/>
      <c r="FWW30" s="31"/>
      <c r="FWX30" s="31"/>
      <c r="FWY30" s="31"/>
      <c r="FWZ30" s="31"/>
      <c r="FXA30" s="31"/>
      <c r="FXB30" s="31"/>
      <c r="FXC30" s="31"/>
      <c r="FXD30" s="31"/>
      <c r="FXE30" s="31"/>
      <c r="FXF30" s="31"/>
      <c r="FXG30" s="31"/>
      <c r="FXH30" s="31"/>
      <c r="FXI30" s="31"/>
      <c r="FXJ30" s="31"/>
      <c r="FXK30" s="31"/>
      <c r="FXL30" s="31"/>
      <c r="FXM30" s="31"/>
      <c r="FXN30" s="31"/>
      <c r="FXO30" s="31"/>
      <c r="FXP30" s="31"/>
      <c r="FXQ30" s="31"/>
      <c r="FXR30" s="31"/>
      <c r="FXS30" s="31"/>
      <c r="FXT30" s="31"/>
      <c r="FXU30" s="31"/>
      <c r="FXV30" s="31"/>
      <c r="FXW30" s="31"/>
      <c r="FXX30" s="31"/>
      <c r="FXY30" s="31"/>
      <c r="FXZ30" s="31"/>
      <c r="FYA30" s="31"/>
      <c r="FYB30" s="31"/>
      <c r="FYC30" s="31"/>
      <c r="FYD30" s="31"/>
      <c r="FYE30" s="31"/>
      <c r="FYF30" s="31"/>
      <c r="FYG30" s="31"/>
      <c r="FYH30" s="31"/>
      <c r="FYI30" s="31"/>
      <c r="FYJ30" s="31"/>
      <c r="FYK30" s="31"/>
      <c r="FYL30" s="31"/>
      <c r="FYM30" s="31"/>
      <c r="FYN30" s="31"/>
      <c r="FYO30" s="31"/>
      <c r="FYP30" s="31"/>
      <c r="FYQ30" s="31"/>
      <c r="FYR30" s="31"/>
      <c r="FYS30" s="31"/>
      <c r="FYT30" s="31"/>
      <c r="FYU30" s="31"/>
      <c r="FYV30" s="31"/>
      <c r="FYW30" s="31"/>
      <c r="FYX30" s="31"/>
      <c r="FYY30" s="31"/>
      <c r="FYZ30" s="31"/>
      <c r="FZA30" s="31"/>
      <c r="FZB30" s="31"/>
      <c r="FZC30" s="31"/>
      <c r="FZD30" s="31"/>
      <c r="FZE30" s="31"/>
      <c r="FZF30" s="31"/>
      <c r="FZG30" s="31"/>
      <c r="FZH30" s="31"/>
      <c r="FZI30" s="31"/>
      <c r="FZJ30" s="31"/>
      <c r="FZK30" s="31"/>
      <c r="FZL30" s="31"/>
      <c r="FZM30" s="31"/>
      <c r="FZN30" s="31"/>
      <c r="FZO30" s="31"/>
      <c r="FZP30" s="31"/>
      <c r="FZQ30" s="31"/>
      <c r="FZR30" s="31"/>
      <c r="FZS30" s="31"/>
      <c r="FZT30" s="31"/>
      <c r="FZU30" s="31"/>
      <c r="FZV30" s="31"/>
      <c r="FZW30" s="31"/>
      <c r="FZX30" s="31"/>
      <c r="FZY30" s="31"/>
      <c r="FZZ30" s="31"/>
      <c r="GAA30" s="31"/>
      <c r="GAB30" s="31"/>
      <c r="GAC30" s="31"/>
      <c r="GAD30" s="31"/>
      <c r="GAE30" s="31"/>
      <c r="GAF30" s="31"/>
      <c r="GAG30" s="31"/>
      <c r="GAH30" s="31"/>
      <c r="GAI30" s="31"/>
      <c r="GAJ30" s="31"/>
      <c r="GAK30" s="31"/>
      <c r="GAL30" s="31"/>
      <c r="GAM30" s="31"/>
      <c r="GAN30" s="31"/>
      <c r="GAO30" s="31"/>
      <c r="GAP30" s="31"/>
      <c r="GAQ30" s="31"/>
      <c r="GAR30" s="31"/>
      <c r="GAS30" s="31"/>
      <c r="GAT30" s="31"/>
      <c r="GAU30" s="31"/>
      <c r="GAV30" s="31"/>
      <c r="GAW30" s="31"/>
      <c r="GAX30" s="31"/>
      <c r="GAY30" s="31"/>
      <c r="GAZ30" s="31"/>
      <c r="GBA30" s="31"/>
      <c r="GBB30" s="31"/>
      <c r="GBC30" s="31"/>
      <c r="GBD30" s="31"/>
      <c r="GBE30" s="31"/>
      <c r="GBF30" s="31"/>
      <c r="GBG30" s="31"/>
      <c r="GBH30" s="31"/>
      <c r="GBI30" s="31"/>
      <c r="GBJ30" s="31"/>
      <c r="GBK30" s="31"/>
      <c r="GBL30" s="31"/>
      <c r="GBM30" s="31"/>
      <c r="GBN30" s="31"/>
      <c r="GBO30" s="31"/>
      <c r="GBP30" s="31"/>
      <c r="GBQ30" s="31"/>
      <c r="GBR30" s="31"/>
      <c r="GBS30" s="31"/>
      <c r="GBT30" s="31"/>
      <c r="GBU30" s="31"/>
      <c r="GBV30" s="31"/>
      <c r="GBW30" s="31"/>
      <c r="GBX30" s="31"/>
      <c r="GBY30" s="31"/>
      <c r="GBZ30" s="31"/>
      <c r="GCA30" s="31"/>
      <c r="GCB30" s="31"/>
      <c r="GCC30" s="31"/>
      <c r="GCD30" s="31"/>
      <c r="GCE30" s="31"/>
      <c r="GCF30" s="31"/>
      <c r="GCG30" s="31"/>
      <c r="GCH30" s="31"/>
      <c r="GCI30" s="31"/>
      <c r="GCJ30" s="31"/>
      <c r="GCK30" s="31"/>
      <c r="GCL30" s="31"/>
      <c r="GCM30" s="31"/>
      <c r="GCN30" s="31"/>
      <c r="GCO30" s="31"/>
      <c r="GCP30" s="31"/>
      <c r="GCQ30" s="31"/>
      <c r="GCR30" s="31"/>
      <c r="GCS30" s="31"/>
      <c r="GCT30" s="31"/>
      <c r="GCU30" s="31"/>
      <c r="GCV30" s="31"/>
      <c r="GCW30" s="31"/>
      <c r="GCX30" s="31"/>
      <c r="GCY30" s="31"/>
      <c r="GCZ30" s="31"/>
      <c r="GDA30" s="31"/>
      <c r="GDB30" s="31"/>
      <c r="GDC30" s="31"/>
      <c r="GDD30" s="31"/>
      <c r="GDE30" s="31"/>
      <c r="GDF30" s="31"/>
      <c r="GDG30" s="31"/>
      <c r="GDH30" s="31"/>
      <c r="GDI30" s="31"/>
      <c r="GDJ30" s="31"/>
      <c r="GDK30" s="31"/>
      <c r="GDL30" s="31"/>
      <c r="GDM30" s="31"/>
      <c r="GDN30" s="31"/>
      <c r="GDO30" s="31"/>
      <c r="GDP30" s="31"/>
      <c r="GDQ30" s="31"/>
      <c r="GDR30" s="31"/>
      <c r="GDS30" s="31"/>
      <c r="GDT30" s="31"/>
      <c r="GDU30" s="31"/>
      <c r="GDV30" s="31"/>
      <c r="GDW30" s="31"/>
      <c r="GDX30" s="31"/>
      <c r="GDY30" s="31"/>
      <c r="GDZ30" s="31"/>
      <c r="GEA30" s="31"/>
      <c r="GEB30" s="31"/>
      <c r="GEC30" s="31"/>
      <c r="GED30" s="31"/>
      <c r="GEE30" s="31"/>
      <c r="GEF30" s="31"/>
      <c r="GEG30" s="31"/>
      <c r="GEH30" s="31"/>
      <c r="GEI30" s="31"/>
      <c r="GEJ30" s="31"/>
      <c r="GEK30" s="31"/>
      <c r="GEL30" s="31"/>
      <c r="GEM30" s="31"/>
      <c r="GEN30" s="31"/>
      <c r="GEO30" s="31"/>
      <c r="GEP30" s="31"/>
      <c r="GEQ30" s="31"/>
      <c r="GER30" s="31"/>
      <c r="GES30" s="31"/>
      <c r="GET30" s="31"/>
      <c r="GEU30" s="31"/>
      <c r="GEV30" s="31"/>
      <c r="GEW30" s="31"/>
      <c r="GEX30" s="31"/>
      <c r="GEY30" s="31"/>
      <c r="GEZ30" s="31"/>
      <c r="GFA30" s="31"/>
      <c r="GFB30" s="31"/>
      <c r="GFC30" s="31"/>
      <c r="GFD30" s="31"/>
      <c r="GFE30" s="31"/>
      <c r="GFF30" s="31"/>
      <c r="GFG30" s="31"/>
      <c r="GFH30" s="31"/>
      <c r="GFI30" s="31"/>
      <c r="GFJ30" s="31"/>
      <c r="GFK30" s="31"/>
      <c r="GFL30" s="31"/>
      <c r="GFM30" s="31"/>
      <c r="GFN30" s="31"/>
      <c r="GFO30" s="31"/>
      <c r="GFP30" s="31"/>
      <c r="GFQ30" s="31"/>
      <c r="GFR30" s="31"/>
      <c r="GFS30" s="31"/>
      <c r="GFT30" s="31"/>
      <c r="GFU30" s="31"/>
      <c r="GFV30" s="31"/>
      <c r="GFW30" s="31"/>
      <c r="GFX30" s="31"/>
      <c r="GFY30" s="31"/>
      <c r="GFZ30" s="31"/>
      <c r="GGA30" s="31"/>
      <c r="GGB30" s="31"/>
      <c r="GGC30" s="31"/>
      <c r="GGD30" s="31"/>
      <c r="GGE30" s="31"/>
      <c r="GGF30" s="31"/>
      <c r="GGG30" s="31"/>
      <c r="GGH30" s="31"/>
      <c r="GGI30" s="31"/>
      <c r="GGJ30" s="31"/>
      <c r="GGK30" s="31"/>
      <c r="GGL30" s="31"/>
      <c r="GGM30" s="31"/>
      <c r="GGN30" s="31"/>
      <c r="GGO30" s="31"/>
      <c r="GGP30" s="31"/>
      <c r="GGQ30" s="31"/>
      <c r="GGR30" s="31"/>
      <c r="GGS30" s="31"/>
      <c r="GGT30" s="31"/>
      <c r="GGU30" s="31"/>
      <c r="GGV30" s="31"/>
      <c r="GGW30" s="31"/>
      <c r="GGX30" s="31"/>
      <c r="GGY30" s="31"/>
      <c r="GGZ30" s="31"/>
      <c r="GHA30" s="31"/>
      <c r="GHB30" s="31"/>
      <c r="GHC30" s="31"/>
      <c r="GHD30" s="31"/>
      <c r="GHE30" s="31"/>
      <c r="GHF30" s="31"/>
      <c r="GHG30" s="31"/>
      <c r="GHH30" s="31"/>
      <c r="GHI30" s="31"/>
      <c r="GHJ30" s="31"/>
      <c r="GHK30" s="31"/>
      <c r="GHL30" s="31"/>
      <c r="GHM30" s="31"/>
      <c r="GHN30" s="31"/>
      <c r="GHO30" s="31"/>
      <c r="GHP30" s="31"/>
      <c r="GHQ30" s="31"/>
      <c r="GHR30" s="31"/>
      <c r="GHS30" s="31"/>
      <c r="GHT30" s="31"/>
      <c r="GHU30" s="31"/>
      <c r="GHV30" s="31"/>
      <c r="GHW30" s="31"/>
      <c r="GHX30" s="31"/>
      <c r="GHY30" s="31"/>
      <c r="GHZ30" s="31"/>
      <c r="GIA30" s="31"/>
      <c r="GIB30" s="31"/>
      <c r="GIC30" s="31"/>
      <c r="GID30" s="31"/>
      <c r="GIE30" s="31"/>
      <c r="GIF30" s="31"/>
      <c r="GIG30" s="31"/>
      <c r="GIH30" s="31"/>
      <c r="GII30" s="31"/>
      <c r="GIJ30" s="31"/>
      <c r="GIK30" s="31"/>
      <c r="GIL30" s="31"/>
      <c r="GIM30" s="31"/>
      <c r="GIN30" s="31"/>
      <c r="GIO30" s="31"/>
      <c r="GIP30" s="31"/>
      <c r="GIQ30" s="31"/>
      <c r="GIR30" s="31"/>
      <c r="GIS30" s="31"/>
      <c r="GIT30" s="31"/>
      <c r="GIU30" s="31"/>
      <c r="GIV30" s="31"/>
      <c r="GIW30" s="31"/>
      <c r="GIX30" s="31"/>
      <c r="GIY30" s="31"/>
      <c r="GIZ30" s="31"/>
      <c r="GJA30" s="31"/>
      <c r="GJB30" s="31"/>
      <c r="GJC30" s="31"/>
      <c r="GJD30" s="31"/>
      <c r="GJE30" s="31"/>
      <c r="GJF30" s="31"/>
      <c r="GJG30" s="31"/>
      <c r="GJH30" s="31"/>
      <c r="GJI30" s="31"/>
      <c r="GJJ30" s="31"/>
      <c r="GJK30" s="31"/>
      <c r="GJL30" s="31"/>
      <c r="GJM30" s="31"/>
      <c r="GJN30" s="31"/>
      <c r="GJO30" s="31"/>
      <c r="GJP30" s="31"/>
      <c r="GJQ30" s="31"/>
      <c r="GJR30" s="31"/>
      <c r="GJS30" s="31"/>
      <c r="GJT30" s="31"/>
      <c r="GJU30" s="31"/>
      <c r="GJV30" s="31"/>
      <c r="GJW30" s="31"/>
      <c r="GJX30" s="31"/>
      <c r="GJY30" s="31"/>
      <c r="GJZ30" s="31"/>
      <c r="GKA30" s="31"/>
      <c r="GKB30" s="31"/>
      <c r="GKC30" s="31"/>
      <c r="GKD30" s="31"/>
      <c r="GKE30" s="31"/>
      <c r="GKF30" s="31"/>
      <c r="GKG30" s="31"/>
      <c r="GKH30" s="31"/>
      <c r="GKI30" s="31"/>
      <c r="GKJ30" s="31"/>
      <c r="GKK30" s="31"/>
      <c r="GKL30" s="31"/>
      <c r="GKM30" s="31"/>
      <c r="GKN30" s="31"/>
      <c r="GKO30" s="31"/>
      <c r="GKP30" s="31"/>
      <c r="GKQ30" s="31"/>
      <c r="GKR30" s="31"/>
      <c r="GKS30" s="31"/>
      <c r="GKT30" s="31"/>
      <c r="GKU30" s="31"/>
      <c r="GKV30" s="31"/>
      <c r="GKW30" s="31"/>
      <c r="GKX30" s="31"/>
      <c r="GKY30" s="31"/>
      <c r="GKZ30" s="31"/>
      <c r="GLA30" s="31"/>
      <c r="GLB30" s="31"/>
      <c r="GLC30" s="31"/>
      <c r="GLD30" s="31"/>
      <c r="GLE30" s="31"/>
      <c r="GLF30" s="31"/>
      <c r="GLG30" s="31"/>
      <c r="GLH30" s="31"/>
      <c r="GLI30" s="31"/>
      <c r="GLJ30" s="31"/>
      <c r="GLK30" s="31"/>
      <c r="GLL30" s="31"/>
      <c r="GLM30" s="31"/>
      <c r="GLN30" s="31"/>
      <c r="GLO30" s="31"/>
      <c r="GLP30" s="31"/>
      <c r="GLQ30" s="31"/>
      <c r="GLR30" s="31"/>
      <c r="GLS30" s="31"/>
      <c r="GLT30" s="31"/>
      <c r="GLU30" s="31"/>
      <c r="GLV30" s="31"/>
      <c r="GLW30" s="31"/>
      <c r="GLX30" s="31"/>
      <c r="GLY30" s="31"/>
      <c r="GLZ30" s="31"/>
      <c r="GMA30" s="31"/>
      <c r="GMB30" s="31"/>
      <c r="GMC30" s="31"/>
      <c r="GMD30" s="31"/>
      <c r="GME30" s="31"/>
      <c r="GMF30" s="31"/>
      <c r="GMG30" s="31"/>
      <c r="GMH30" s="31"/>
      <c r="GMI30" s="31"/>
      <c r="GMJ30" s="31"/>
      <c r="GMK30" s="31"/>
      <c r="GML30" s="31"/>
      <c r="GMM30" s="31"/>
      <c r="GMN30" s="31"/>
      <c r="GMO30" s="31"/>
      <c r="GMP30" s="31"/>
      <c r="GMQ30" s="31"/>
      <c r="GMR30" s="31"/>
      <c r="GMS30" s="31"/>
      <c r="GMT30" s="31"/>
      <c r="GMU30" s="31"/>
      <c r="GMV30" s="31"/>
      <c r="GMW30" s="31"/>
      <c r="GMX30" s="31"/>
      <c r="GMY30" s="31"/>
      <c r="GMZ30" s="31"/>
      <c r="GNA30" s="31"/>
      <c r="GNB30" s="31"/>
      <c r="GNC30" s="31"/>
      <c r="GND30" s="31"/>
      <c r="GNE30" s="31"/>
      <c r="GNF30" s="31"/>
      <c r="GNG30" s="31"/>
      <c r="GNH30" s="31"/>
      <c r="GNI30" s="31"/>
      <c r="GNJ30" s="31"/>
      <c r="GNK30" s="31"/>
      <c r="GNL30" s="31"/>
      <c r="GNM30" s="31"/>
      <c r="GNN30" s="31"/>
      <c r="GNO30" s="31"/>
      <c r="GNP30" s="31"/>
      <c r="GNQ30" s="31"/>
      <c r="GNR30" s="31"/>
      <c r="GNS30" s="31"/>
      <c r="GNT30" s="31"/>
      <c r="GNU30" s="31"/>
      <c r="GNV30" s="31"/>
      <c r="GNW30" s="31"/>
      <c r="GNX30" s="31"/>
      <c r="GNY30" s="31"/>
      <c r="GNZ30" s="31"/>
      <c r="GOA30" s="31"/>
      <c r="GOB30" s="31"/>
      <c r="GOC30" s="31"/>
      <c r="GOD30" s="31"/>
      <c r="GOE30" s="31"/>
      <c r="GOF30" s="31"/>
      <c r="GOG30" s="31"/>
      <c r="GOH30" s="31"/>
      <c r="GOI30" s="31"/>
      <c r="GOJ30" s="31"/>
      <c r="GOK30" s="31"/>
      <c r="GOL30" s="31"/>
      <c r="GOM30" s="31"/>
      <c r="GON30" s="31"/>
      <c r="GOO30" s="31"/>
      <c r="GOP30" s="31"/>
      <c r="GOQ30" s="31"/>
      <c r="GOR30" s="31"/>
      <c r="GOS30" s="31"/>
      <c r="GOT30" s="31"/>
      <c r="GOU30" s="31"/>
      <c r="GOV30" s="31"/>
      <c r="GOW30" s="31"/>
      <c r="GOX30" s="31"/>
      <c r="GOY30" s="31"/>
      <c r="GOZ30" s="31"/>
      <c r="GPA30" s="31"/>
      <c r="GPB30" s="31"/>
      <c r="GPC30" s="31"/>
      <c r="GPD30" s="31"/>
      <c r="GPE30" s="31"/>
      <c r="GPF30" s="31"/>
      <c r="GPG30" s="31"/>
      <c r="GPH30" s="31"/>
      <c r="GPI30" s="31"/>
      <c r="GPJ30" s="31"/>
      <c r="GPK30" s="31"/>
      <c r="GPL30" s="31"/>
      <c r="GPM30" s="31"/>
      <c r="GPN30" s="31"/>
      <c r="GPO30" s="31"/>
      <c r="GPP30" s="31"/>
      <c r="GPQ30" s="31"/>
      <c r="GPR30" s="31"/>
      <c r="GPS30" s="31"/>
      <c r="GPT30" s="31"/>
      <c r="GPU30" s="31"/>
      <c r="GPV30" s="31"/>
      <c r="GPW30" s="31"/>
      <c r="GPX30" s="31"/>
      <c r="GPY30" s="31"/>
      <c r="GPZ30" s="31"/>
      <c r="GQA30" s="31"/>
      <c r="GQB30" s="31"/>
      <c r="GQC30" s="31"/>
      <c r="GQD30" s="31"/>
      <c r="GQE30" s="31"/>
      <c r="GQF30" s="31"/>
      <c r="GQG30" s="31"/>
      <c r="GQH30" s="31"/>
      <c r="GQI30" s="31"/>
      <c r="GQJ30" s="31"/>
      <c r="GQK30" s="31"/>
      <c r="GQL30" s="31"/>
      <c r="GQM30" s="31"/>
      <c r="GQN30" s="31"/>
      <c r="GQO30" s="31"/>
      <c r="GQP30" s="31"/>
      <c r="GQQ30" s="31"/>
      <c r="GQR30" s="31"/>
      <c r="GQS30" s="31"/>
      <c r="GQT30" s="31"/>
      <c r="GQU30" s="31"/>
      <c r="GQV30" s="31"/>
      <c r="GQW30" s="31"/>
      <c r="GQX30" s="31"/>
      <c r="GQY30" s="31"/>
      <c r="GQZ30" s="31"/>
      <c r="GRA30" s="31"/>
      <c r="GRB30" s="31"/>
      <c r="GRC30" s="31"/>
      <c r="GRD30" s="31"/>
      <c r="GRE30" s="31"/>
      <c r="GRF30" s="31"/>
      <c r="GRG30" s="31"/>
      <c r="GRH30" s="31"/>
      <c r="GRI30" s="31"/>
      <c r="GRJ30" s="31"/>
      <c r="GRK30" s="31"/>
      <c r="GRL30" s="31"/>
      <c r="GRM30" s="31"/>
      <c r="GRN30" s="31"/>
      <c r="GRO30" s="31"/>
      <c r="GRP30" s="31"/>
      <c r="GRQ30" s="31"/>
      <c r="GRR30" s="31"/>
      <c r="GRS30" s="31"/>
      <c r="GRT30" s="31"/>
      <c r="GRU30" s="31"/>
      <c r="GRV30" s="31"/>
      <c r="GRW30" s="31"/>
      <c r="GRX30" s="31"/>
      <c r="GRY30" s="31"/>
      <c r="GRZ30" s="31"/>
      <c r="GSA30" s="31"/>
      <c r="GSB30" s="31"/>
      <c r="GSC30" s="31"/>
      <c r="GSD30" s="31"/>
      <c r="GSE30" s="31"/>
      <c r="GSF30" s="31"/>
      <c r="GSG30" s="31"/>
      <c r="GSH30" s="31"/>
      <c r="GSI30" s="31"/>
      <c r="GSJ30" s="31"/>
      <c r="GSK30" s="31"/>
      <c r="GSL30" s="31"/>
      <c r="GSM30" s="31"/>
      <c r="GSN30" s="31"/>
      <c r="GSO30" s="31"/>
      <c r="GSP30" s="31"/>
      <c r="GSQ30" s="31"/>
      <c r="GSR30" s="31"/>
      <c r="GSS30" s="31"/>
      <c r="GST30" s="31"/>
      <c r="GSU30" s="31"/>
      <c r="GSV30" s="31"/>
      <c r="GSW30" s="31"/>
      <c r="GSX30" s="31"/>
      <c r="GSY30" s="31"/>
      <c r="GSZ30" s="31"/>
      <c r="GTA30" s="31"/>
      <c r="GTB30" s="31"/>
      <c r="GTC30" s="31"/>
      <c r="GTD30" s="31"/>
      <c r="GTE30" s="31"/>
      <c r="GTF30" s="31"/>
      <c r="GTG30" s="31"/>
      <c r="GTH30" s="31"/>
      <c r="GTI30" s="31"/>
      <c r="GTJ30" s="31"/>
      <c r="GTK30" s="31"/>
      <c r="GTL30" s="31"/>
      <c r="GTM30" s="31"/>
      <c r="GTN30" s="31"/>
      <c r="GTO30" s="31"/>
      <c r="GTP30" s="31"/>
      <c r="GTQ30" s="31"/>
      <c r="GTR30" s="31"/>
      <c r="GTS30" s="31"/>
      <c r="GTT30" s="31"/>
      <c r="GTU30" s="31"/>
      <c r="GTV30" s="31"/>
      <c r="GTW30" s="31"/>
      <c r="GTX30" s="31"/>
      <c r="GTY30" s="31"/>
      <c r="GTZ30" s="31"/>
      <c r="GUA30" s="31"/>
      <c r="GUB30" s="31"/>
      <c r="GUC30" s="31"/>
      <c r="GUD30" s="31"/>
      <c r="GUE30" s="31"/>
      <c r="GUF30" s="31"/>
      <c r="GUG30" s="31"/>
      <c r="GUH30" s="31"/>
      <c r="GUI30" s="31"/>
      <c r="GUJ30" s="31"/>
      <c r="GUK30" s="31"/>
      <c r="GUL30" s="31"/>
      <c r="GUM30" s="31"/>
      <c r="GUN30" s="31"/>
      <c r="GUO30" s="31"/>
      <c r="GUP30" s="31"/>
      <c r="GUQ30" s="31"/>
      <c r="GUR30" s="31"/>
      <c r="GUS30" s="31"/>
      <c r="GUT30" s="31"/>
      <c r="GUU30" s="31"/>
      <c r="GUV30" s="31"/>
      <c r="GUW30" s="31"/>
      <c r="GUX30" s="31"/>
      <c r="GUY30" s="31"/>
      <c r="GUZ30" s="31"/>
      <c r="GVA30" s="31"/>
      <c r="GVB30" s="31"/>
      <c r="GVC30" s="31"/>
      <c r="GVD30" s="31"/>
      <c r="GVE30" s="31"/>
      <c r="GVF30" s="31"/>
      <c r="GVG30" s="31"/>
      <c r="GVH30" s="31"/>
      <c r="GVI30" s="31"/>
      <c r="GVJ30" s="31"/>
      <c r="GVK30" s="31"/>
      <c r="GVL30" s="31"/>
      <c r="GVM30" s="31"/>
      <c r="GVN30" s="31"/>
      <c r="GVO30" s="31"/>
      <c r="GVP30" s="31"/>
      <c r="GVQ30" s="31"/>
      <c r="GVR30" s="31"/>
      <c r="GVS30" s="31"/>
      <c r="GVT30" s="31"/>
      <c r="GVU30" s="31"/>
      <c r="GVV30" s="31"/>
      <c r="GVW30" s="31"/>
      <c r="GVX30" s="31"/>
      <c r="GVY30" s="31"/>
      <c r="GVZ30" s="31"/>
      <c r="GWA30" s="31"/>
      <c r="GWB30" s="31"/>
      <c r="GWC30" s="31"/>
      <c r="GWD30" s="31"/>
      <c r="GWE30" s="31"/>
      <c r="GWF30" s="31"/>
      <c r="GWG30" s="31"/>
      <c r="GWH30" s="31"/>
      <c r="GWI30" s="31"/>
      <c r="GWJ30" s="31"/>
      <c r="GWK30" s="31"/>
      <c r="GWL30" s="31"/>
      <c r="GWM30" s="31"/>
      <c r="GWN30" s="31"/>
      <c r="GWO30" s="31"/>
      <c r="GWP30" s="31"/>
      <c r="GWQ30" s="31"/>
      <c r="GWR30" s="31"/>
      <c r="GWS30" s="31"/>
      <c r="GWT30" s="31"/>
      <c r="GWU30" s="31"/>
      <c r="GWV30" s="31"/>
      <c r="GWW30" s="31"/>
      <c r="GWX30" s="31"/>
      <c r="GWY30" s="31"/>
      <c r="GWZ30" s="31"/>
      <c r="GXA30" s="31"/>
      <c r="GXB30" s="31"/>
      <c r="GXC30" s="31"/>
      <c r="GXD30" s="31"/>
      <c r="GXE30" s="31"/>
      <c r="GXF30" s="31"/>
      <c r="GXG30" s="31"/>
      <c r="GXH30" s="31"/>
      <c r="GXI30" s="31"/>
      <c r="GXJ30" s="31"/>
      <c r="GXK30" s="31"/>
      <c r="GXL30" s="31"/>
      <c r="GXM30" s="31"/>
      <c r="GXN30" s="31"/>
      <c r="GXO30" s="31"/>
      <c r="GXP30" s="31"/>
      <c r="GXQ30" s="31"/>
      <c r="GXR30" s="31"/>
      <c r="GXS30" s="31"/>
      <c r="GXT30" s="31"/>
      <c r="GXU30" s="31"/>
      <c r="GXV30" s="31"/>
      <c r="GXW30" s="31"/>
      <c r="GXX30" s="31"/>
      <c r="GXY30" s="31"/>
      <c r="GXZ30" s="31"/>
      <c r="GYA30" s="31"/>
      <c r="GYB30" s="31"/>
      <c r="GYC30" s="31"/>
      <c r="GYD30" s="31"/>
      <c r="GYE30" s="31"/>
      <c r="GYF30" s="31"/>
      <c r="GYG30" s="31"/>
      <c r="GYH30" s="31"/>
      <c r="GYI30" s="31"/>
      <c r="GYJ30" s="31"/>
      <c r="GYK30" s="31"/>
      <c r="GYL30" s="31"/>
      <c r="GYM30" s="31"/>
      <c r="GYN30" s="31"/>
      <c r="GYO30" s="31"/>
      <c r="GYP30" s="31"/>
      <c r="GYQ30" s="31"/>
      <c r="GYR30" s="31"/>
      <c r="GYS30" s="31"/>
      <c r="GYT30" s="31"/>
      <c r="GYU30" s="31"/>
      <c r="GYV30" s="31"/>
      <c r="GYW30" s="31"/>
      <c r="GYX30" s="31"/>
      <c r="GYY30" s="31"/>
      <c r="GYZ30" s="31"/>
      <c r="GZA30" s="31"/>
      <c r="GZB30" s="31"/>
      <c r="GZC30" s="31"/>
      <c r="GZD30" s="31"/>
      <c r="GZE30" s="31"/>
      <c r="GZF30" s="31"/>
      <c r="GZG30" s="31"/>
      <c r="GZH30" s="31"/>
      <c r="GZI30" s="31"/>
      <c r="GZJ30" s="31"/>
      <c r="GZK30" s="31"/>
      <c r="GZL30" s="31"/>
      <c r="GZM30" s="31"/>
      <c r="GZN30" s="31"/>
      <c r="GZO30" s="31"/>
      <c r="GZP30" s="31"/>
      <c r="GZQ30" s="31"/>
      <c r="GZR30" s="31"/>
      <c r="GZS30" s="31"/>
      <c r="GZT30" s="31"/>
      <c r="GZU30" s="31"/>
      <c r="GZV30" s="31"/>
      <c r="GZW30" s="31"/>
      <c r="GZX30" s="31"/>
      <c r="GZY30" s="31"/>
      <c r="GZZ30" s="31"/>
      <c r="HAA30" s="31"/>
      <c r="HAB30" s="31"/>
      <c r="HAC30" s="31"/>
      <c r="HAD30" s="31"/>
      <c r="HAE30" s="31"/>
      <c r="HAF30" s="31"/>
      <c r="HAG30" s="31"/>
      <c r="HAH30" s="31"/>
      <c r="HAI30" s="31"/>
      <c r="HAJ30" s="31"/>
      <c r="HAK30" s="31"/>
      <c r="HAL30" s="31"/>
      <c r="HAM30" s="31"/>
      <c r="HAN30" s="31"/>
      <c r="HAO30" s="31"/>
      <c r="HAP30" s="31"/>
      <c r="HAQ30" s="31"/>
      <c r="HAR30" s="31"/>
      <c r="HAS30" s="31"/>
      <c r="HAT30" s="31"/>
      <c r="HAU30" s="31"/>
      <c r="HAV30" s="31"/>
      <c r="HAW30" s="31"/>
      <c r="HAX30" s="31"/>
      <c r="HAY30" s="31"/>
      <c r="HAZ30" s="31"/>
      <c r="HBA30" s="31"/>
      <c r="HBB30" s="31"/>
      <c r="HBC30" s="31"/>
      <c r="HBD30" s="31"/>
      <c r="HBE30" s="31"/>
      <c r="HBF30" s="31"/>
      <c r="HBG30" s="31"/>
      <c r="HBH30" s="31"/>
      <c r="HBI30" s="31"/>
      <c r="HBJ30" s="31"/>
      <c r="HBK30" s="31"/>
      <c r="HBL30" s="31"/>
      <c r="HBM30" s="31"/>
      <c r="HBN30" s="31"/>
      <c r="HBO30" s="31"/>
      <c r="HBP30" s="31"/>
      <c r="HBQ30" s="31"/>
      <c r="HBR30" s="31"/>
      <c r="HBS30" s="31"/>
      <c r="HBT30" s="31"/>
      <c r="HBU30" s="31"/>
      <c r="HBV30" s="31"/>
      <c r="HBW30" s="31"/>
      <c r="HBX30" s="31"/>
      <c r="HBY30" s="31"/>
      <c r="HBZ30" s="31"/>
      <c r="HCA30" s="31"/>
      <c r="HCB30" s="31"/>
      <c r="HCC30" s="31"/>
      <c r="HCD30" s="31"/>
      <c r="HCE30" s="31"/>
      <c r="HCF30" s="31"/>
      <c r="HCG30" s="31"/>
      <c r="HCH30" s="31"/>
      <c r="HCI30" s="31"/>
      <c r="HCJ30" s="31"/>
      <c r="HCK30" s="31"/>
      <c r="HCL30" s="31"/>
      <c r="HCM30" s="31"/>
      <c r="HCN30" s="31"/>
      <c r="HCO30" s="31"/>
      <c r="HCP30" s="31"/>
      <c r="HCQ30" s="31"/>
      <c r="HCR30" s="31"/>
      <c r="HCS30" s="31"/>
      <c r="HCT30" s="31"/>
      <c r="HCU30" s="31"/>
      <c r="HCV30" s="31"/>
      <c r="HCW30" s="31"/>
      <c r="HCX30" s="31"/>
      <c r="HCY30" s="31"/>
      <c r="HCZ30" s="31"/>
      <c r="HDA30" s="31"/>
      <c r="HDB30" s="31"/>
      <c r="HDC30" s="31"/>
      <c r="HDD30" s="31"/>
      <c r="HDE30" s="31"/>
      <c r="HDF30" s="31"/>
      <c r="HDG30" s="31"/>
      <c r="HDH30" s="31"/>
      <c r="HDI30" s="31"/>
      <c r="HDJ30" s="31"/>
      <c r="HDK30" s="31"/>
      <c r="HDL30" s="31"/>
      <c r="HDM30" s="31"/>
      <c r="HDN30" s="31"/>
      <c r="HDO30" s="31"/>
      <c r="HDP30" s="31"/>
      <c r="HDQ30" s="31"/>
      <c r="HDR30" s="31"/>
      <c r="HDS30" s="31"/>
      <c r="HDT30" s="31"/>
      <c r="HDU30" s="31"/>
      <c r="HDV30" s="31"/>
      <c r="HDW30" s="31"/>
      <c r="HDX30" s="31"/>
      <c r="HDY30" s="31"/>
      <c r="HDZ30" s="31"/>
      <c r="HEA30" s="31"/>
      <c r="HEB30" s="31"/>
      <c r="HEC30" s="31"/>
      <c r="HED30" s="31"/>
      <c r="HEE30" s="31"/>
      <c r="HEF30" s="31"/>
      <c r="HEG30" s="31"/>
      <c r="HEH30" s="31"/>
      <c r="HEI30" s="31"/>
      <c r="HEJ30" s="31"/>
      <c r="HEK30" s="31"/>
      <c r="HEL30" s="31"/>
      <c r="HEM30" s="31"/>
      <c r="HEN30" s="31"/>
      <c r="HEO30" s="31"/>
      <c r="HEP30" s="31"/>
      <c r="HEQ30" s="31"/>
      <c r="HER30" s="31"/>
      <c r="HES30" s="31"/>
      <c r="HET30" s="31"/>
      <c r="HEU30" s="31"/>
      <c r="HEV30" s="31"/>
      <c r="HEW30" s="31"/>
      <c r="HEX30" s="31"/>
      <c r="HEY30" s="31"/>
      <c r="HEZ30" s="31"/>
      <c r="HFA30" s="31"/>
      <c r="HFB30" s="31"/>
      <c r="HFC30" s="31"/>
      <c r="HFD30" s="31"/>
      <c r="HFE30" s="31"/>
      <c r="HFF30" s="31"/>
      <c r="HFG30" s="31"/>
      <c r="HFH30" s="31"/>
      <c r="HFI30" s="31"/>
      <c r="HFJ30" s="31"/>
      <c r="HFK30" s="31"/>
      <c r="HFL30" s="31"/>
      <c r="HFM30" s="31"/>
      <c r="HFN30" s="31"/>
      <c r="HFO30" s="31"/>
      <c r="HFP30" s="31"/>
      <c r="HFQ30" s="31"/>
      <c r="HFR30" s="31"/>
      <c r="HFS30" s="31"/>
      <c r="HFT30" s="31"/>
      <c r="HFU30" s="31"/>
      <c r="HFV30" s="31"/>
      <c r="HFW30" s="31"/>
      <c r="HFX30" s="31"/>
      <c r="HFY30" s="31"/>
      <c r="HFZ30" s="31"/>
      <c r="HGA30" s="31"/>
      <c r="HGB30" s="31"/>
      <c r="HGC30" s="31"/>
      <c r="HGD30" s="31"/>
      <c r="HGE30" s="31"/>
      <c r="HGF30" s="31"/>
      <c r="HGG30" s="31"/>
      <c r="HGH30" s="31"/>
      <c r="HGI30" s="31"/>
      <c r="HGJ30" s="31"/>
      <c r="HGK30" s="31"/>
      <c r="HGL30" s="31"/>
      <c r="HGM30" s="31"/>
      <c r="HGN30" s="31"/>
      <c r="HGO30" s="31"/>
      <c r="HGP30" s="31"/>
      <c r="HGQ30" s="31"/>
      <c r="HGR30" s="31"/>
      <c r="HGS30" s="31"/>
      <c r="HGT30" s="31"/>
      <c r="HGU30" s="31"/>
      <c r="HGV30" s="31"/>
      <c r="HGW30" s="31"/>
      <c r="HGX30" s="31"/>
      <c r="HGY30" s="31"/>
      <c r="HGZ30" s="31"/>
      <c r="HHA30" s="31"/>
      <c r="HHB30" s="31"/>
      <c r="HHC30" s="31"/>
      <c r="HHD30" s="31"/>
      <c r="HHE30" s="31"/>
      <c r="HHF30" s="31"/>
      <c r="HHG30" s="31"/>
      <c r="HHH30" s="31"/>
      <c r="HHI30" s="31"/>
      <c r="HHJ30" s="31"/>
      <c r="HHK30" s="31"/>
      <c r="HHL30" s="31"/>
      <c r="HHM30" s="31"/>
      <c r="HHN30" s="31"/>
      <c r="HHO30" s="31"/>
      <c r="HHP30" s="31"/>
      <c r="HHQ30" s="31"/>
      <c r="HHR30" s="31"/>
      <c r="HHS30" s="31"/>
      <c r="HHT30" s="31"/>
      <c r="HHU30" s="31"/>
      <c r="HHV30" s="31"/>
      <c r="HHW30" s="31"/>
      <c r="HHX30" s="31"/>
      <c r="HHY30" s="31"/>
      <c r="HHZ30" s="31"/>
      <c r="HIA30" s="31"/>
      <c r="HIB30" s="31"/>
      <c r="HIC30" s="31"/>
      <c r="HID30" s="31"/>
      <c r="HIE30" s="31"/>
      <c r="HIF30" s="31"/>
      <c r="HIG30" s="31"/>
      <c r="HIH30" s="31"/>
      <c r="HII30" s="31"/>
      <c r="HIJ30" s="31"/>
      <c r="HIK30" s="31"/>
      <c r="HIL30" s="31"/>
      <c r="HIM30" s="31"/>
      <c r="HIN30" s="31"/>
      <c r="HIO30" s="31"/>
      <c r="HIP30" s="31"/>
      <c r="HIQ30" s="31"/>
      <c r="HIR30" s="31"/>
      <c r="HIS30" s="31"/>
      <c r="HIT30" s="31"/>
      <c r="HIU30" s="31"/>
      <c r="HIV30" s="31"/>
      <c r="HIW30" s="31"/>
      <c r="HIX30" s="31"/>
      <c r="HIY30" s="31"/>
      <c r="HIZ30" s="31"/>
      <c r="HJA30" s="31"/>
      <c r="HJB30" s="31"/>
      <c r="HJC30" s="31"/>
      <c r="HJD30" s="31"/>
      <c r="HJE30" s="31"/>
      <c r="HJF30" s="31"/>
      <c r="HJG30" s="31"/>
      <c r="HJH30" s="31"/>
      <c r="HJI30" s="31"/>
      <c r="HJJ30" s="31"/>
      <c r="HJK30" s="31"/>
      <c r="HJL30" s="31"/>
      <c r="HJM30" s="31"/>
      <c r="HJN30" s="31"/>
      <c r="HJO30" s="31"/>
      <c r="HJP30" s="31"/>
      <c r="HJQ30" s="31"/>
      <c r="HJR30" s="31"/>
      <c r="HJS30" s="31"/>
      <c r="HJT30" s="31"/>
      <c r="HJU30" s="31"/>
      <c r="HJV30" s="31"/>
      <c r="HJW30" s="31"/>
      <c r="HJX30" s="31"/>
      <c r="HJY30" s="31"/>
      <c r="HJZ30" s="31"/>
      <c r="HKA30" s="31"/>
      <c r="HKB30" s="31"/>
      <c r="HKC30" s="31"/>
      <c r="HKD30" s="31"/>
      <c r="HKE30" s="31"/>
      <c r="HKF30" s="31"/>
      <c r="HKG30" s="31"/>
      <c r="HKH30" s="31"/>
      <c r="HKI30" s="31"/>
      <c r="HKJ30" s="31"/>
      <c r="HKK30" s="31"/>
      <c r="HKL30" s="31"/>
      <c r="HKM30" s="31"/>
      <c r="HKN30" s="31"/>
      <c r="HKO30" s="31"/>
      <c r="HKP30" s="31"/>
      <c r="HKQ30" s="31"/>
      <c r="HKR30" s="31"/>
      <c r="HKS30" s="31"/>
      <c r="HKT30" s="31"/>
      <c r="HKU30" s="31"/>
      <c r="HKV30" s="31"/>
      <c r="HKW30" s="31"/>
      <c r="HKX30" s="31"/>
      <c r="HKY30" s="31"/>
      <c r="HKZ30" s="31"/>
      <c r="HLA30" s="31"/>
      <c r="HLB30" s="31"/>
      <c r="HLC30" s="31"/>
      <c r="HLD30" s="31"/>
      <c r="HLE30" s="31"/>
      <c r="HLF30" s="31"/>
      <c r="HLG30" s="31"/>
      <c r="HLH30" s="31"/>
      <c r="HLI30" s="31"/>
      <c r="HLJ30" s="31"/>
      <c r="HLK30" s="31"/>
      <c r="HLL30" s="31"/>
      <c r="HLM30" s="31"/>
      <c r="HLN30" s="31"/>
      <c r="HLO30" s="31"/>
      <c r="HLP30" s="31"/>
      <c r="HLQ30" s="31"/>
      <c r="HLR30" s="31"/>
      <c r="HLS30" s="31"/>
      <c r="HLT30" s="31"/>
      <c r="HLU30" s="31"/>
      <c r="HLV30" s="31"/>
      <c r="HLW30" s="31"/>
      <c r="HLX30" s="31"/>
      <c r="HLY30" s="31"/>
      <c r="HLZ30" s="31"/>
      <c r="HMA30" s="31"/>
      <c r="HMB30" s="31"/>
      <c r="HMC30" s="31"/>
      <c r="HMD30" s="31"/>
      <c r="HME30" s="31"/>
      <c r="HMF30" s="31"/>
      <c r="HMG30" s="31"/>
      <c r="HMH30" s="31"/>
      <c r="HMI30" s="31"/>
      <c r="HMJ30" s="31"/>
      <c r="HMK30" s="31"/>
      <c r="HML30" s="31"/>
      <c r="HMM30" s="31"/>
      <c r="HMN30" s="31"/>
      <c r="HMO30" s="31"/>
      <c r="HMP30" s="31"/>
      <c r="HMQ30" s="31"/>
      <c r="HMR30" s="31"/>
      <c r="HMS30" s="31"/>
      <c r="HMT30" s="31"/>
      <c r="HMU30" s="31"/>
      <c r="HMV30" s="31"/>
      <c r="HMW30" s="31"/>
      <c r="HMX30" s="31"/>
      <c r="HMY30" s="31"/>
      <c r="HMZ30" s="31"/>
      <c r="HNA30" s="31"/>
      <c r="HNB30" s="31"/>
      <c r="HNC30" s="31"/>
      <c r="HND30" s="31"/>
      <c r="HNE30" s="31"/>
      <c r="HNF30" s="31"/>
      <c r="HNG30" s="31"/>
      <c r="HNH30" s="31"/>
      <c r="HNI30" s="31"/>
      <c r="HNJ30" s="31"/>
      <c r="HNK30" s="31"/>
      <c r="HNL30" s="31"/>
      <c r="HNM30" s="31"/>
      <c r="HNN30" s="31"/>
      <c r="HNO30" s="31"/>
      <c r="HNP30" s="31"/>
      <c r="HNQ30" s="31"/>
      <c r="HNR30" s="31"/>
      <c r="HNS30" s="31"/>
      <c r="HNT30" s="31"/>
      <c r="HNU30" s="31"/>
      <c r="HNV30" s="31"/>
      <c r="HNW30" s="31"/>
      <c r="HNX30" s="31"/>
      <c r="HNY30" s="31"/>
      <c r="HNZ30" s="31"/>
      <c r="HOA30" s="31"/>
      <c r="HOB30" s="31"/>
      <c r="HOC30" s="31"/>
      <c r="HOD30" s="31"/>
      <c r="HOE30" s="31"/>
      <c r="HOF30" s="31"/>
      <c r="HOG30" s="31"/>
      <c r="HOH30" s="31"/>
      <c r="HOI30" s="31"/>
      <c r="HOJ30" s="31"/>
      <c r="HOK30" s="31"/>
      <c r="HOL30" s="31"/>
      <c r="HOM30" s="31"/>
      <c r="HON30" s="31"/>
      <c r="HOO30" s="31"/>
      <c r="HOP30" s="31"/>
      <c r="HOQ30" s="31"/>
      <c r="HOR30" s="31"/>
      <c r="HOS30" s="31"/>
      <c r="HOT30" s="31"/>
      <c r="HOU30" s="31"/>
      <c r="HOV30" s="31"/>
      <c r="HOW30" s="31"/>
      <c r="HOX30" s="31"/>
      <c r="HOY30" s="31"/>
      <c r="HOZ30" s="31"/>
      <c r="HPA30" s="31"/>
      <c r="HPB30" s="31"/>
      <c r="HPC30" s="31"/>
      <c r="HPD30" s="31"/>
      <c r="HPE30" s="31"/>
      <c r="HPF30" s="31"/>
      <c r="HPG30" s="31"/>
      <c r="HPH30" s="31"/>
      <c r="HPI30" s="31"/>
      <c r="HPJ30" s="31"/>
      <c r="HPK30" s="31"/>
      <c r="HPL30" s="31"/>
      <c r="HPM30" s="31"/>
      <c r="HPN30" s="31"/>
      <c r="HPO30" s="31"/>
      <c r="HPP30" s="31"/>
      <c r="HPQ30" s="31"/>
      <c r="HPR30" s="31"/>
      <c r="HPS30" s="31"/>
      <c r="HPT30" s="31"/>
      <c r="HPU30" s="31"/>
      <c r="HPV30" s="31"/>
      <c r="HPW30" s="31"/>
      <c r="HPX30" s="31"/>
      <c r="HPY30" s="31"/>
      <c r="HPZ30" s="31"/>
      <c r="HQA30" s="31"/>
      <c r="HQB30" s="31"/>
      <c r="HQC30" s="31"/>
      <c r="HQD30" s="31"/>
      <c r="HQE30" s="31"/>
      <c r="HQF30" s="31"/>
      <c r="HQG30" s="31"/>
      <c r="HQH30" s="31"/>
      <c r="HQI30" s="31"/>
      <c r="HQJ30" s="31"/>
      <c r="HQK30" s="31"/>
      <c r="HQL30" s="31"/>
      <c r="HQM30" s="31"/>
      <c r="HQN30" s="31"/>
      <c r="HQO30" s="31"/>
      <c r="HQP30" s="31"/>
      <c r="HQQ30" s="31"/>
      <c r="HQR30" s="31"/>
      <c r="HQS30" s="31"/>
      <c r="HQT30" s="31"/>
      <c r="HQU30" s="31"/>
      <c r="HQV30" s="31"/>
      <c r="HQW30" s="31"/>
      <c r="HQX30" s="31"/>
      <c r="HQY30" s="31"/>
      <c r="HQZ30" s="31"/>
      <c r="HRA30" s="31"/>
      <c r="HRB30" s="31"/>
      <c r="HRC30" s="31"/>
      <c r="HRD30" s="31"/>
      <c r="HRE30" s="31"/>
      <c r="HRF30" s="31"/>
      <c r="HRG30" s="31"/>
      <c r="HRH30" s="31"/>
      <c r="HRI30" s="31"/>
      <c r="HRJ30" s="31"/>
      <c r="HRK30" s="31"/>
      <c r="HRL30" s="31"/>
      <c r="HRM30" s="31"/>
      <c r="HRN30" s="31"/>
      <c r="HRO30" s="31"/>
      <c r="HRP30" s="31"/>
      <c r="HRQ30" s="31"/>
      <c r="HRR30" s="31"/>
      <c r="HRS30" s="31"/>
      <c r="HRT30" s="31"/>
      <c r="HRU30" s="31"/>
      <c r="HRV30" s="31"/>
      <c r="HRW30" s="31"/>
      <c r="HRX30" s="31"/>
      <c r="HRY30" s="31"/>
      <c r="HRZ30" s="31"/>
      <c r="HSA30" s="31"/>
      <c r="HSB30" s="31"/>
      <c r="HSC30" s="31"/>
      <c r="HSD30" s="31"/>
      <c r="HSE30" s="31"/>
      <c r="HSF30" s="31"/>
      <c r="HSG30" s="31"/>
      <c r="HSH30" s="31"/>
      <c r="HSI30" s="31"/>
      <c r="HSJ30" s="31"/>
      <c r="HSK30" s="31"/>
      <c r="HSL30" s="31"/>
      <c r="HSM30" s="31"/>
      <c r="HSN30" s="31"/>
      <c r="HSO30" s="31"/>
      <c r="HSP30" s="31"/>
      <c r="HSQ30" s="31"/>
      <c r="HSR30" s="31"/>
      <c r="HSS30" s="31"/>
      <c r="HST30" s="31"/>
      <c r="HSU30" s="31"/>
      <c r="HSV30" s="31"/>
      <c r="HSW30" s="31"/>
      <c r="HSX30" s="31"/>
      <c r="HSY30" s="31"/>
      <c r="HSZ30" s="31"/>
      <c r="HTA30" s="31"/>
      <c r="HTB30" s="31"/>
      <c r="HTC30" s="31"/>
      <c r="HTD30" s="31"/>
      <c r="HTE30" s="31"/>
      <c r="HTF30" s="31"/>
      <c r="HTG30" s="31"/>
      <c r="HTH30" s="31"/>
      <c r="HTI30" s="31"/>
      <c r="HTJ30" s="31"/>
      <c r="HTK30" s="31"/>
      <c r="HTL30" s="31"/>
      <c r="HTM30" s="31"/>
      <c r="HTN30" s="31"/>
      <c r="HTO30" s="31"/>
      <c r="HTP30" s="31"/>
      <c r="HTQ30" s="31"/>
      <c r="HTR30" s="31"/>
      <c r="HTS30" s="31"/>
      <c r="HTT30" s="31"/>
      <c r="HTU30" s="31"/>
      <c r="HTV30" s="31"/>
      <c r="HTW30" s="31"/>
      <c r="HTX30" s="31"/>
      <c r="HTY30" s="31"/>
      <c r="HTZ30" s="31"/>
      <c r="HUA30" s="31"/>
      <c r="HUB30" s="31"/>
      <c r="HUC30" s="31"/>
      <c r="HUD30" s="31"/>
      <c r="HUE30" s="31"/>
      <c r="HUF30" s="31"/>
      <c r="HUG30" s="31"/>
      <c r="HUH30" s="31"/>
      <c r="HUI30" s="31"/>
      <c r="HUJ30" s="31"/>
      <c r="HUK30" s="31"/>
      <c r="HUL30" s="31"/>
      <c r="HUM30" s="31"/>
      <c r="HUN30" s="31"/>
      <c r="HUO30" s="31"/>
      <c r="HUP30" s="31"/>
      <c r="HUQ30" s="31"/>
      <c r="HUR30" s="31"/>
      <c r="HUS30" s="31"/>
      <c r="HUT30" s="31"/>
      <c r="HUU30" s="31"/>
      <c r="HUV30" s="31"/>
      <c r="HUW30" s="31"/>
      <c r="HUX30" s="31"/>
      <c r="HUY30" s="31"/>
      <c r="HUZ30" s="31"/>
      <c r="HVA30" s="31"/>
      <c r="HVB30" s="31"/>
      <c r="HVC30" s="31"/>
      <c r="HVD30" s="31"/>
      <c r="HVE30" s="31"/>
      <c r="HVF30" s="31"/>
      <c r="HVG30" s="31"/>
      <c r="HVH30" s="31"/>
      <c r="HVI30" s="31"/>
      <c r="HVJ30" s="31"/>
      <c r="HVK30" s="31"/>
      <c r="HVL30" s="31"/>
      <c r="HVM30" s="31"/>
      <c r="HVN30" s="31"/>
      <c r="HVO30" s="31"/>
      <c r="HVP30" s="31"/>
      <c r="HVQ30" s="31"/>
      <c r="HVR30" s="31"/>
      <c r="HVS30" s="31"/>
      <c r="HVT30" s="31"/>
      <c r="HVU30" s="31"/>
      <c r="HVV30" s="31"/>
      <c r="HVW30" s="31"/>
      <c r="HVX30" s="31"/>
      <c r="HVY30" s="31"/>
      <c r="HVZ30" s="31"/>
      <c r="HWA30" s="31"/>
      <c r="HWB30" s="31"/>
      <c r="HWC30" s="31"/>
      <c r="HWD30" s="31"/>
      <c r="HWE30" s="31"/>
      <c r="HWF30" s="31"/>
      <c r="HWG30" s="31"/>
      <c r="HWH30" s="31"/>
      <c r="HWI30" s="31"/>
      <c r="HWJ30" s="31"/>
      <c r="HWK30" s="31"/>
      <c r="HWL30" s="31"/>
      <c r="HWM30" s="31"/>
      <c r="HWN30" s="31"/>
      <c r="HWO30" s="31"/>
      <c r="HWP30" s="31"/>
      <c r="HWQ30" s="31"/>
      <c r="HWR30" s="31"/>
      <c r="HWS30" s="31"/>
      <c r="HWT30" s="31"/>
      <c r="HWU30" s="31"/>
      <c r="HWV30" s="31"/>
      <c r="HWW30" s="31"/>
      <c r="HWX30" s="31"/>
      <c r="HWY30" s="31"/>
      <c r="HWZ30" s="31"/>
      <c r="HXA30" s="31"/>
      <c r="HXB30" s="31"/>
      <c r="HXC30" s="31"/>
      <c r="HXD30" s="31"/>
      <c r="HXE30" s="31"/>
      <c r="HXF30" s="31"/>
      <c r="HXG30" s="31"/>
      <c r="HXH30" s="31"/>
      <c r="HXI30" s="31"/>
      <c r="HXJ30" s="31"/>
      <c r="HXK30" s="31"/>
      <c r="HXL30" s="31"/>
      <c r="HXM30" s="31"/>
      <c r="HXN30" s="31"/>
      <c r="HXO30" s="31"/>
      <c r="HXP30" s="31"/>
      <c r="HXQ30" s="31"/>
      <c r="HXR30" s="31"/>
      <c r="HXS30" s="31"/>
      <c r="HXT30" s="31"/>
      <c r="HXU30" s="31"/>
      <c r="HXV30" s="31"/>
      <c r="HXW30" s="31"/>
      <c r="HXX30" s="31"/>
      <c r="HXY30" s="31"/>
      <c r="HXZ30" s="31"/>
      <c r="HYA30" s="31"/>
      <c r="HYB30" s="31"/>
      <c r="HYC30" s="31"/>
      <c r="HYD30" s="31"/>
      <c r="HYE30" s="31"/>
      <c r="HYF30" s="31"/>
      <c r="HYG30" s="31"/>
      <c r="HYH30" s="31"/>
      <c r="HYI30" s="31"/>
      <c r="HYJ30" s="31"/>
      <c r="HYK30" s="31"/>
      <c r="HYL30" s="31"/>
      <c r="HYM30" s="31"/>
      <c r="HYN30" s="31"/>
      <c r="HYO30" s="31"/>
      <c r="HYP30" s="31"/>
      <c r="HYQ30" s="31"/>
      <c r="HYR30" s="31"/>
      <c r="HYS30" s="31"/>
      <c r="HYT30" s="31"/>
      <c r="HYU30" s="31"/>
      <c r="HYV30" s="31"/>
      <c r="HYW30" s="31"/>
      <c r="HYX30" s="31"/>
      <c r="HYY30" s="31"/>
      <c r="HYZ30" s="31"/>
      <c r="HZA30" s="31"/>
      <c r="HZB30" s="31"/>
      <c r="HZC30" s="31"/>
      <c r="HZD30" s="31"/>
      <c r="HZE30" s="31"/>
      <c r="HZF30" s="31"/>
      <c r="HZG30" s="31"/>
      <c r="HZH30" s="31"/>
      <c r="HZI30" s="31"/>
      <c r="HZJ30" s="31"/>
      <c r="HZK30" s="31"/>
      <c r="HZL30" s="31"/>
      <c r="HZM30" s="31"/>
      <c r="HZN30" s="31"/>
      <c r="HZO30" s="31"/>
      <c r="HZP30" s="31"/>
      <c r="HZQ30" s="31"/>
      <c r="HZR30" s="31"/>
      <c r="HZS30" s="31"/>
      <c r="HZT30" s="31"/>
      <c r="HZU30" s="31"/>
      <c r="HZV30" s="31"/>
      <c r="HZW30" s="31"/>
      <c r="HZX30" s="31"/>
      <c r="HZY30" s="31"/>
      <c r="HZZ30" s="31"/>
      <c r="IAA30" s="31"/>
      <c r="IAB30" s="31"/>
      <c r="IAC30" s="31"/>
      <c r="IAD30" s="31"/>
      <c r="IAE30" s="31"/>
      <c r="IAF30" s="31"/>
      <c r="IAG30" s="31"/>
      <c r="IAH30" s="31"/>
      <c r="IAI30" s="31"/>
      <c r="IAJ30" s="31"/>
      <c r="IAK30" s="31"/>
      <c r="IAL30" s="31"/>
      <c r="IAM30" s="31"/>
      <c r="IAN30" s="31"/>
      <c r="IAO30" s="31"/>
      <c r="IAP30" s="31"/>
      <c r="IAQ30" s="31"/>
      <c r="IAR30" s="31"/>
      <c r="IAS30" s="31"/>
      <c r="IAT30" s="31"/>
      <c r="IAU30" s="31"/>
      <c r="IAV30" s="31"/>
      <c r="IAW30" s="31"/>
      <c r="IAX30" s="31"/>
      <c r="IAY30" s="31"/>
      <c r="IAZ30" s="31"/>
      <c r="IBA30" s="31"/>
      <c r="IBB30" s="31"/>
      <c r="IBC30" s="31"/>
      <c r="IBD30" s="31"/>
      <c r="IBE30" s="31"/>
      <c r="IBF30" s="31"/>
      <c r="IBG30" s="31"/>
      <c r="IBH30" s="31"/>
      <c r="IBI30" s="31"/>
      <c r="IBJ30" s="31"/>
      <c r="IBK30" s="31"/>
      <c r="IBL30" s="31"/>
      <c r="IBM30" s="31"/>
      <c r="IBN30" s="31"/>
      <c r="IBO30" s="31"/>
      <c r="IBP30" s="31"/>
      <c r="IBQ30" s="31"/>
      <c r="IBR30" s="31"/>
      <c r="IBS30" s="31"/>
      <c r="IBT30" s="31"/>
      <c r="IBU30" s="31"/>
      <c r="IBV30" s="31"/>
      <c r="IBW30" s="31"/>
      <c r="IBX30" s="31"/>
      <c r="IBY30" s="31"/>
      <c r="IBZ30" s="31"/>
      <c r="ICA30" s="31"/>
      <c r="ICB30" s="31"/>
      <c r="ICC30" s="31"/>
      <c r="ICD30" s="31"/>
      <c r="ICE30" s="31"/>
      <c r="ICF30" s="31"/>
      <c r="ICG30" s="31"/>
      <c r="ICH30" s="31"/>
      <c r="ICI30" s="31"/>
      <c r="ICJ30" s="31"/>
      <c r="ICK30" s="31"/>
      <c r="ICL30" s="31"/>
      <c r="ICM30" s="31"/>
      <c r="ICN30" s="31"/>
      <c r="ICO30" s="31"/>
      <c r="ICP30" s="31"/>
      <c r="ICQ30" s="31"/>
      <c r="ICR30" s="31"/>
      <c r="ICS30" s="31"/>
      <c r="ICT30" s="31"/>
      <c r="ICU30" s="31"/>
      <c r="ICV30" s="31"/>
      <c r="ICW30" s="31"/>
      <c r="ICX30" s="31"/>
      <c r="ICY30" s="31"/>
      <c r="ICZ30" s="31"/>
      <c r="IDA30" s="31"/>
      <c r="IDB30" s="31"/>
      <c r="IDC30" s="31"/>
      <c r="IDD30" s="31"/>
      <c r="IDE30" s="31"/>
      <c r="IDF30" s="31"/>
      <c r="IDG30" s="31"/>
      <c r="IDH30" s="31"/>
      <c r="IDI30" s="31"/>
      <c r="IDJ30" s="31"/>
      <c r="IDK30" s="31"/>
      <c r="IDL30" s="31"/>
      <c r="IDM30" s="31"/>
      <c r="IDN30" s="31"/>
      <c r="IDO30" s="31"/>
      <c r="IDP30" s="31"/>
      <c r="IDQ30" s="31"/>
      <c r="IDR30" s="31"/>
      <c r="IDS30" s="31"/>
      <c r="IDT30" s="31"/>
      <c r="IDU30" s="31"/>
      <c r="IDV30" s="31"/>
      <c r="IDW30" s="31"/>
      <c r="IDX30" s="31"/>
      <c r="IDY30" s="31"/>
      <c r="IDZ30" s="31"/>
      <c r="IEA30" s="31"/>
      <c r="IEB30" s="31"/>
      <c r="IEC30" s="31"/>
      <c r="IED30" s="31"/>
      <c r="IEE30" s="31"/>
      <c r="IEF30" s="31"/>
      <c r="IEG30" s="31"/>
      <c r="IEH30" s="31"/>
      <c r="IEI30" s="31"/>
      <c r="IEJ30" s="31"/>
      <c r="IEK30" s="31"/>
      <c r="IEL30" s="31"/>
      <c r="IEM30" s="31"/>
      <c r="IEN30" s="31"/>
      <c r="IEO30" s="31"/>
      <c r="IEP30" s="31"/>
      <c r="IEQ30" s="31"/>
      <c r="IER30" s="31"/>
      <c r="IES30" s="31"/>
      <c r="IET30" s="31"/>
      <c r="IEU30" s="31"/>
      <c r="IEV30" s="31"/>
      <c r="IEW30" s="31"/>
      <c r="IEX30" s="31"/>
      <c r="IEY30" s="31"/>
      <c r="IEZ30" s="31"/>
      <c r="IFA30" s="31"/>
      <c r="IFB30" s="31"/>
      <c r="IFC30" s="31"/>
      <c r="IFD30" s="31"/>
      <c r="IFE30" s="31"/>
      <c r="IFF30" s="31"/>
      <c r="IFG30" s="31"/>
      <c r="IFH30" s="31"/>
      <c r="IFI30" s="31"/>
      <c r="IFJ30" s="31"/>
      <c r="IFK30" s="31"/>
      <c r="IFL30" s="31"/>
      <c r="IFM30" s="31"/>
      <c r="IFN30" s="31"/>
      <c r="IFO30" s="31"/>
      <c r="IFP30" s="31"/>
      <c r="IFQ30" s="31"/>
      <c r="IFR30" s="31"/>
      <c r="IFS30" s="31"/>
      <c r="IFT30" s="31"/>
      <c r="IFU30" s="31"/>
      <c r="IFV30" s="31"/>
      <c r="IFW30" s="31"/>
      <c r="IFX30" s="31"/>
      <c r="IFY30" s="31"/>
      <c r="IFZ30" s="31"/>
      <c r="IGA30" s="31"/>
      <c r="IGB30" s="31"/>
      <c r="IGC30" s="31"/>
      <c r="IGD30" s="31"/>
      <c r="IGE30" s="31"/>
      <c r="IGF30" s="31"/>
      <c r="IGG30" s="31"/>
      <c r="IGH30" s="31"/>
      <c r="IGI30" s="31"/>
      <c r="IGJ30" s="31"/>
      <c r="IGK30" s="31"/>
      <c r="IGL30" s="31"/>
      <c r="IGM30" s="31"/>
      <c r="IGN30" s="31"/>
      <c r="IGO30" s="31"/>
      <c r="IGP30" s="31"/>
      <c r="IGQ30" s="31"/>
      <c r="IGR30" s="31"/>
      <c r="IGS30" s="31"/>
      <c r="IGT30" s="31"/>
      <c r="IGU30" s="31"/>
      <c r="IGV30" s="31"/>
      <c r="IGW30" s="31"/>
      <c r="IGX30" s="31"/>
      <c r="IGY30" s="31"/>
      <c r="IGZ30" s="31"/>
      <c r="IHA30" s="31"/>
      <c r="IHB30" s="31"/>
      <c r="IHC30" s="31"/>
      <c r="IHD30" s="31"/>
      <c r="IHE30" s="31"/>
      <c r="IHF30" s="31"/>
      <c r="IHG30" s="31"/>
      <c r="IHH30" s="31"/>
      <c r="IHI30" s="31"/>
      <c r="IHJ30" s="31"/>
      <c r="IHK30" s="31"/>
      <c r="IHL30" s="31"/>
      <c r="IHM30" s="31"/>
      <c r="IHN30" s="31"/>
      <c r="IHO30" s="31"/>
      <c r="IHP30" s="31"/>
      <c r="IHQ30" s="31"/>
      <c r="IHR30" s="31"/>
      <c r="IHS30" s="31"/>
      <c r="IHT30" s="31"/>
      <c r="IHU30" s="31"/>
      <c r="IHV30" s="31"/>
      <c r="IHW30" s="31"/>
      <c r="IHX30" s="31"/>
      <c r="IHY30" s="31"/>
      <c r="IHZ30" s="31"/>
      <c r="IIA30" s="31"/>
      <c r="IIB30" s="31"/>
      <c r="IIC30" s="31"/>
      <c r="IID30" s="31"/>
      <c r="IIE30" s="31"/>
      <c r="IIF30" s="31"/>
      <c r="IIG30" s="31"/>
      <c r="IIH30" s="31"/>
      <c r="III30" s="31"/>
      <c r="IIJ30" s="31"/>
      <c r="IIK30" s="31"/>
      <c r="IIL30" s="31"/>
      <c r="IIM30" s="31"/>
      <c r="IIN30" s="31"/>
      <c r="IIO30" s="31"/>
      <c r="IIP30" s="31"/>
      <c r="IIQ30" s="31"/>
      <c r="IIR30" s="31"/>
      <c r="IIS30" s="31"/>
      <c r="IIT30" s="31"/>
      <c r="IIU30" s="31"/>
      <c r="IIV30" s="31"/>
      <c r="IIW30" s="31"/>
      <c r="IIX30" s="31"/>
      <c r="IIY30" s="31"/>
      <c r="IIZ30" s="31"/>
      <c r="IJA30" s="31"/>
      <c r="IJB30" s="31"/>
      <c r="IJC30" s="31"/>
      <c r="IJD30" s="31"/>
      <c r="IJE30" s="31"/>
      <c r="IJF30" s="31"/>
      <c r="IJG30" s="31"/>
      <c r="IJH30" s="31"/>
      <c r="IJI30" s="31"/>
      <c r="IJJ30" s="31"/>
      <c r="IJK30" s="31"/>
      <c r="IJL30" s="31"/>
      <c r="IJM30" s="31"/>
      <c r="IJN30" s="31"/>
      <c r="IJO30" s="31"/>
      <c r="IJP30" s="31"/>
      <c r="IJQ30" s="31"/>
      <c r="IJR30" s="31"/>
      <c r="IJS30" s="31"/>
      <c r="IJT30" s="31"/>
      <c r="IJU30" s="31"/>
      <c r="IJV30" s="31"/>
      <c r="IJW30" s="31"/>
      <c r="IJX30" s="31"/>
      <c r="IJY30" s="31"/>
      <c r="IJZ30" s="31"/>
      <c r="IKA30" s="31"/>
      <c r="IKB30" s="31"/>
      <c r="IKC30" s="31"/>
      <c r="IKD30" s="31"/>
      <c r="IKE30" s="31"/>
      <c r="IKF30" s="31"/>
      <c r="IKG30" s="31"/>
      <c r="IKH30" s="31"/>
      <c r="IKI30" s="31"/>
      <c r="IKJ30" s="31"/>
      <c r="IKK30" s="31"/>
      <c r="IKL30" s="31"/>
      <c r="IKM30" s="31"/>
      <c r="IKN30" s="31"/>
      <c r="IKO30" s="31"/>
      <c r="IKP30" s="31"/>
      <c r="IKQ30" s="31"/>
      <c r="IKR30" s="31"/>
      <c r="IKS30" s="31"/>
      <c r="IKT30" s="31"/>
      <c r="IKU30" s="31"/>
      <c r="IKV30" s="31"/>
      <c r="IKW30" s="31"/>
      <c r="IKX30" s="31"/>
      <c r="IKY30" s="31"/>
      <c r="IKZ30" s="31"/>
      <c r="ILA30" s="31"/>
      <c r="ILB30" s="31"/>
      <c r="ILC30" s="31"/>
      <c r="ILD30" s="31"/>
      <c r="ILE30" s="31"/>
      <c r="ILF30" s="31"/>
      <c r="ILG30" s="31"/>
      <c r="ILH30" s="31"/>
      <c r="ILI30" s="31"/>
      <c r="ILJ30" s="31"/>
      <c r="ILK30" s="31"/>
      <c r="ILL30" s="31"/>
      <c r="ILM30" s="31"/>
      <c r="ILN30" s="31"/>
      <c r="ILO30" s="31"/>
      <c r="ILP30" s="31"/>
      <c r="ILQ30" s="31"/>
      <c r="ILR30" s="31"/>
      <c r="ILS30" s="31"/>
      <c r="ILT30" s="31"/>
      <c r="ILU30" s="31"/>
      <c r="ILV30" s="31"/>
      <c r="ILW30" s="31"/>
      <c r="ILX30" s="31"/>
      <c r="ILY30" s="31"/>
      <c r="ILZ30" s="31"/>
      <c r="IMA30" s="31"/>
      <c r="IMB30" s="31"/>
      <c r="IMC30" s="31"/>
      <c r="IMD30" s="31"/>
      <c r="IME30" s="31"/>
      <c r="IMF30" s="31"/>
      <c r="IMG30" s="31"/>
      <c r="IMH30" s="31"/>
      <c r="IMI30" s="31"/>
      <c r="IMJ30" s="31"/>
      <c r="IMK30" s="31"/>
      <c r="IML30" s="31"/>
      <c r="IMM30" s="31"/>
      <c r="IMN30" s="31"/>
      <c r="IMO30" s="31"/>
      <c r="IMP30" s="31"/>
      <c r="IMQ30" s="31"/>
      <c r="IMR30" s="31"/>
      <c r="IMS30" s="31"/>
      <c r="IMT30" s="31"/>
      <c r="IMU30" s="31"/>
      <c r="IMV30" s="31"/>
      <c r="IMW30" s="31"/>
      <c r="IMX30" s="31"/>
      <c r="IMY30" s="31"/>
      <c r="IMZ30" s="31"/>
      <c r="INA30" s="31"/>
      <c r="INB30" s="31"/>
      <c r="INC30" s="31"/>
      <c r="IND30" s="31"/>
      <c r="INE30" s="31"/>
      <c r="INF30" s="31"/>
      <c r="ING30" s="31"/>
      <c r="INH30" s="31"/>
      <c r="INI30" s="31"/>
      <c r="INJ30" s="31"/>
      <c r="INK30" s="31"/>
      <c r="INL30" s="31"/>
      <c r="INM30" s="31"/>
      <c r="INN30" s="31"/>
      <c r="INO30" s="31"/>
      <c r="INP30" s="31"/>
      <c r="INQ30" s="31"/>
      <c r="INR30" s="31"/>
      <c r="INS30" s="31"/>
      <c r="INT30" s="31"/>
      <c r="INU30" s="31"/>
      <c r="INV30" s="31"/>
      <c r="INW30" s="31"/>
      <c r="INX30" s="31"/>
      <c r="INY30" s="31"/>
      <c r="INZ30" s="31"/>
      <c r="IOA30" s="31"/>
      <c r="IOB30" s="31"/>
      <c r="IOC30" s="31"/>
      <c r="IOD30" s="31"/>
      <c r="IOE30" s="31"/>
      <c r="IOF30" s="31"/>
      <c r="IOG30" s="31"/>
      <c r="IOH30" s="31"/>
      <c r="IOI30" s="31"/>
      <c r="IOJ30" s="31"/>
      <c r="IOK30" s="31"/>
      <c r="IOL30" s="31"/>
      <c r="IOM30" s="31"/>
      <c r="ION30" s="31"/>
      <c r="IOO30" s="31"/>
      <c r="IOP30" s="31"/>
      <c r="IOQ30" s="31"/>
      <c r="IOR30" s="31"/>
      <c r="IOS30" s="31"/>
      <c r="IOT30" s="31"/>
      <c r="IOU30" s="31"/>
      <c r="IOV30" s="31"/>
      <c r="IOW30" s="31"/>
      <c r="IOX30" s="31"/>
      <c r="IOY30" s="31"/>
      <c r="IOZ30" s="31"/>
      <c r="IPA30" s="31"/>
      <c r="IPB30" s="31"/>
      <c r="IPC30" s="31"/>
      <c r="IPD30" s="31"/>
      <c r="IPE30" s="31"/>
      <c r="IPF30" s="31"/>
      <c r="IPG30" s="31"/>
      <c r="IPH30" s="31"/>
      <c r="IPI30" s="31"/>
      <c r="IPJ30" s="31"/>
      <c r="IPK30" s="31"/>
      <c r="IPL30" s="31"/>
      <c r="IPM30" s="31"/>
      <c r="IPN30" s="31"/>
      <c r="IPO30" s="31"/>
      <c r="IPP30" s="31"/>
      <c r="IPQ30" s="31"/>
      <c r="IPR30" s="31"/>
      <c r="IPS30" s="31"/>
      <c r="IPT30" s="31"/>
      <c r="IPU30" s="31"/>
      <c r="IPV30" s="31"/>
      <c r="IPW30" s="31"/>
      <c r="IPX30" s="31"/>
      <c r="IPY30" s="31"/>
      <c r="IPZ30" s="31"/>
      <c r="IQA30" s="31"/>
      <c r="IQB30" s="31"/>
      <c r="IQC30" s="31"/>
      <c r="IQD30" s="31"/>
      <c r="IQE30" s="31"/>
      <c r="IQF30" s="31"/>
      <c r="IQG30" s="31"/>
      <c r="IQH30" s="31"/>
      <c r="IQI30" s="31"/>
      <c r="IQJ30" s="31"/>
      <c r="IQK30" s="31"/>
      <c r="IQL30" s="31"/>
      <c r="IQM30" s="31"/>
      <c r="IQN30" s="31"/>
      <c r="IQO30" s="31"/>
      <c r="IQP30" s="31"/>
      <c r="IQQ30" s="31"/>
      <c r="IQR30" s="31"/>
      <c r="IQS30" s="31"/>
      <c r="IQT30" s="31"/>
      <c r="IQU30" s="31"/>
      <c r="IQV30" s="31"/>
      <c r="IQW30" s="31"/>
      <c r="IQX30" s="31"/>
      <c r="IQY30" s="31"/>
      <c r="IQZ30" s="31"/>
      <c r="IRA30" s="31"/>
      <c r="IRB30" s="31"/>
      <c r="IRC30" s="31"/>
      <c r="IRD30" s="31"/>
      <c r="IRE30" s="31"/>
      <c r="IRF30" s="31"/>
      <c r="IRG30" s="31"/>
      <c r="IRH30" s="31"/>
      <c r="IRI30" s="31"/>
      <c r="IRJ30" s="31"/>
      <c r="IRK30" s="31"/>
      <c r="IRL30" s="31"/>
      <c r="IRM30" s="31"/>
      <c r="IRN30" s="31"/>
      <c r="IRO30" s="31"/>
      <c r="IRP30" s="31"/>
      <c r="IRQ30" s="31"/>
      <c r="IRR30" s="31"/>
      <c r="IRS30" s="31"/>
      <c r="IRT30" s="31"/>
      <c r="IRU30" s="31"/>
      <c r="IRV30" s="31"/>
      <c r="IRW30" s="31"/>
      <c r="IRX30" s="31"/>
      <c r="IRY30" s="31"/>
      <c r="IRZ30" s="31"/>
      <c r="ISA30" s="31"/>
      <c r="ISB30" s="31"/>
      <c r="ISC30" s="31"/>
      <c r="ISD30" s="31"/>
      <c r="ISE30" s="31"/>
      <c r="ISF30" s="31"/>
      <c r="ISG30" s="31"/>
      <c r="ISH30" s="31"/>
      <c r="ISI30" s="31"/>
      <c r="ISJ30" s="31"/>
      <c r="ISK30" s="31"/>
      <c r="ISL30" s="31"/>
      <c r="ISM30" s="31"/>
      <c r="ISN30" s="31"/>
      <c r="ISO30" s="31"/>
      <c r="ISP30" s="31"/>
      <c r="ISQ30" s="31"/>
      <c r="ISR30" s="31"/>
      <c r="ISS30" s="31"/>
      <c r="IST30" s="31"/>
      <c r="ISU30" s="31"/>
      <c r="ISV30" s="31"/>
      <c r="ISW30" s="31"/>
      <c r="ISX30" s="31"/>
      <c r="ISY30" s="31"/>
      <c r="ISZ30" s="31"/>
      <c r="ITA30" s="31"/>
      <c r="ITB30" s="31"/>
      <c r="ITC30" s="31"/>
      <c r="ITD30" s="31"/>
      <c r="ITE30" s="31"/>
      <c r="ITF30" s="31"/>
      <c r="ITG30" s="31"/>
      <c r="ITH30" s="31"/>
      <c r="ITI30" s="31"/>
      <c r="ITJ30" s="31"/>
      <c r="ITK30" s="31"/>
      <c r="ITL30" s="31"/>
      <c r="ITM30" s="31"/>
      <c r="ITN30" s="31"/>
      <c r="ITO30" s="31"/>
      <c r="ITP30" s="31"/>
      <c r="ITQ30" s="31"/>
      <c r="ITR30" s="31"/>
      <c r="ITS30" s="31"/>
      <c r="ITT30" s="31"/>
      <c r="ITU30" s="31"/>
      <c r="ITV30" s="31"/>
      <c r="ITW30" s="31"/>
      <c r="ITX30" s="31"/>
      <c r="ITY30" s="31"/>
      <c r="ITZ30" s="31"/>
      <c r="IUA30" s="31"/>
      <c r="IUB30" s="31"/>
      <c r="IUC30" s="31"/>
      <c r="IUD30" s="31"/>
      <c r="IUE30" s="31"/>
      <c r="IUF30" s="31"/>
      <c r="IUG30" s="31"/>
      <c r="IUH30" s="31"/>
      <c r="IUI30" s="31"/>
      <c r="IUJ30" s="31"/>
      <c r="IUK30" s="31"/>
      <c r="IUL30" s="31"/>
      <c r="IUM30" s="31"/>
      <c r="IUN30" s="31"/>
      <c r="IUO30" s="31"/>
      <c r="IUP30" s="31"/>
      <c r="IUQ30" s="31"/>
      <c r="IUR30" s="31"/>
      <c r="IUS30" s="31"/>
      <c r="IUT30" s="31"/>
      <c r="IUU30" s="31"/>
      <c r="IUV30" s="31"/>
      <c r="IUW30" s="31"/>
      <c r="IUX30" s="31"/>
      <c r="IUY30" s="31"/>
      <c r="IUZ30" s="31"/>
      <c r="IVA30" s="31"/>
      <c r="IVB30" s="31"/>
      <c r="IVC30" s="31"/>
      <c r="IVD30" s="31"/>
      <c r="IVE30" s="31"/>
      <c r="IVF30" s="31"/>
      <c r="IVG30" s="31"/>
      <c r="IVH30" s="31"/>
      <c r="IVI30" s="31"/>
      <c r="IVJ30" s="31"/>
      <c r="IVK30" s="31"/>
      <c r="IVL30" s="31"/>
      <c r="IVM30" s="31"/>
      <c r="IVN30" s="31"/>
      <c r="IVO30" s="31"/>
      <c r="IVP30" s="31"/>
      <c r="IVQ30" s="31"/>
      <c r="IVR30" s="31"/>
      <c r="IVS30" s="31"/>
      <c r="IVT30" s="31"/>
      <c r="IVU30" s="31"/>
      <c r="IVV30" s="31"/>
      <c r="IVW30" s="31"/>
      <c r="IVX30" s="31"/>
      <c r="IVY30" s="31"/>
      <c r="IVZ30" s="31"/>
      <c r="IWA30" s="31"/>
      <c r="IWB30" s="31"/>
      <c r="IWC30" s="31"/>
      <c r="IWD30" s="31"/>
      <c r="IWE30" s="31"/>
      <c r="IWF30" s="31"/>
      <c r="IWG30" s="31"/>
      <c r="IWH30" s="31"/>
      <c r="IWI30" s="31"/>
      <c r="IWJ30" s="31"/>
      <c r="IWK30" s="31"/>
      <c r="IWL30" s="31"/>
      <c r="IWM30" s="31"/>
      <c r="IWN30" s="31"/>
      <c r="IWO30" s="31"/>
      <c r="IWP30" s="31"/>
      <c r="IWQ30" s="31"/>
      <c r="IWR30" s="31"/>
      <c r="IWS30" s="31"/>
      <c r="IWT30" s="31"/>
      <c r="IWU30" s="31"/>
      <c r="IWV30" s="31"/>
      <c r="IWW30" s="31"/>
      <c r="IWX30" s="31"/>
      <c r="IWY30" s="31"/>
      <c r="IWZ30" s="31"/>
      <c r="IXA30" s="31"/>
      <c r="IXB30" s="31"/>
      <c r="IXC30" s="31"/>
      <c r="IXD30" s="31"/>
      <c r="IXE30" s="31"/>
      <c r="IXF30" s="31"/>
      <c r="IXG30" s="31"/>
      <c r="IXH30" s="31"/>
      <c r="IXI30" s="31"/>
      <c r="IXJ30" s="31"/>
      <c r="IXK30" s="31"/>
      <c r="IXL30" s="31"/>
      <c r="IXM30" s="31"/>
      <c r="IXN30" s="31"/>
      <c r="IXO30" s="31"/>
      <c r="IXP30" s="31"/>
      <c r="IXQ30" s="31"/>
      <c r="IXR30" s="31"/>
      <c r="IXS30" s="31"/>
      <c r="IXT30" s="31"/>
      <c r="IXU30" s="31"/>
      <c r="IXV30" s="31"/>
      <c r="IXW30" s="31"/>
      <c r="IXX30" s="31"/>
      <c r="IXY30" s="31"/>
      <c r="IXZ30" s="31"/>
      <c r="IYA30" s="31"/>
      <c r="IYB30" s="31"/>
      <c r="IYC30" s="31"/>
      <c r="IYD30" s="31"/>
      <c r="IYE30" s="31"/>
      <c r="IYF30" s="31"/>
      <c r="IYG30" s="31"/>
      <c r="IYH30" s="31"/>
      <c r="IYI30" s="31"/>
      <c r="IYJ30" s="31"/>
      <c r="IYK30" s="31"/>
      <c r="IYL30" s="31"/>
      <c r="IYM30" s="31"/>
      <c r="IYN30" s="31"/>
      <c r="IYO30" s="31"/>
      <c r="IYP30" s="31"/>
      <c r="IYQ30" s="31"/>
      <c r="IYR30" s="31"/>
      <c r="IYS30" s="31"/>
      <c r="IYT30" s="31"/>
      <c r="IYU30" s="31"/>
      <c r="IYV30" s="31"/>
      <c r="IYW30" s="31"/>
      <c r="IYX30" s="31"/>
      <c r="IYY30" s="31"/>
      <c r="IYZ30" s="31"/>
      <c r="IZA30" s="31"/>
      <c r="IZB30" s="31"/>
      <c r="IZC30" s="31"/>
      <c r="IZD30" s="31"/>
      <c r="IZE30" s="31"/>
      <c r="IZF30" s="31"/>
      <c r="IZG30" s="31"/>
      <c r="IZH30" s="31"/>
      <c r="IZI30" s="31"/>
      <c r="IZJ30" s="31"/>
      <c r="IZK30" s="31"/>
      <c r="IZL30" s="31"/>
      <c r="IZM30" s="31"/>
      <c r="IZN30" s="31"/>
      <c r="IZO30" s="31"/>
      <c r="IZP30" s="31"/>
      <c r="IZQ30" s="31"/>
      <c r="IZR30" s="31"/>
      <c r="IZS30" s="31"/>
      <c r="IZT30" s="31"/>
      <c r="IZU30" s="31"/>
      <c r="IZV30" s="31"/>
      <c r="IZW30" s="31"/>
      <c r="IZX30" s="31"/>
      <c r="IZY30" s="31"/>
      <c r="IZZ30" s="31"/>
      <c r="JAA30" s="31"/>
      <c r="JAB30" s="31"/>
      <c r="JAC30" s="31"/>
      <c r="JAD30" s="31"/>
      <c r="JAE30" s="31"/>
      <c r="JAF30" s="31"/>
      <c r="JAG30" s="31"/>
      <c r="JAH30" s="31"/>
      <c r="JAI30" s="31"/>
      <c r="JAJ30" s="31"/>
      <c r="JAK30" s="31"/>
      <c r="JAL30" s="31"/>
      <c r="JAM30" s="31"/>
      <c r="JAN30" s="31"/>
      <c r="JAO30" s="31"/>
      <c r="JAP30" s="31"/>
      <c r="JAQ30" s="31"/>
      <c r="JAR30" s="31"/>
      <c r="JAS30" s="31"/>
      <c r="JAT30" s="31"/>
      <c r="JAU30" s="31"/>
      <c r="JAV30" s="31"/>
      <c r="JAW30" s="31"/>
      <c r="JAX30" s="31"/>
      <c r="JAY30" s="31"/>
      <c r="JAZ30" s="31"/>
      <c r="JBA30" s="31"/>
      <c r="JBB30" s="31"/>
      <c r="JBC30" s="31"/>
      <c r="JBD30" s="31"/>
      <c r="JBE30" s="31"/>
      <c r="JBF30" s="31"/>
      <c r="JBG30" s="31"/>
      <c r="JBH30" s="31"/>
      <c r="JBI30" s="31"/>
      <c r="JBJ30" s="31"/>
      <c r="JBK30" s="31"/>
      <c r="JBL30" s="31"/>
      <c r="JBM30" s="31"/>
      <c r="JBN30" s="31"/>
      <c r="JBO30" s="31"/>
      <c r="JBP30" s="31"/>
      <c r="JBQ30" s="31"/>
      <c r="JBR30" s="31"/>
      <c r="JBS30" s="31"/>
      <c r="JBT30" s="31"/>
      <c r="JBU30" s="31"/>
      <c r="JBV30" s="31"/>
      <c r="JBW30" s="31"/>
      <c r="JBX30" s="31"/>
      <c r="JBY30" s="31"/>
      <c r="JBZ30" s="31"/>
      <c r="JCA30" s="31"/>
      <c r="JCB30" s="31"/>
      <c r="JCC30" s="31"/>
      <c r="JCD30" s="31"/>
      <c r="JCE30" s="31"/>
      <c r="JCF30" s="31"/>
      <c r="JCG30" s="31"/>
      <c r="JCH30" s="31"/>
      <c r="JCI30" s="31"/>
      <c r="JCJ30" s="31"/>
      <c r="JCK30" s="31"/>
      <c r="JCL30" s="31"/>
      <c r="JCM30" s="31"/>
      <c r="JCN30" s="31"/>
      <c r="JCO30" s="31"/>
      <c r="JCP30" s="31"/>
      <c r="JCQ30" s="31"/>
      <c r="JCR30" s="31"/>
      <c r="JCS30" s="31"/>
      <c r="JCT30" s="31"/>
      <c r="JCU30" s="31"/>
      <c r="JCV30" s="31"/>
      <c r="JCW30" s="31"/>
      <c r="JCX30" s="31"/>
      <c r="JCY30" s="31"/>
      <c r="JCZ30" s="31"/>
      <c r="JDA30" s="31"/>
      <c r="JDB30" s="31"/>
      <c r="JDC30" s="31"/>
      <c r="JDD30" s="31"/>
      <c r="JDE30" s="31"/>
      <c r="JDF30" s="31"/>
      <c r="JDG30" s="31"/>
      <c r="JDH30" s="31"/>
      <c r="JDI30" s="31"/>
      <c r="JDJ30" s="31"/>
      <c r="JDK30" s="31"/>
      <c r="JDL30" s="31"/>
      <c r="JDM30" s="31"/>
      <c r="JDN30" s="31"/>
      <c r="JDO30" s="31"/>
      <c r="JDP30" s="31"/>
      <c r="JDQ30" s="31"/>
      <c r="JDR30" s="31"/>
      <c r="JDS30" s="31"/>
      <c r="JDT30" s="31"/>
      <c r="JDU30" s="31"/>
      <c r="JDV30" s="31"/>
      <c r="JDW30" s="31"/>
      <c r="JDX30" s="31"/>
      <c r="JDY30" s="31"/>
      <c r="JDZ30" s="31"/>
      <c r="JEA30" s="31"/>
      <c r="JEB30" s="31"/>
      <c r="JEC30" s="31"/>
      <c r="JED30" s="31"/>
      <c r="JEE30" s="31"/>
      <c r="JEF30" s="31"/>
      <c r="JEG30" s="31"/>
      <c r="JEH30" s="31"/>
      <c r="JEI30" s="31"/>
      <c r="JEJ30" s="31"/>
      <c r="JEK30" s="31"/>
      <c r="JEL30" s="31"/>
      <c r="JEM30" s="31"/>
      <c r="JEN30" s="31"/>
      <c r="JEO30" s="31"/>
      <c r="JEP30" s="31"/>
      <c r="JEQ30" s="31"/>
      <c r="JER30" s="31"/>
      <c r="JES30" s="31"/>
      <c r="JET30" s="31"/>
      <c r="JEU30" s="31"/>
      <c r="JEV30" s="31"/>
      <c r="JEW30" s="31"/>
      <c r="JEX30" s="31"/>
      <c r="JEY30" s="31"/>
      <c r="JEZ30" s="31"/>
      <c r="JFA30" s="31"/>
      <c r="JFB30" s="31"/>
      <c r="JFC30" s="31"/>
      <c r="JFD30" s="31"/>
      <c r="JFE30" s="31"/>
      <c r="JFF30" s="31"/>
      <c r="JFG30" s="31"/>
      <c r="JFH30" s="31"/>
      <c r="JFI30" s="31"/>
      <c r="JFJ30" s="31"/>
      <c r="JFK30" s="31"/>
      <c r="JFL30" s="31"/>
      <c r="JFM30" s="31"/>
      <c r="JFN30" s="31"/>
      <c r="JFO30" s="31"/>
      <c r="JFP30" s="31"/>
      <c r="JFQ30" s="31"/>
      <c r="JFR30" s="31"/>
      <c r="JFS30" s="31"/>
      <c r="JFT30" s="31"/>
      <c r="JFU30" s="31"/>
      <c r="JFV30" s="31"/>
      <c r="JFW30" s="31"/>
      <c r="JFX30" s="31"/>
      <c r="JFY30" s="31"/>
      <c r="JFZ30" s="31"/>
      <c r="JGA30" s="31"/>
      <c r="JGB30" s="31"/>
      <c r="JGC30" s="31"/>
      <c r="JGD30" s="31"/>
      <c r="JGE30" s="31"/>
      <c r="JGF30" s="31"/>
      <c r="JGG30" s="31"/>
      <c r="JGH30" s="31"/>
      <c r="JGI30" s="31"/>
      <c r="JGJ30" s="31"/>
      <c r="JGK30" s="31"/>
      <c r="JGL30" s="31"/>
      <c r="JGM30" s="31"/>
      <c r="JGN30" s="31"/>
      <c r="JGO30" s="31"/>
      <c r="JGP30" s="31"/>
      <c r="JGQ30" s="31"/>
      <c r="JGR30" s="31"/>
      <c r="JGS30" s="31"/>
      <c r="JGT30" s="31"/>
      <c r="JGU30" s="31"/>
      <c r="JGV30" s="31"/>
      <c r="JGW30" s="31"/>
      <c r="JGX30" s="31"/>
      <c r="JGY30" s="31"/>
      <c r="JGZ30" s="31"/>
      <c r="JHA30" s="31"/>
      <c r="JHB30" s="31"/>
      <c r="JHC30" s="31"/>
      <c r="JHD30" s="31"/>
      <c r="JHE30" s="31"/>
      <c r="JHF30" s="31"/>
      <c r="JHG30" s="31"/>
      <c r="JHH30" s="31"/>
      <c r="JHI30" s="31"/>
      <c r="JHJ30" s="31"/>
      <c r="JHK30" s="31"/>
      <c r="JHL30" s="31"/>
      <c r="JHM30" s="31"/>
      <c r="JHN30" s="31"/>
      <c r="JHO30" s="31"/>
      <c r="JHP30" s="31"/>
      <c r="JHQ30" s="31"/>
      <c r="JHR30" s="31"/>
      <c r="JHS30" s="31"/>
      <c r="JHT30" s="31"/>
      <c r="JHU30" s="31"/>
      <c r="JHV30" s="31"/>
      <c r="JHW30" s="31"/>
      <c r="JHX30" s="31"/>
      <c r="JHY30" s="31"/>
      <c r="JHZ30" s="31"/>
      <c r="JIA30" s="31"/>
      <c r="JIB30" s="31"/>
      <c r="JIC30" s="31"/>
      <c r="JID30" s="31"/>
      <c r="JIE30" s="31"/>
      <c r="JIF30" s="31"/>
      <c r="JIG30" s="31"/>
      <c r="JIH30" s="31"/>
      <c r="JII30" s="31"/>
      <c r="JIJ30" s="31"/>
      <c r="JIK30" s="31"/>
      <c r="JIL30" s="31"/>
      <c r="JIM30" s="31"/>
      <c r="JIN30" s="31"/>
      <c r="JIO30" s="31"/>
      <c r="JIP30" s="31"/>
      <c r="JIQ30" s="31"/>
      <c r="JIR30" s="31"/>
      <c r="JIS30" s="31"/>
      <c r="JIT30" s="31"/>
      <c r="JIU30" s="31"/>
      <c r="JIV30" s="31"/>
      <c r="JIW30" s="31"/>
      <c r="JIX30" s="31"/>
      <c r="JIY30" s="31"/>
      <c r="JIZ30" s="31"/>
      <c r="JJA30" s="31"/>
      <c r="JJB30" s="31"/>
      <c r="JJC30" s="31"/>
      <c r="JJD30" s="31"/>
      <c r="JJE30" s="31"/>
      <c r="JJF30" s="31"/>
      <c r="JJG30" s="31"/>
      <c r="JJH30" s="31"/>
      <c r="JJI30" s="31"/>
      <c r="JJJ30" s="31"/>
      <c r="JJK30" s="31"/>
      <c r="JJL30" s="31"/>
      <c r="JJM30" s="31"/>
      <c r="JJN30" s="31"/>
      <c r="JJO30" s="31"/>
      <c r="JJP30" s="31"/>
      <c r="JJQ30" s="31"/>
      <c r="JJR30" s="31"/>
      <c r="JJS30" s="31"/>
      <c r="JJT30" s="31"/>
      <c r="JJU30" s="31"/>
      <c r="JJV30" s="31"/>
      <c r="JJW30" s="31"/>
      <c r="JJX30" s="31"/>
      <c r="JJY30" s="31"/>
      <c r="JJZ30" s="31"/>
      <c r="JKA30" s="31"/>
      <c r="JKB30" s="31"/>
      <c r="JKC30" s="31"/>
      <c r="JKD30" s="31"/>
      <c r="JKE30" s="31"/>
      <c r="JKF30" s="31"/>
      <c r="JKG30" s="31"/>
      <c r="JKH30" s="31"/>
      <c r="JKI30" s="31"/>
      <c r="JKJ30" s="31"/>
      <c r="JKK30" s="31"/>
      <c r="JKL30" s="31"/>
      <c r="JKM30" s="31"/>
      <c r="JKN30" s="31"/>
      <c r="JKO30" s="31"/>
      <c r="JKP30" s="31"/>
      <c r="JKQ30" s="31"/>
      <c r="JKR30" s="31"/>
      <c r="JKS30" s="31"/>
      <c r="JKT30" s="31"/>
      <c r="JKU30" s="31"/>
      <c r="JKV30" s="31"/>
      <c r="JKW30" s="31"/>
      <c r="JKX30" s="31"/>
      <c r="JKY30" s="31"/>
      <c r="JKZ30" s="31"/>
      <c r="JLA30" s="31"/>
      <c r="JLB30" s="31"/>
      <c r="JLC30" s="31"/>
      <c r="JLD30" s="31"/>
      <c r="JLE30" s="31"/>
      <c r="JLF30" s="31"/>
      <c r="JLG30" s="31"/>
      <c r="JLH30" s="31"/>
      <c r="JLI30" s="31"/>
      <c r="JLJ30" s="31"/>
      <c r="JLK30" s="31"/>
      <c r="JLL30" s="31"/>
      <c r="JLM30" s="31"/>
      <c r="JLN30" s="31"/>
      <c r="JLO30" s="31"/>
      <c r="JLP30" s="31"/>
      <c r="JLQ30" s="31"/>
      <c r="JLR30" s="31"/>
      <c r="JLS30" s="31"/>
      <c r="JLT30" s="31"/>
      <c r="JLU30" s="31"/>
      <c r="JLV30" s="31"/>
      <c r="JLW30" s="31"/>
      <c r="JLX30" s="31"/>
      <c r="JLY30" s="31"/>
      <c r="JLZ30" s="31"/>
      <c r="JMA30" s="31"/>
      <c r="JMB30" s="31"/>
      <c r="JMC30" s="31"/>
      <c r="JMD30" s="31"/>
      <c r="JME30" s="31"/>
      <c r="JMF30" s="31"/>
      <c r="JMG30" s="31"/>
      <c r="JMH30" s="31"/>
      <c r="JMI30" s="31"/>
      <c r="JMJ30" s="31"/>
      <c r="JMK30" s="31"/>
      <c r="JML30" s="31"/>
      <c r="JMM30" s="31"/>
      <c r="JMN30" s="31"/>
      <c r="JMO30" s="31"/>
      <c r="JMP30" s="31"/>
      <c r="JMQ30" s="31"/>
      <c r="JMR30" s="31"/>
      <c r="JMS30" s="31"/>
      <c r="JMT30" s="31"/>
      <c r="JMU30" s="31"/>
      <c r="JMV30" s="31"/>
      <c r="JMW30" s="31"/>
      <c r="JMX30" s="31"/>
      <c r="JMY30" s="31"/>
      <c r="JMZ30" s="31"/>
      <c r="JNA30" s="31"/>
      <c r="JNB30" s="31"/>
      <c r="JNC30" s="31"/>
      <c r="JND30" s="31"/>
      <c r="JNE30" s="31"/>
      <c r="JNF30" s="31"/>
      <c r="JNG30" s="31"/>
      <c r="JNH30" s="31"/>
      <c r="JNI30" s="31"/>
      <c r="JNJ30" s="31"/>
      <c r="JNK30" s="31"/>
      <c r="JNL30" s="31"/>
      <c r="JNM30" s="31"/>
      <c r="JNN30" s="31"/>
      <c r="JNO30" s="31"/>
      <c r="JNP30" s="31"/>
      <c r="JNQ30" s="31"/>
      <c r="JNR30" s="31"/>
      <c r="JNS30" s="31"/>
      <c r="JNT30" s="31"/>
      <c r="JNU30" s="31"/>
      <c r="JNV30" s="31"/>
      <c r="JNW30" s="31"/>
      <c r="JNX30" s="31"/>
      <c r="JNY30" s="31"/>
      <c r="JNZ30" s="31"/>
      <c r="JOA30" s="31"/>
      <c r="JOB30" s="31"/>
      <c r="JOC30" s="31"/>
      <c r="JOD30" s="31"/>
      <c r="JOE30" s="31"/>
      <c r="JOF30" s="31"/>
      <c r="JOG30" s="31"/>
      <c r="JOH30" s="31"/>
      <c r="JOI30" s="31"/>
      <c r="JOJ30" s="31"/>
      <c r="JOK30" s="31"/>
      <c r="JOL30" s="31"/>
      <c r="JOM30" s="31"/>
      <c r="JON30" s="31"/>
      <c r="JOO30" s="31"/>
      <c r="JOP30" s="31"/>
      <c r="JOQ30" s="31"/>
      <c r="JOR30" s="31"/>
      <c r="JOS30" s="31"/>
      <c r="JOT30" s="31"/>
      <c r="JOU30" s="31"/>
      <c r="JOV30" s="31"/>
      <c r="JOW30" s="31"/>
      <c r="JOX30" s="31"/>
      <c r="JOY30" s="31"/>
      <c r="JOZ30" s="31"/>
      <c r="JPA30" s="31"/>
      <c r="JPB30" s="31"/>
      <c r="JPC30" s="31"/>
      <c r="JPD30" s="31"/>
      <c r="JPE30" s="31"/>
      <c r="JPF30" s="31"/>
      <c r="JPG30" s="31"/>
      <c r="JPH30" s="31"/>
      <c r="JPI30" s="31"/>
      <c r="JPJ30" s="31"/>
      <c r="JPK30" s="31"/>
      <c r="JPL30" s="31"/>
      <c r="JPM30" s="31"/>
      <c r="JPN30" s="31"/>
      <c r="JPO30" s="31"/>
      <c r="JPP30" s="31"/>
      <c r="JPQ30" s="31"/>
      <c r="JPR30" s="31"/>
      <c r="JPS30" s="31"/>
      <c r="JPT30" s="31"/>
      <c r="JPU30" s="31"/>
      <c r="JPV30" s="31"/>
      <c r="JPW30" s="31"/>
      <c r="JPX30" s="31"/>
      <c r="JPY30" s="31"/>
      <c r="JPZ30" s="31"/>
      <c r="JQA30" s="31"/>
      <c r="JQB30" s="31"/>
      <c r="JQC30" s="31"/>
      <c r="JQD30" s="31"/>
      <c r="JQE30" s="31"/>
      <c r="JQF30" s="31"/>
      <c r="JQG30" s="31"/>
      <c r="JQH30" s="31"/>
      <c r="JQI30" s="31"/>
      <c r="JQJ30" s="31"/>
      <c r="JQK30" s="31"/>
      <c r="JQL30" s="31"/>
      <c r="JQM30" s="31"/>
      <c r="JQN30" s="31"/>
      <c r="JQO30" s="31"/>
      <c r="JQP30" s="31"/>
      <c r="JQQ30" s="31"/>
      <c r="JQR30" s="31"/>
      <c r="JQS30" s="31"/>
      <c r="JQT30" s="31"/>
      <c r="JQU30" s="31"/>
      <c r="JQV30" s="31"/>
      <c r="JQW30" s="31"/>
      <c r="JQX30" s="31"/>
      <c r="JQY30" s="31"/>
      <c r="JQZ30" s="31"/>
      <c r="JRA30" s="31"/>
      <c r="JRB30" s="31"/>
      <c r="JRC30" s="31"/>
      <c r="JRD30" s="31"/>
      <c r="JRE30" s="31"/>
      <c r="JRF30" s="31"/>
      <c r="JRG30" s="31"/>
      <c r="JRH30" s="31"/>
      <c r="JRI30" s="31"/>
      <c r="JRJ30" s="31"/>
      <c r="JRK30" s="31"/>
      <c r="JRL30" s="31"/>
      <c r="JRM30" s="31"/>
      <c r="JRN30" s="31"/>
      <c r="JRO30" s="31"/>
      <c r="JRP30" s="31"/>
      <c r="JRQ30" s="31"/>
      <c r="JRR30" s="31"/>
      <c r="JRS30" s="31"/>
      <c r="JRT30" s="31"/>
      <c r="JRU30" s="31"/>
      <c r="JRV30" s="31"/>
      <c r="JRW30" s="31"/>
      <c r="JRX30" s="31"/>
      <c r="JRY30" s="31"/>
      <c r="JRZ30" s="31"/>
      <c r="JSA30" s="31"/>
      <c r="JSB30" s="31"/>
      <c r="JSC30" s="31"/>
      <c r="JSD30" s="31"/>
      <c r="JSE30" s="31"/>
      <c r="JSF30" s="31"/>
      <c r="JSG30" s="31"/>
      <c r="JSH30" s="31"/>
      <c r="JSI30" s="31"/>
      <c r="JSJ30" s="31"/>
      <c r="JSK30" s="31"/>
      <c r="JSL30" s="31"/>
      <c r="JSM30" s="31"/>
      <c r="JSN30" s="31"/>
      <c r="JSO30" s="31"/>
      <c r="JSP30" s="31"/>
      <c r="JSQ30" s="31"/>
      <c r="JSR30" s="31"/>
      <c r="JSS30" s="31"/>
      <c r="JST30" s="31"/>
      <c r="JSU30" s="31"/>
      <c r="JSV30" s="31"/>
      <c r="JSW30" s="31"/>
      <c r="JSX30" s="31"/>
      <c r="JSY30" s="31"/>
      <c r="JSZ30" s="31"/>
      <c r="JTA30" s="31"/>
      <c r="JTB30" s="31"/>
      <c r="JTC30" s="31"/>
      <c r="JTD30" s="31"/>
      <c r="JTE30" s="31"/>
      <c r="JTF30" s="31"/>
      <c r="JTG30" s="31"/>
      <c r="JTH30" s="31"/>
      <c r="JTI30" s="31"/>
      <c r="JTJ30" s="31"/>
      <c r="JTK30" s="31"/>
      <c r="JTL30" s="31"/>
      <c r="JTM30" s="31"/>
      <c r="JTN30" s="31"/>
      <c r="JTO30" s="31"/>
      <c r="JTP30" s="31"/>
      <c r="JTQ30" s="31"/>
      <c r="JTR30" s="31"/>
      <c r="JTS30" s="31"/>
      <c r="JTT30" s="31"/>
      <c r="JTU30" s="31"/>
      <c r="JTV30" s="31"/>
      <c r="JTW30" s="31"/>
      <c r="JTX30" s="31"/>
      <c r="JTY30" s="31"/>
      <c r="JTZ30" s="31"/>
      <c r="JUA30" s="31"/>
      <c r="JUB30" s="31"/>
      <c r="JUC30" s="31"/>
      <c r="JUD30" s="31"/>
      <c r="JUE30" s="31"/>
      <c r="JUF30" s="31"/>
      <c r="JUG30" s="31"/>
      <c r="JUH30" s="31"/>
      <c r="JUI30" s="31"/>
      <c r="JUJ30" s="31"/>
      <c r="JUK30" s="31"/>
      <c r="JUL30" s="31"/>
      <c r="JUM30" s="31"/>
      <c r="JUN30" s="31"/>
      <c r="JUO30" s="31"/>
      <c r="JUP30" s="31"/>
      <c r="JUQ30" s="31"/>
      <c r="JUR30" s="31"/>
      <c r="JUS30" s="31"/>
      <c r="JUT30" s="31"/>
      <c r="JUU30" s="31"/>
      <c r="JUV30" s="31"/>
      <c r="JUW30" s="31"/>
      <c r="JUX30" s="31"/>
      <c r="JUY30" s="31"/>
      <c r="JUZ30" s="31"/>
      <c r="JVA30" s="31"/>
      <c r="JVB30" s="31"/>
      <c r="JVC30" s="31"/>
      <c r="JVD30" s="31"/>
      <c r="JVE30" s="31"/>
      <c r="JVF30" s="31"/>
      <c r="JVG30" s="31"/>
      <c r="JVH30" s="31"/>
      <c r="JVI30" s="31"/>
      <c r="JVJ30" s="31"/>
      <c r="JVK30" s="31"/>
      <c r="JVL30" s="31"/>
      <c r="JVM30" s="31"/>
      <c r="JVN30" s="31"/>
      <c r="JVO30" s="31"/>
      <c r="JVP30" s="31"/>
      <c r="JVQ30" s="31"/>
      <c r="JVR30" s="31"/>
      <c r="JVS30" s="31"/>
      <c r="JVT30" s="31"/>
      <c r="JVU30" s="31"/>
      <c r="JVV30" s="31"/>
      <c r="JVW30" s="31"/>
      <c r="JVX30" s="31"/>
      <c r="JVY30" s="31"/>
      <c r="JVZ30" s="31"/>
      <c r="JWA30" s="31"/>
      <c r="JWB30" s="31"/>
      <c r="JWC30" s="31"/>
      <c r="JWD30" s="31"/>
      <c r="JWE30" s="31"/>
      <c r="JWF30" s="31"/>
      <c r="JWG30" s="31"/>
      <c r="JWH30" s="31"/>
      <c r="JWI30" s="31"/>
      <c r="JWJ30" s="31"/>
      <c r="JWK30" s="31"/>
      <c r="JWL30" s="31"/>
      <c r="JWM30" s="31"/>
      <c r="JWN30" s="31"/>
      <c r="JWO30" s="31"/>
      <c r="JWP30" s="31"/>
      <c r="JWQ30" s="31"/>
      <c r="JWR30" s="31"/>
      <c r="JWS30" s="31"/>
      <c r="JWT30" s="31"/>
      <c r="JWU30" s="31"/>
      <c r="JWV30" s="31"/>
      <c r="JWW30" s="31"/>
      <c r="JWX30" s="31"/>
      <c r="JWY30" s="31"/>
      <c r="JWZ30" s="31"/>
      <c r="JXA30" s="31"/>
      <c r="JXB30" s="31"/>
      <c r="JXC30" s="31"/>
      <c r="JXD30" s="31"/>
      <c r="JXE30" s="31"/>
      <c r="JXF30" s="31"/>
      <c r="JXG30" s="31"/>
      <c r="JXH30" s="31"/>
      <c r="JXI30" s="31"/>
      <c r="JXJ30" s="31"/>
      <c r="JXK30" s="31"/>
      <c r="JXL30" s="31"/>
      <c r="JXM30" s="31"/>
      <c r="JXN30" s="31"/>
      <c r="JXO30" s="31"/>
      <c r="JXP30" s="31"/>
      <c r="JXQ30" s="31"/>
      <c r="JXR30" s="31"/>
      <c r="JXS30" s="31"/>
      <c r="JXT30" s="31"/>
      <c r="JXU30" s="31"/>
      <c r="JXV30" s="31"/>
      <c r="JXW30" s="31"/>
      <c r="JXX30" s="31"/>
      <c r="JXY30" s="31"/>
      <c r="JXZ30" s="31"/>
      <c r="JYA30" s="31"/>
      <c r="JYB30" s="31"/>
      <c r="JYC30" s="31"/>
      <c r="JYD30" s="31"/>
      <c r="JYE30" s="31"/>
      <c r="JYF30" s="31"/>
      <c r="JYG30" s="31"/>
      <c r="JYH30" s="31"/>
      <c r="JYI30" s="31"/>
      <c r="JYJ30" s="31"/>
      <c r="JYK30" s="31"/>
      <c r="JYL30" s="31"/>
      <c r="JYM30" s="31"/>
      <c r="JYN30" s="31"/>
      <c r="JYO30" s="31"/>
      <c r="JYP30" s="31"/>
      <c r="JYQ30" s="31"/>
      <c r="JYR30" s="31"/>
      <c r="JYS30" s="31"/>
      <c r="JYT30" s="31"/>
      <c r="JYU30" s="31"/>
      <c r="JYV30" s="31"/>
      <c r="JYW30" s="31"/>
      <c r="JYX30" s="31"/>
      <c r="JYY30" s="31"/>
      <c r="JYZ30" s="31"/>
      <c r="JZA30" s="31"/>
      <c r="JZB30" s="31"/>
      <c r="JZC30" s="31"/>
      <c r="JZD30" s="31"/>
      <c r="JZE30" s="31"/>
      <c r="JZF30" s="31"/>
      <c r="JZG30" s="31"/>
      <c r="JZH30" s="31"/>
      <c r="JZI30" s="31"/>
      <c r="JZJ30" s="31"/>
      <c r="JZK30" s="31"/>
      <c r="JZL30" s="31"/>
      <c r="JZM30" s="31"/>
      <c r="JZN30" s="31"/>
      <c r="JZO30" s="31"/>
      <c r="JZP30" s="31"/>
      <c r="JZQ30" s="31"/>
      <c r="JZR30" s="31"/>
      <c r="JZS30" s="31"/>
      <c r="JZT30" s="31"/>
      <c r="JZU30" s="31"/>
      <c r="JZV30" s="31"/>
      <c r="JZW30" s="31"/>
      <c r="JZX30" s="31"/>
      <c r="JZY30" s="31"/>
      <c r="JZZ30" s="31"/>
      <c r="KAA30" s="31"/>
      <c r="KAB30" s="31"/>
      <c r="KAC30" s="31"/>
      <c r="KAD30" s="31"/>
      <c r="KAE30" s="31"/>
      <c r="KAF30" s="31"/>
      <c r="KAG30" s="31"/>
      <c r="KAH30" s="31"/>
      <c r="KAI30" s="31"/>
      <c r="KAJ30" s="31"/>
      <c r="KAK30" s="31"/>
      <c r="KAL30" s="31"/>
      <c r="KAM30" s="31"/>
      <c r="KAN30" s="31"/>
      <c r="KAO30" s="31"/>
      <c r="KAP30" s="31"/>
      <c r="KAQ30" s="31"/>
      <c r="KAR30" s="31"/>
      <c r="KAS30" s="31"/>
      <c r="KAT30" s="31"/>
      <c r="KAU30" s="31"/>
      <c r="KAV30" s="31"/>
      <c r="KAW30" s="31"/>
      <c r="KAX30" s="31"/>
      <c r="KAY30" s="31"/>
      <c r="KAZ30" s="31"/>
      <c r="KBA30" s="31"/>
      <c r="KBB30" s="31"/>
      <c r="KBC30" s="31"/>
      <c r="KBD30" s="31"/>
      <c r="KBE30" s="31"/>
      <c r="KBF30" s="31"/>
      <c r="KBG30" s="31"/>
      <c r="KBH30" s="31"/>
      <c r="KBI30" s="31"/>
      <c r="KBJ30" s="31"/>
      <c r="KBK30" s="31"/>
      <c r="KBL30" s="31"/>
      <c r="KBM30" s="31"/>
      <c r="KBN30" s="31"/>
      <c r="KBO30" s="31"/>
      <c r="KBP30" s="31"/>
      <c r="KBQ30" s="31"/>
      <c r="KBR30" s="31"/>
      <c r="KBS30" s="31"/>
      <c r="KBT30" s="31"/>
      <c r="KBU30" s="31"/>
      <c r="KBV30" s="31"/>
      <c r="KBW30" s="31"/>
      <c r="KBX30" s="31"/>
      <c r="KBY30" s="31"/>
      <c r="KBZ30" s="31"/>
      <c r="KCA30" s="31"/>
      <c r="KCB30" s="31"/>
      <c r="KCC30" s="31"/>
      <c r="KCD30" s="31"/>
      <c r="KCE30" s="31"/>
      <c r="KCF30" s="31"/>
      <c r="KCG30" s="31"/>
      <c r="KCH30" s="31"/>
      <c r="KCI30" s="31"/>
      <c r="KCJ30" s="31"/>
      <c r="KCK30" s="31"/>
      <c r="KCL30" s="31"/>
      <c r="KCM30" s="31"/>
      <c r="KCN30" s="31"/>
      <c r="KCO30" s="31"/>
      <c r="KCP30" s="31"/>
      <c r="KCQ30" s="31"/>
      <c r="KCR30" s="31"/>
      <c r="KCS30" s="31"/>
      <c r="KCT30" s="31"/>
      <c r="KCU30" s="31"/>
      <c r="KCV30" s="31"/>
      <c r="KCW30" s="31"/>
      <c r="KCX30" s="31"/>
      <c r="KCY30" s="31"/>
      <c r="KCZ30" s="31"/>
      <c r="KDA30" s="31"/>
      <c r="KDB30" s="31"/>
      <c r="KDC30" s="31"/>
      <c r="KDD30" s="31"/>
      <c r="KDE30" s="31"/>
      <c r="KDF30" s="31"/>
      <c r="KDG30" s="31"/>
      <c r="KDH30" s="31"/>
      <c r="KDI30" s="31"/>
      <c r="KDJ30" s="31"/>
      <c r="KDK30" s="31"/>
      <c r="KDL30" s="31"/>
      <c r="KDM30" s="31"/>
      <c r="KDN30" s="31"/>
      <c r="KDO30" s="31"/>
      <c r="KDP30" s="31"/>
      <c r="KDQ30" s="31"/>
      <c r="KDR30" s="31"/>
      <c r="KDS30" s="31"/>
      <c r="KDT30" s="31"/>
      <c r="KDU30" s="31"/>
      <c r="KDV30" s="31"/>
      <c r="KDW30" s="31"/>
      <c r="KDX30" s="31"/>
      <c r="KDY30" s="31"/>
      <c r="KDZ30" s="31"/>
      <c r="KEA30" s="31"/>
      <c r="KEB30" s="31"/>
      <c r="KEC30" s="31"/>
      <c r="KED30" s="31"/>
      <c r="KEE30" s="31"/>
      <c r="KEF30" s="31"/>
      <c r="KEG30" s="31"/>
      <c r="KEH30" s="31"/>
      <c r="KEI30" s="31"/>
      <c r="KEJ30" s="31"/>
      <c r="KEK30" s="31"/>
      <c r="KEL30" s="31"/>
      <c r="KEM30" s="31"/>
      <c r="KEN30" s="31"/>
      <c r="KEO30" s="31"/>
      <c r="KEP30" s="31"/>
      <c r="KEQ30" s="31"/>
      <c r="KER30" s="31"/>
      <c r="KES30" s="31"/>
      <c r="KET30" s="31"/>
      <c r="KEU30" s="31"/>
      <c r="KEV30" s="31"/>
      <c r="KEW30" s="31"/>
      <c r="KEX30" s="31"/>
      <c r="KEY30" s="31"/>
      <c r="KEZ30" s="31"/>
      <c r="KFA30" s="31"/>
      <c r="KFB30" s="31"/>
      <c r="KFC30" s="31"/>
      <c r="KFD30" s="31"/>
      <c r="KFE30" s="31"/>
      <c r="KFF30" s="31"/>
      <c r="KFG30" s="31"/>
      <c r="KFH30" s="31"/>
      <c r="KFI30" s="31"/>
      <c r="KFJ30" s="31"/>
      <c r="KFK30" s="31"/>
      <c r="KFL30" s="31"/>
      <c r="KFM30" s="31"/>
      <c r="KFN30" s="31"/>
      <c r="KFO30" s="31"/>
      <c r="KFP30" s="31"/>
      <c r="KFQ30" s="31"/>
      <c r="KFR30" s="31"/>
      <c r="KFS30" s="31"/>
      <c r="KFT30" s="31"/>
      <c r="KFU30" s="31"/>
      <c r="KFV30" s="31"/>
      <c r="KFW30" s="31"/>
      <c r="KFX30" s="31"/>
      <c r="KFY30" s="31"/>
      <c r="KFZ30" s="31"/>
      <c r="KGA30" s="31"/>
      <c r="KGB30" s="31"/>
      <c r="KGC30" s="31"/>
      <c r="KGD30" s="31"/>
      <c r="KGE30" s="31"/>
      <c r="KGF30" s="31"/>
      <c r="KGG30" s="31"/>
      <c r="KGH30" s="31"/>
      <c r="KGI30" s="31"/>
      <c r="KGJ30" s="31"/>
      <c r="KGK30" s="31"/>
      <c r="KGL30" s="31"/>
      <c r="KGM30" s="31"/>
      <c r="KGN30" s="31"/>
      <c r="KGO30" s="31"/>
      <c r="KGP30" s="31"/>
      <c r="KGQ30" s="31"/>
      <c r="KGR30" s="31"/>
      <c r="KGS30" s="31"/>
      <c r="KGT30" s="31"/>
      <c r="KGU30" s="31"/>
      <c r="KGV30" s="31"/>
      <c r="KGW30" s="31"/>
      <c r="KGX30" s="31"/>
      <c r="KGY30" s="31"/>
      <c r="KGZ30" s="31"/>
      <c r="KHA30" s="31"/>
      <c r="KHB30" s="31"/>
      <c r="KHC30" s="31"/>
      <c r="KHD30" s="31"/>
      <c r="KHE30" s="31"/>
      <c r="KHF30" s="31"/>
      <c r="KHG30" s="31"/>
      <c r="KHH30" s="31"/>
      <c r="KHI30" s="31"/>
      <c r="KHJ30" s="31"/>
      <c r="KHK30" s="31"/>
      <c r="KHL30" s="31"/>
      <c r="KHM30" s="31"/>
      <c r="KHN30" s="31"/>
      <c r="KHO30" s="31"/>
      <c r="KHP30" s="31"/>
      <c r="KHQ30" s="31"/>
      <c r="KHR30" s="31"/>
      <c r="KHS30" s="31"/>
      <c r="KHT30" s="31"/>
      <c r="KHU30" s="31"/>
      <c r="KHV30" s="31"/>
      <c r="KHW30" s="31"/>
      <c r="KHX30" s="31"/>
      <c r="KHY30" s="31"/>
      <c r="KHZ30" s="31"/>
      <c r="KIA30" s="31"/>
      <c r="KIB30" s="31"/>
      <c r="KIC30" s="31"/>
      <c r="KID30" s="31"/>
      <c r="KIE30" s="31"/>
      <c r="KIF30" s="31"/>
      <c r="KIG30" s="31"/>
      <c r="KIH30" s="31"/>
      <c r="KII30" s="31"/>
      <c r="KIJ30" s="31"/>
      <c r="KIK30" s="31"/>
      <c r="KIL30" s="31"/>
      <c r="KIM30" s="31"/>
      <c r="KIN30" s="31"/>
      <c r="KIO30" s="31"/>
      <c r="KIP30" s="31"/>
      <c r="KIQ30" s="31"/>
      <c r="KIR30" s="31"/>
      <c r="KIS30" s="31"/>
      <c r="KIT30" s="31"/>
      <c r="KIU30" s="31"/>
      <c r="KIV30" s="31"/>
      <c r="KIW30" s="31"/>
      <c r="KIX30" s="31"/>
      <c r="KIY30" s="31"/>
      <c r="KIZ30" s="31"/>
      <c r="KJA30" s="31"/>
      <c r="KJB30" s="31"/>
      <c r="KJC30" s="31"/>
      <c r="KJD30" s="31"/>
      <c r="KJE30" s="31"/>
      <c r="KJF30" s="31"/>
      <c r="KJG30" s="31"/>
      <c r="KJH30" s="31"/>
      <c r="KJI30" s="31"/>
      <c r="KJJ30" s="31"/>
      <c r="KJK30" s="31"/>
      <c r="KJL30" s="31"/>
      <c r="KJM30" s="31"/>
      <c r="KJN30" s="31"/>
      <c r="KJO30" s="31"/>
      <c r="KJP30" s="31"/>
      <c r="KJQ30" s="31"/>
      <c r="KJR30" s="31"/>
      <c r="KJS30" s="31"/>
      <c r="KJT30" s="31"/>
      <c r="KJU30" s="31"/>
      <c r="KJV30" s="31"/>
      <c r="KJW30" s="31"/>
      <c r="KJX30" s="31"/>
      <c r="KJY30" s="31"/>
      <c r="KJZ30" s="31"/>
      <c r="KKA30" s="31"/>
      <c r="KKB30" s="31"/>
      <c r="KKC30" s="31"/>
      <c r="KKD30" s="31"/>
      <c r="KKE30" s="31"/>
      <c r="KKF30" s="31"/>
      <c r="KKG30" s="31"/>
      <c r="KKH30" s="31"/>
      <c r="KKI30" s="31"/>
      <c r="KKJ30" s="31"/>
      <c r="KKK30" s="31"/>
      <c r="KKL30" s="31"/>
      <c r="KKM30" s="31"/>
      <c r="KKN30" s="31"/>
      <c r="KKO30" s="31"/>
      <c r="KKP30" s="31"/>
      <c r="KKQ30" s="31"/>
      <c r="KKR30" s="31"/>
      <c r="KKS30" s="31"/>
      <c r="KKT30" s="31"/>
      <c r="KKU30" s="31"/>
      <c r="KKV30" s="31"/>
      <c r="KKW30" s="31"/>
      <c r="KKX30" s="31"/>
      <c r="KKY30" s="31"/>
      <c r="KKZ30" s="31"/>
      <c r="KLA30" s="31"/>
      <c r="KLB30" s="31"/>
      <c r="KLC30" s="31"/>
      <c r="KLD30" s="31"/>
      <c r="KLE30" s="31"/>
      <c r="KLF30" s="31"/>
      <c r="KLG30" s="31"/>
      <c r="KLH30" s="31"/>
      <c r="KLI30" s="31"/>
      <c r="KLJ30" s="31"/>
      <c r="KLK30" s="31"/>
      <c r="KLL30" s="31"/>
      <c r="KLM30" s="31"/>
      <c r="KLN30" s="31"/>
      <c r="KLO30" s="31"/>
      <c r="KLP30" s="31"/>
      <c r="KLQ30" s="31"/>
      <c r="KLR30" s="31"/>
      <c r="KLS30" s="31"/>
      <c r="KLT30" s="31"/>
      <c r="KLU30" s="31"/>
      <c r="KLV30" s="31"/>
      <c r="KLW30" s="31"/>
      <c r="KLX30" s="31"/>
      <c r="KLY30" s="31"/>
      <c r="KLZ30" s="31"/>
      <c r="KMA30" s="31"/>
      <c r="KMB30" s="31"/>
      <c r="KMC30" s="31"/>
      <c r="KMD30" s="31"/>
      <c r="KME30" s="31"/>
      <c r="KMF30" s="31"/>
      <c r="KMG30" s="31"/>
      <c r="KMH30" s="31"/>
      <c r="KMI30" s="31"/>
      <c r="KMJ30" s="31"/>
      <c r="KMK30" s="31"/>
      <c r="KML30" s="31"/>
      <c r="KMM30" s="31"/>
      <c r="KMN30" s="31"/>
      <c r="KMO30" s="31"/>
      <c r="KMP30" s="31"/>
      <c r="KMQ30" s="31"/>
      <c r="KMR30" s="31"/>
      <c r="KMS30" s="31"/>
      <c r="KMT30" s="31"/>
      <c r="KMU30" s="31"/>
      <c r="KMV30" s="31"/>
      <c r="KMW30" s="31"/>
      <c r="KMX30" s="31"/>
      <c r="KMY30" s="31"/>
      <c r="KMZ30" s="31"/>
      <c r="KNA30" s="31"/>
      <c r="KNB30" s="31"/>
      <c r="KNC30" s="31"/>
      <c r="KND30" s="31"/>
      <c r="KNE30" s="31"/>
      <c r="KNF30" s="31"/>
      <c r="KNG30" s="31"/>
      <c r="KNH30" s="31"/>
      <c r="KNI30" s="31"/>
      <c r="KNJ30" s="31"/>
      <c r="KNK30" s="31"/>
      <c r="KNL30" s="31"/>
      <c r="KNM30" s="31"/>
      <c r="KNN30" s="31"/>
      <c r="KNO30" s="31"/>
      <c r="KNP30" s="31"/>
      <c r="KNQ30" s="31"/>
      <c r="KNR30" s="31"/>
      <c r="KNS30" s="31"/>
      <c r="KNT30" s="31"/>
      <c r="KNU30" s="31"/>
      <c r="KNV30" s="31"/>
      <c r="KNW30" s="31"/>
      <c r="KNX30" s="31"/>
      <c r="KNY30" s="31"/>
      <c r="KNZ30" s="31"/>
      <c r="KOA30" s="31"/>
      <c r="KOB30" s="31"/>
      <c r="KOC30" s="31"/>
      <c r="KOD30" s="31"/>
      <c r="KOE30" s="31"/>
      <c r="KOF30" s="31"/>
      <c r="KOG30" s="31"/>
      <c r="KOH30" s="31"/>
      <c r="KOI30" s="31"/>
      <c r="KOJ30" s="31"/>
      <c r="KOK30" s="31"/>
      <c r="KOL30" s="31"/>
      <c r="KOM30" s="31"/>
      <c r="KON30" s="31"/>
      <c r="KOO30" s="31"/>
      <c r="KOP30" s="31"/>
      <c r="KOQ30" s="31"/>
      <c r="KOR30" s="31"/>
      <c r="KOS30" s="31"/>
      <c r="KOT30" s="31"/>
      <c r="KOU30" s="31"/>
      <c r="KOV30" s="31"/>
      <c r="KOW30" s="31"/>
      <c r="KOX30" s="31"/>
      <c r="KOY30" s="31"/>
      <c r="KOZ30" s="31"/>
      <c r="KPA30" s="31"/>
      <c r="KPB30" s="31"/>
      <c r="KPC30" s="31"/>
      <c r="KPD30" s="31"/>
      <c r="KPE30" s="31"/>
      <c r="KPF30" s="31"/>
      <c r="KPG30" s="31"/>
      <c r="KPH30" s="31"/>
      <c r="KPI30" s="31"/>
      <c r="KPJ30" s="31"/>
      <c r="KPK30" s="31"/>
      <c r="KPL30" s="31"/>
      <c r="KPM30" s="31"/>
      <c r="KPN30" s="31"/>
      <c r="KPO30" s="31"/>
      <c r="KPP30" s="31"/>
      <c r="KPQ30" s="31"/>
      <c r="KPR30" s="31"/>
      <c r="KPS30" s="31"/>
      <c r="KPT30" s="31"/>
      <c r="KPU30" s="31"/>
      <c r="KPV30" s="31"/>
      <c r="KPW30" s="31"/>
      <c r="KPX30" s="31"/>
      <c r="KPY30" s="31"/>
      <c r="KPZ30" s="31"/>
      <c r="KQA30" s="31"/>
      <c r="KQB30" s="31"/>
      <c r="KQC30" s="31"/>
      <c r="KQD30" s="31"/>
      <c r="KQE30" s="31"/>
      <c r="KQF30" s="31"/>
      <c r="KQG30" s="31"/>
      <c r="KQH30" s="31"/>
      <c r="KQI30" s="31"/>
      <c r="KQJ30" s="31"/>
      <c r="KQK30" s="31"/>
      <c r="KQL30" s="31"/>
      <c r="KQM30" s="31"/>
      <c r="KQN30" s="31"/>
      <c r="KQO30" s="31"/>
      <c r="KQP30" s="31"/>
      <c r="KQQ30" s="31"/>
      <c r="KQR30" s="31"/>
      <c r="KQS30" s="31"/>
      <c r="KQT30" s="31"/>
      <c r="KQU30" s="31"/>
      <c r="KQV30" s="31"/>
      <c r="KQW30" s="31"/>
      <c r="KQX30" s="31"/>
      <c r="KQY30" s="31"/>
      <c r="KQZ30" s="31"/>
      <c r="KRA30" s="31"/>
      <c r="KRB30" s="31"/>
      <c r="KRC30" s="31"/>
      <c r="KRD30" s="31"/>
      <c r="KRE30" s="31"/>
      <c r="KRF30" s="31"/>
      <c r="KRG30" s="31"/>
      <c r="KRH30" s="31"/>
      <c r="KRI30" s="31"/>
      <c r="KRJ30" s="31"/>
      <c r="KRK30" s="31"/>
      <c r="KRL30" s="31"/>
      <c r="KRM30" s="31"/>
      <c r="KRN30" s="31"/>
      <c r="KRO30" s="31"/>
      <c r="KRP30" s="31"/>
      <c r="KRQ30" s="31"/>
      <c r="KRR30" s="31"/>
      <c r="KRS30" s="31"/>
      <c r="KRT30" s="31"/>
      <c r="KRU30" s="31"/>
      <c r="KRV30" s="31"/>
      <c r="KRW30" s="31"/>
      <c r="KRX30" s="31"/>
      <c r="KRY30" s="31"/>
      <c r="KRZ30" s="31"/>
      <c r="KSA30" s="31"/>
      <c r="KSB30" s="31"/>
      <c r="KSC30" s="31"/>
      <c r="KSD30" s="31"/>
      <c r="KSE30" s="31"/>
      <c r="KSF30" s="31"/>
      <c r="KSG30" s="31"/>
      <c r="KSH30" s="31"/>
      <c r="KSI30" s="31"/>
      <c r="KSJ30" s="31"/>
      <c r="KSK30" s="31"/>
      <c r="KSL30" s="31"/>
      <c r="KSM30" s="31"/>
      <c r="KSN30" s="31"/>
      <c r="KSO30" s="31"/>
      <c r="KSP30" s="31"/>
      <c r="KSQ30" s="31"/>
      <c r="KSR30" s="31"/>
      <c r="KSS30" s="31"/>
      <c r="KST30" s="31"/>
      <c r="KSU30" s="31"/>
      <c r="KSV30" s="31"/>
      <c r="KSW30" s="31"/>
      <c r="KSX30" s="31"/>
      <c r="KSY30" s="31"/>
      <c r="KSZ30" s="31"/>
      <c r="KTA30" s="31"/>
      <c r="KTB30" s="31"/>
      <c r="KTC30" s="31"/>
      <c r="KTD30" s="31"/>
      <c r="KTE30" s="31"/>
      <c r="KTF30" s="31"/>
      <c r="KTG30" s="31"/>
      <c r="KTH30" s="31"/>
      <c r="KTI30" s="31"/>
      <c r="KTJ30" s="31"/>
      <c r="KTK30" s="31"/>
      <c r="KTL30" s="31"/>
      <c r="KTM30" s="31"/>
      <c r="KTN30" s="31"/>
      <c r="KTO30" s="31"/>
      <c r="KTP30" s="31"/>
      <c r="KTQ30" s="31"/>
      <c r="KTR30" s="31"/>
      <c r="KTS30" s="31"/>
      <c r="KTT30" s="31"/>
      <c r="KTU30" s="31"/>
      <c r="KTV30" s="31"/>
      <c r="KTW30" s="31"/>
      <c r="KTX30" s="31"/>
      <c r="KTY30" s="31"/>
      <c r="KTZ30" s="31"/>
      <c r="KUA30" s="31"/>
      <c r="KUB30" s="31"/>
      <c r="KUC30" s="31"/>
      <c r="KUD30" s="31"/>
      <c r="KUE30" s="31"/>
      <c r="KUF30" s="31"/>
      <c r="KUG30" s="31"/>
      <c r="KUH30" s="31"/>
      <c r="KUI30" s="31"/>
      <c r="KUJ30" s="31"/>
      <c r="KUK30" s="31"/>
      <c r="KUL30" s="31"/>
      <c r="KUM30" s="31"/>
      <c r="KUN30" s="31"/>
      <c r="KUO30" s="31"/>
      <c r="KUP30" s="31"/>
      <c r="KUQ30" s="31"/>
      <c r="KUR30" s="31"/>
      <c r="KUS30" s="31"/>
      <c r="KUT30" s="31"/>
      <c r="KUU30" s="31"/>
      <c r="KUV30" s="31"/>
      <c r="KUW30" s="31"/>
      <c r="KUX30" s="31"/>
      <c r="KUY30" s="31"/>
      <c r="KUZ30" s="31"/>
      <c r="KVA30" s="31"/>
      <c r="KVB30" s="31"/>
      <c r="KVC30" s="31"/>
      <c r="KVD30" s="31"/>
      <c r="KVE30" s="31"/>
      <c r="KVF30" s="31"/>
      <c r="KVG30" s="31"/>
      <c r="KVH30" s="31"/>
      <c r="KVI30" s="31"/>
      <c r="KVJ30" s="31"/>
      <c r="KVK30" s="31"/>
      <c r="KVL30" s="31"/>
      <c r="KVM30" s="31"/>
      <c r="KVN30" s="31"/>
      <c r="KVO30" s="31"/>
      <c r="KVP30" s="31"/>
      <c r="KVQ30" s="31"/>
      <c r="KVR30" s="31"/>
      <c r="KVS30" s="31"/>
      <c r="KVT30" s="31"/>
      <c r="KVU30" s="31"/>
      <c r="KVV30" s="31"/>
      <c r="KVW30" s="31"/>
      <c r="KVX30" s="31"/>
      <c r="KVY30" s="31"/>
      <c r="KVZ30" s="31"/>
      <c r="KWA30" s="31"/>
      <c r="KWB30" s="31"/>
      <c r="KWC30" s="31"/>
      <c r="KWD30" s="31"/>
      <c r="KWE30" s="31"/>
      <c r="KWF30" s="31"/>
      <c r="KWG30" s="31"/>
      <c r="KWH30" s="31"/>
      <c r="KWI30" s="31"/>
      <c r="KWJ30" s="31"/>
      <c r="KWK30" s="31"/>
      <c r="KWL30" s="31"/>
      <c r="KWM30" s="31"/>
      <c r="KWN30" s="31"/>
      <c r="KWO30" s="31"/>
      <c r="KWP30" s="31"/>
      <c r="KWQ30" s="31"/>
      <c r="KWR30" s="31"/>
      <c r="KWS30" s="31"/>
      <c r="KWT30" s="31"/>
      <c r="KWU30" s="31"/>
      <c r="KWV30" s="31"/>
      <c r="KWW30" s="31"/>
      <c r="KWX30" s="31"/>
      <c r="KWY30" s="31"/>
      <c r="KWZ30" s="31"/>
      <c r="KXA30" s="31"/>
      <c r="KXB30" s="31"/>
      <c r="KXC30" s="31"/>
      <c r="KXD30" s="31"/>
      <c r="KXE30" s="31"/>
      <c r="KXF30" s="31"/>
      <c r="KXG30" s="31"/>
      <c r="KXH30" s="31"/>
      <c r="KXI30" s="31"/>
      <c r="KXJ30" s="31"/>
      <c r="KXK30" s="31"/>
      <c r="KXL30" s="31"/>
      <c r="KXM30" s="31"/>
      <c r="KXN30" s="31"/>
      <c r="KXO30" s="31"/>
      <c r="KXP30" s="31"/>
      <c r="KXQ30" s="31"/>
      <c r="KXR30" s="31"/>
      <c r="KXS30" s="31"/>
      <c r="KXT30" s="31"/>
      <c r="KXU30" s="31"/>
      <c r="KXV30" s="31"/>
      <c r="KXW30" s="31"/>
      <c r="KXX30" s="31"/>
      <c r="KXY30" s="31"/>
      <c r="KXZ30" s="31"/>
      <c r="KYA30" s="31"/>
      <c r="KYB30" s="31"/>
      <c r="KYC30" s="31"/>
      <c r="KYD30" s="31"/>
      <c r="KYE30" s="31"/>
      <c r="KYF30" s="31"/>
      <c r="KYG30" s="31"/>
      <c r="KYH30" s="31"/>
      <c r="KYI30" s="31"/>
      <c r="KYJ30" s="31"/>
      <c r="KYK30" s="31"/>
      <c r="KYL30" s="31"/>
      <c r="KYM30" s="31"/>
      <c r="KYN30" s="31"/>
      <c r="KYO30" s="31"/>
      <c r="KYP30" s="31"/>
      <c r="KYQ30" s="31"/>
      <c r="KYR30" s="31"/>
      <c r="KYS30" s="31"/>
      <c r="KYT30" s="31"/>
      <c r="KYU30" s="31"/>
      <c r="KYV30" s="31"/>
      <c r="KYW30" s="31"/>
      <c r="KYX30" s="31"/>
      <c r="KYY30" s="31"/>
      <c r="KYZ30" s="31"/>
      <c r="KZA30" s="31"/>
      <c r="KZB30" s="31"/>
      <c r="KZC30" s="31"/>
      <c r="KZD30" s="31"/>
      <c r="KZE30" s="31"/>
      <c r="KZF30" s="31"/>
      <c r="KZG30" s="31"/>
      <c r="KZH30" s="31"/>
      <c r="KZI30" s="31"/>
      <c r="KZJ30" s="31"/>
      <c r="KZK30" s="31"/>
      <c r="KZL30" s="31"/>
      <c r="KZM30" s="31"/>
      <c r="KZN30" s="31"/>
      <c r="KZO30" s="31"/>
      <c r="KZP30" s="31"/>
      <c r="KZQ30" s="31"/>
      <c r="KZR30" s="31"/>
      <c r="KZS30" s="31"/>
      <c r="KZT30" s="31"/>
      <c r="KZU30" s="31"/>
      <c r="KZV30" s="31"/>
      <c r="KZW30" s="31"/>
      <c r="KZX30" s="31"/>
      <c r="KZY30" s="31"/>
      <c r="KZZ30" s="31"/>
      <c r="LAA30" s="31"/>
      <c r="LAB30" s="31"/>
      <c r="LAC30" s="31"/>
      <c r="LAD30" s="31"/>
      <c r="LAE30" s="31"/>
      <c r="LAF30" s="31"/>
      <c r="LAG30" s="31"/>
      <c r="LAH30" s="31"/>
      <c r="LAI30" s="31"/>
      <c r="LAJ30" s="31"/>
      <c r="LAK30" s="31"/>
      <c r="LAL30" s="31"/>
      <c r="LAM30" s="31"/>
      <c r="LAN30" s="31"/>
      <c r="LAO30" s="31"/>
      <c r="LAP30" s="31"/>
      <c r="LAQ30" s="31"/>
      <c r="LAR30" s="31"/>
      <c r="LAS30" s="31"/>
      <c r="LAT30" s="31"/>
      <c r="LAU30" s="31"/>
      <c r="LAV30" s="31"/>
      <c r="LAW30" s="31"/>
      <c r="LAX30" s="31"/>
      <c r="LAY30" s="31"/>
      <c r="LAZ30" s="31"/>
      <c r="LBA30" s="31"/>
      <c r="LBB30" s="31"/>
      <c r="LBC30" s="31"/>
      <c r="LBD30" s="31"/>
      <c r="LBE30" s="31"/>
      <c r="LBF30" s="31"/>
      <c r="LBG30" s="31"/>
      <c r="LBH30" s="31"/>
      <c r="LBI30" s="31"/>
      <c r="LBJ30" s="31"/>
      <c r="LBK30" s="31"/>
      <c r="LBL30" s="31"/>
      <c r="LBM30" s="31"/>
      <c r="LBN30" s="31"/>
      <c r="LBO30" s="31"/>
      <c r="LBP30" s="31"/>
      <c r="LBQ30" s="31"/>
      <c r="LBR30" s="31"/>
      <c r="LBS30" s="31"/>
      <c r="LBT30" s="31"/>
      <c r="LBU30" s="31"/>
      <c r="LBV30" s="31"/>
      <c r="LBW30" s="31"/>
      <c r="LBX30" s="31"/>
      <c r="LBY30" s="31"/>
      <c r="LBZ30" s="31"/>
      <c r="LCA30" s="31"/>
      <c r="LCB30" s="31"/>
      <c r="LCC30" s="31"/>
      <c r="LCD30" s="31"/>
      <c r="LCE30" s="31"/>
      <c r="LCF30" s="31"/>
      <c r="LCG30" s="31"/>
      <c r="LCH30" s="31"/>
      <c r="LCI30" s="31"/>
      <c r="LCJ30" s="31"/>
      <c r="LCK30" s="31"/>
      <c r="LCL30" s="31"/>
      <c r="LCM30" s="31"/>
      <c r="LCN30" s="31"/>
      <c r="LCO30" s="31"/>
      <c r="LCP30" s="31"/>
      <c r="LCQ30" s="31"/>
      <c r="LCR30" s="31"/>
      <c r="LCS30" s="31"/>
      <c r="LCT30" s="31"/>
      <c r="LCU30" s="31"/>
      <c r="LCV30" s="31"/>
      <c r="LCW30" s="31"/>
      <c r="LCX30" s="31"/>
      <c r="LCY30" s="31"/>
      <c r="LCZ30" s="31"/>
      <c r="LDA30" s="31"/>
      <c r="LDB30" s="31"/>
      <c r="LDC30" s="31"/>
      <c r="LDD30" s="31"/>
      <c r="LDE30" s="31"/>
      <c r="LDF30" s="31"/>
      <c r="LDG30" s="31"/>
      <c r="LDH30" s="31"/>
      <c r="LDI30" s="31"/>
      <c r="LDJ30" s="31"/>
      <c r="LDK30" s="31"/>
      <c r="LDL30" s="31"/>
      <c r="LDM30" s="31"/>
      <c r="LDN30" s="31"/>
      <c r="LDO30" s="31"/>
      <c r="LDP30" s="31"/>
      <c r="LDQ30" s="31"/>
      <c r="LDR30" s="31"/>
      <c r="LDS30" s="31"/>
      <c r="LDT30" s="31"/>
      <c r="LDU30" s="31"/>
      <c r="LDV30" s="31"/>
      <c r="LDW30" s="31"/>
      <c r="LDX30" s="31"/>
      <c r="LDY30" s="31"/>
      <c r="LDZ30" s="31"/>
      <c r="LEA30" s="31"/>
      <c r="LEB30" s="31"/>
      <c r="LEC30" s="31"/>
      <c r="LED30" s="31"/>
      <c r="LEE30" s="31"/>
      <c r="LEF30" s="31"/>
      <c r="LEG30" s="31"/>
      <c r="LEH30" s="31"/>
      <c r="LEI30" s="31"/>
      <c r="LEJ30" s="31"/>
      <c r="LEK30" s="31"/>
      <c r="LEL30" s="31"/>
      <c r="LEM30" s="31"/>
      <c r="LEN30" s="31"/>
      <c r="LEO30" s="31"/>
      <c r="LEP30" s="31"/>
      <c r="LEQ30" s="31"/>
      <c r="LER30" s="31"/>
      <c r="LES30" s="31"/>
      <c r="LET30" s="31"/>
      <c r="LEU30" s="31"/>
      <c r="LEV30" s="31"/>
      <c r="LEW30" s="31"/>
      <c r="LEX30" s="31"/>
      <c r="LEY30" s="31"/>
      <c r="LEZ30" s="31"/>
      <c r="LFA30" s="31"/>
      <c r="LFB30" s="31"/>
      <c r="LFC30" s="31"/>
      <c r="LFD30" s="31"/>
      <c r="LFE30" s="31"/>
      <c r="LFF30" s="31"/>
      <c r="LFG30" s="31"/>
      <c r="LFH30" s="31"/>
      <c r="LFI30" s="31"/>
      <c r="LFJ30" s="31"/>
      <c r="LFK30" s="31"/>
      <c r="LFL30" s="31"/>
      <c r="LFM30" s="31"/>
      <c r="LFN30" s="31"/>
      <c r="LFO30" s="31"/>
      <c r="LFP30" s="31"/>
      <c r="LFQ30" s="31"/>
      <c r="LFR30" s="31"/>
      <c r="LFS30" s="31"/>
      <c r="LFT30" s="31"/>
      <c r="LFU30" s="31"/>
      <c r="LFV30" s="31"/>
      <c r="LFW30" s="31"/>
      <c r="LFX30" s="31"/>
      <c r="LFY30" s="31"/>
      <c r="LFZ30" s="31"/>
      <c r="LGA30" s="31"/>
      <c r="LGB30" s="31"/>
      <c r="LGC30" s="31"/>
      <c r="LGD30" s="31"/>
      <c r="LGE30" s="31"/>
      <c r="LGF30" s="31"/>
      <c r="LGG30" s="31"/>
      <c r="LGH30" s="31"/>
      <c r="LGI30" s="31"/>
      <c r="LGJ30" s="31"/>
      <c r="LGK30" s="31"/>
      <c r="LGL30" s="31"/>
      <c r="LGM30" s="31"/>
      <c r="LGN30" s="31"/>
      <c r="LGO30" s="31"/>
      <c r="LGP30" s="31"/>
      <c r="LGQ30" s="31"/>
      <c r="LGR30" s="31"/>
      <c r="LGS30" s="31"/>
      <c r="LGT30" s="31"/>
      <c r="LGU30" s="31"/>
      <c r="LGV30" s="31"/>
      <c r="LGW30" s="31"/>
      <c r="LGX30" s="31"/>
      <c r="LGY30" s="31"/>
      <c r="LGZ30" s="31"/>
      <c r="LHA30" s="31"/>
      <c r="LHB30" s="31"/>
      <c r="LHC30" s="31"/>
      <c r="LHD30" s="31"/>
      <c r="LHE30" s="31"/>
      <c r="LHF30" s="31"/>
      <c r="LHG30" s="31"/>
      <c r="LHH30" s="31"/>
      <c r="LHI30" s="31"/>
      <c r="LHJ30" s="31"/>
      <c r="LHK30" s="31"/>
      <c r="LHL30" s="31"/>
      <c r="LHM30" s="31"/>
      <c r="LHN30" s="31"/>
      <c r="LHO30" s="31"/>
      <c r="LHP30" s="31"/>
      <c r="LHQ30" s="31"/>
      <c r="LHR30" s="31"/>
      <c r="LHS30" s="31"/>
      <c r="LHT30" s="31"/>
      <c r="LHU30" s="31"/>
      <c r="LHV30" s="31"/>
      <c r="LHW30" s="31"/>
      <c r="LHX30" s="31"/>
      <c r="LHY30" s="31"/>
      <c r="LHZ30" s="31"/>
      <c r="LIA30" s="31"/>
      <c r="LIB30" s="31"/>
      <c r="LIC30" s="31"/>
      <c r="LID30" s="31"/>
      <c r="LIE30" s="31"/>
      <c r="LIF30" s="31"/>
      <c r="LIG30" s="31"/>
      <c r="LIH30" s="31"/>
      <c r="LII30" s="31"/>
      <c r="LIJ30" s="31"/>
      <c r="LIK30" s="31"/>
      <c r="LIL30" s="31"/>
      <c r="LIM30" s="31"/>
      <c r="LIN30" s="31"/>
      <c r="LIO30" s="31"/>
      <c r="LIP30" s="31"/>
      <c r="LIQ30" s="31"/>
      <c r="LIR30" s="31"/>
      <c r="LIS30" s="31"/>
      <c r="LIT30" s="31"/>
      <c r="LIU30" s="31"/>
      <c r="LIV30" s="31"/>
      <c r="LIW30" s="31"/>
      <c r="LIX30" s="31"/>
      <c r="LIY30" s="31"/>
      <c r="LIZ30" s="31"/>
      <c r="LJA30" s="31"/>
      <c r="LJB30" s="31"/>
      <c r="LJC30" s="31"/>
      <c r="LJD30" s="31"/>
      <c r="LJE30" s="31"/>
      <c r="LJF30" s="31"/>
      <c r="LJG30" s="31"/>
      <c r="LJH30" s="31"/>
      <c r="LJI30" s="31"/>
      <c r="LJJ30" s="31"/>
      <c r="LJK30" s="31"/>
      <c r="LJL30" s="31"/>
      <c r="LJM30" s="31"/>
      <c r="LJN30" s="31"/>
      <c r="LJO30" s="31"/>
      <c r="LJP30" s="31"/>
      <c r="LJQ30" s="31"/>
      <c r="LJR30" s="31"/>
      <c r="LJS30" s="31"/>
      <c r="LJT30" s="31"/>
      <c r="LJU30" s="31"/>
      <c r="LJV30" s="31"/>
      <c r="LJW30" s="31"/>
      <c r="LJX30" s="31"/>
      <c r="LJY30" s="31"/>
      <c r="LJZ30" s="31"/>
      <c r="LKA30" s="31"/>
      <c r="LKB30" s="31"/>
      <c r="LKC30" s="31"/>
      <c r="LKD30" s="31"/>
      <c r="LKE30" s="31"/>
      <c r="LKF30" s="31"/>
      <c r="LKG30" s="31"/>
      <c r="LKH30" s="31"/>
      <c r="LKI30" s="31"/>
      <c r="LKJ30" s="31"/>
      <c r="LKK30" s="31"/>
      <c r="LKL30" s="31"/>
      <c r="LKM30" s="31"/>
      <c r="LKN30" s="31"/>
      <c r="LKO30" s="31"/>
      <c r="LKP30" s="31"/>
      <c r="LKQ30" s="31"/>
      <c r="LKR30" s="31"/>
      <c r="LKS30" s="31"/>
      <c r="LKT30" s="31"/>
      <c r="LKU30" s="31"/>
      <c r="LKV30" s="31"/>
      <c r="LKW30" s="31"/>
      <c r="LKX30" s="31"/>
      <c r="LKY30" s="31"/>
      <c r="LKZ30" s="31"/>
      <c r="LLA30" s="31"/>
      <c r="LLB30" s="31"/>
      <c r="LLC30" s="31"/>
      <c r="LLD30" s="31"/>
      <c r="LLE30" s="31"/>
      <c r="LLF30" s="31"/>
      <c r="LLG30" s="31"/>
      <c r="LLH30" s="31"/>
      <c r="LLI30" s="31"/>
      <c r="LLJ30" s="31"/>
      <c r="LLK30" s="31"/>
      <c r="LLL30" s="31"/>
      <c r="LLM30" s="31"/>
      <c r="LLN30" s="31"/>
      <c r="LLO30" s="31"/>
      <c r="LLP30" s="31"/>
      <c r="LLQ30" s="31"/>
      <c r="LLR30" s="31"/>
      <c r="LLS30" s="31"/>
      <c r="LLT30" s="31"/>
      <c r="LLU30" s="31"/>
      <c r="LLV30" s="31"/>
      <c r="LLW30" s="31"/>
      <c r="LLX30" s="31"/>
      <c r="LLY30" s="31"/>
      <c r="LLZ30" s="31"/>
      <c r="LMA30" s="31"/>
      <c r="LMB30" s="31"/>
      <c r="LMC30" s="31"/>
      <c r="LMD30" s="31"/>
      <c r="LME30" s="31"/>
      <c r="LMF30" s="31"/>
      <c r="LMG30" s="31"/>
      <c r="LMH30" s="31"/>
      <c r="LMI30" s="31"/>
      <c r="LMJ30" s="31"/>
      <c r="LMK30" s="31"/>
      <c r="LML30" s="31"/>
      <c r="LMM30" s="31"/>
      <c r="LMN30" s="31"/>
      <c r="LMO30" s="31"/>
      <c r="LMP30" s="31"/>
      <c r="LMQ30" s="31"/>
      <c r="LMR30" s="31"/>
      <c r="LMS30" s="31"/>
      <c r="LMT30" s="31"/>
      <c r="LMU30" s="31"/>
      <c r="LMV30" s="31"/>
      <c r="LMW30" s="31"/>
      <c r="LMX30" s="31"/>
      <c r="LMY30" s="31"/>
      <c r="LMZ30" s="31"/>
      <c r="LNA30" s="31"/>
      <c r="LNB30" s="31"/>
      <c r="LNC30" s="31"/>
      <c r="LND30" s="31"/>
      <c r="LNE30" s="31"/>
      <c r="LNF30" s="31"/>
      <c r="LNG30" s="31"/>
      <c r="LNH30" s="31"/>
      <c r="LNI30" s="31"/>
      <c r="LNJ30" s="31"/>
      <c r="LNK30" s="31"/>
      <c r="LNL30" s="31"/>
      <c r="LNM30" s="31"/>
      <c r="LNN30" s="31"/>
      <c r="LNO30" s="31"/>
      <c r="LNP30" s="31"/>
      <c r="LNQ30" s="31"/>
      <c r="LNR30" s="31"/>
      <c r="LNS30" s="31"/>
      <c r="LNT30" s="31"/>
      <c r="LNU30" s="31"/>
      <c r="LNV30" s="31"/>
      <c r="LNW30" s="31"/>
      <c r="LNX30" s="31"/>
      <c r="LNY30" s="31"/>
      <c r="LNZ30" s="31"/>
      <c r="LOA30" s="31"/>
      <c r="LOB30" s="31"/>
      <c r="LOC30" s="31"/>
      <c r="LOD30" s="31"/>
      <c r="LOE30" s="31"/>
      <c r="LOF30" s="31"/>
      <c r="LOG30" s="31"/>
      <c r="LOH30" s="31"/>
      <c r="LOI30" s="31"/>
      <c r="LOJ30" s="31"/>
      <c r="LOK30" s="31"/>
      <c r="LOL30" s="31"/>
      <c r="LOM30" s="31"/>
      <c r="LON30" s="31"/>
      <c r="LOO30" s="31"/>
      <c r="LOP30" s="31"/>
      <c r="LOQ30" s="31"/>
      <c r="LOR30" s="31"/>
      <c r="LOS30" s="31"/>
      <c r="LOT30" s="31"/>
      <c r="LOU30" s="31"/>
      <c r="LOV30" s="31"/>
      <c r="LOW30" s="31"/>
      <c r="LOX30" s="31"/>
      <c r="LOY30" s="31"/>
      <c r="LOZ30" s="31"/>
      <c r="LPA30" s="31"/>
      <c r="LPB30" s="31"/>
      <c r="LPC30" s="31"/>
      <c r="LPD30" s="31"/>
      <c r="LPE30" s="31"/>
      <c r="LPF30" s="31"/>
      <c r="LPG30" s="31"/>
      <c r="LPH30" s="31"/>
      <c r="LPI30" s="31"/>
      <c r="LPJ30" s="31"/>
      <c r="LPK30" s="31"/>
      <c r="LPL30" s="31"/>
      <c r="LPM30" s="31"/>
      <c r="LPN30" s="31"/>
      <c r="LPO30" s="31"/>
      <c r="LPP30" s="31"/>
      <c r="LPQ30" s="31"/>
      <c r="LPR30" s="31"/>
      <c r="LPS30" s="31"/>
      <c r="LPT30" s="31"/>
      <c r="LPU30" s="31"/>
      <c r="LPV30" s="31"/>
      <c r="LPW30" s="31"/>
      <c r="LPX30" s="31"/>
      <c r="LPY30" s="31"/>
      <c r="LPZ30" s="31"/>
      <c r="LQA30" s="31"/>
      <c r="LQB30" s="31"/>
      <c r="LQC30" s="31"/>
      <c r="LQD30" s="31"/>
      <c r="LQE30" s="31"/>
      <c r="LQF30" s="31"/>
      <c r="LQG30" s="31"/>
      <c r="LQH30" s="31"/>
      <c r="LQI30" s="31"/>
      <c r="LQJ30" s="31"/>
      <c r="LQK30" s="31"/>
      <c r="LQL30" s="31"/>
      <c r="LQM30" s="31"/>
      <c r="LQN30" s="31"/>
      <c r="LQO30" s="31"/>
      <c r="LQP30" s="31"/>
      <c r="LQQ30" s="31"/>
      <c r="LQR30" s="31"/>
      <c r="LQS30" s="31"/>
      <c r="LQT30" s="31"/>
      <c r="LQU30" s="31"/>
      <c r="LQV30" s="31"/>
      <c r="LQW30" s="31"/>
      <c r="LQX30" s="31"/>
      <c r="LQY30" s="31"/>
      <c r="LQZ30" s="31"/>
      <c r="LRA30" s="31"/>
      <c r="LRB30" s="31"/>
      <c r="LRC30" s="31"/>
      <c r="LRD30" s="31"/>
      <c r="LRE30" s="31"/>
      <c r="LRF30" s="31"/>
      <c r="LRG30" s="31"/>
      <c r="LRH30" s="31"/>
      <c r="LRI30" s="31"/>
      <c r="LRJ30" s="31"/>
      <c r="LRK30" s="31"/>
      <c r="LRL30" s="31"/>
      <c r="LRM30" s="31"/>
      <c r="LRN30" s="31"/>
      <c r="LRO30" s="31"/>
      <c r="LRP30" s="31"/>
      <c r="LRQ30" s="31"/>
      <c r="LRR30" s="31"/>
      <c r="LRS30" s="31"/>
      <c r="LRT30" s="31"/>
      <c r="LRU30" s="31"/>
      <c r="LRV30" s="31"/>
      <c r="LRW30" s="31"/>
      <c r="LRX30" s="31"/>
      <c r="LRY30" s="31"/>
      <c r="LRZ30" s="31"/>
      <c r="LSA30" s="31"/>
      <c r="LSB30" s="31"/>
      <c r="LSC30" s="31"/>
      <c r="LSD30" s="31"/>
      <c r="LSE30" s="31"/>
      <c r="LSF30" s="31"/>
      <c r="LSG30" s="31"/>
      <c r="LSH30" s="31"/>
      <c r="LSI30" s="31"/>
      <c r="LSJ30" s="31"/>
      <c r="LSK30" s="31"/>
      <c r="LSL30" s="31"/>
      <c r="LSM30" s="31"/>
      <c r="LSN30" s="31"/>
      <c r="LSO30" s="31"/>
      <c r="LSP30" s="31"/>
      <c r="LSQ30" s="31"/>
      <c r="LSR30" s="31"/>
      <c r="LSS30" s="31"/>
      <c r="LST30" s="31"/>
      <c r="LSU30" s="31"/>
      <c r="LSV30" s="31"/>
      <c r="LSW30" s="31"/>
      <c r="LSX30" s="31"/>
      <c r="LSY30" s="31"/>
      <c r="LSZ30" s="31"/>
      <c r="LTA30" s="31"/>
      <c r="LTB30" s="31"/>
      <c r="LTC30" s="31"/>
      <c r="LTD30" s="31"/>
      <c r="LTE30" s="31"/>
      <c r="LTF30" s="31"/>
      <c r="LTG30" s="31"/>
      <c r="LTH30" s="31"/>
      <c r="LTI30" s="31"/>
      <c r="LTJ30" s="31"/>
      <c r="LTK30" s="31"/>
      <c r="LTL30" s="31"/>
      <c r="LTM30" s="31"/>
      <c r="LTN30" s="31"/>
      <c r="LTO30" s="31"/>
      <c r="LTP30" s="31"/>
      <c r="LTQ30" s="31"/>
      <c r="LTR30" s="31"/>
      <c r="LTS30" s="31"/>
      <c r="LTT30" s="31"/>
      <c r="LTU30" s="31"/>
      <c r="LTV30" s="31"/>
      <c r="LTW30" s="31"/>
      <c r="LTX30" s="31"/>
      <c r="LTY30" s="31"/>
      <c r="LTZ30" s="31"/>
      <c r="LUA30" s="31"/>
      <c r="LUB30" s="31"/>
      <c r="LUC30" s="31"/>
      <c r="LUD30" s="31"/>
      <c r="LUE30" s="31"/>
      <c r="LUF30" s="31"/>
      <c r="LUG30" s="31"/>
      <c r="LUH30" s="31"/>
      <c r="LUI30" s="31"/>
      <c r="LUJ30" s="31"/>
      <c r="LUK30" s="31"/>
      <c r="LUL30" s="31"/>
      <c r="LUM30" s="31"/>
      <c r="LUN30" s="31"/>
      <c r="LUO30" s="31"/>
      <c r="LUP30" s="31"/>
      <c r="LUQ30" s="31"/>
      <c r="LUR30" s="31"/>
      <c r="LUS30" s="31"/>
      <c r="LUT30" s="31"/>
      <c r="LUU30" s="31"/>
      <c r="LUV30" s="31"/>
      <c r="LUW30" s="31"/>
      <c r="LUX30" s="31"/>
      <c r="LUY30" s="31"/>
      <c r="LUZ30" s="31"/>
      <c r="LVA30" s="31"/>
      <c r="LVB30" s="31"/>
      <c r="LVC30" s="31"/>
      <c r="LVD30" s="31"/>
      <c r="LVE30" s="31"/>
      <c r="LVF30" s="31"/>
      <c r="LVG30" s="31"/>
      <c r="LVH30" s="31"/>
      <c r="LVI30" s="31"/>
      <c r="LVJ30" s="31"/>
      <c r="LVK30" s="31"/>
      <c r="LVL30" s="31"/>
      <c r="LVM30" s="31"/>
      <c r="LVN30" s="31"/>
      <c r="LVO30" s="31"/>
      <c r="LVP30" s="31"/>
      <c r="LVQ30" s="31"/>
      <c r="LVR30" s="31"/>
      <c r="LVS30" s="31"/>
      <c r="LVT30" s="31"/>
      <c r="LVU30" s="31"/>
      <c r="LVV30" s="31"/>
      <c r="LVW30" s="31"/>
      <c r="LVX30" s="31"/>
      <c r="LVY30" s="31"/>
      <c r="LVZ30" s="31"/>
      <c r="LWA30" s="31"/>
      <c r="LWB30" s="31"/>
      <c r="LWC30" s="31"/>
      <c r="LWD30" s="31"/>
      <c r="LWE30" s="31"/>
      <c r="LWF30" s="31"/>
      <c r="LWG30" s="31"/>
      <c r="LWH30" s="31"/>
      <c r="LWI30" s="31"/>
      <c r="LWJ30" s="31"/>
      <c r="LWK30" s="31"/>
      <c r="LWL30" s="31"/>
      <c r="LWM30" s="31"/>
      <c r="LWN30" s="31"/>
      <c r="LWO30" s="31"/>
      <c r="LWP30" s="31"/>
      <c r="LWQ30" s="31"/>
      <c r="LWR30" s="31"/>
      <c r="LWS30" s="31"/>
      <c r="LWT30" s="31"/>
      <c r="LWU30" s="31"/>
      <c r="LWV30" s="31"/>
      <c r="LWW30" s="31"/>
      <c r="LWX30" s="31"/>
      <c r="LWY30" s="31"/>
      <c r="LWZ30" s="31"/>
      <c r="LXA30" s="31"/>
      <c r="LXB30" s="31"/>
      <c r="LXC30" s="31"/>
      <c r="LXD30" s="31"/>
      <c r="LXE30" s="31"/>
      <c r="LXF30" s="31"/>
      <c r="LXG30" s="31"/>
      <c r="LXH30" s="31"/>
      <c r="LXI30" s="31"/>
      <c r="LXJ30" s="31"/>
      <c r="LXK30" s="31"/>
      <c r="LXL30" s="31"/>
      <c r="LXM30" s="31"/>
      <c r="LXN30" s="31"/>
      <c r="LXO30" s="31"/>
      <c r="LXP30" s="31"/>
      <c r="LXQ30" s="31"/>
      <c r="LXR30" s="31"/>
      <c r="LXS30" s="31"/>
      <c r="LXT30" s="31"/>
      <c r="LXU30" s="31"/>
      <c r="LXV30" s="31"/>
      <c r="LXW30" s="31"/>
      <c r="LXX30" s="31"/>
      <c r="LXY30" s="31"/>
      <c r="LXZ30" s="31"/>
      <c r="LYA30" s="31"/>
      <c r="LYB30" s="31"/>
      <c r="LYC30" s="31"/>
      <c r="LYD30" s="31"/>
      <c r="LYE30" s="31"/>
      <c r="LYF30" s="31"/>
      <c r="LYG30" s="31"/>
      <c r="LYH30" s="31"/>
      <c r="LYI30" s="31"/>
      <c r="LYJ30" s="31"/>
      <c r="LYK30" s="31"/>
      <c r="LYL30" s="31"/>
      <c r="LYM30" s="31"/>
      <c r="LYN30" s="31"/>
      <c r="LYO30" s="31"/>
      <c r="LYP30" s="31"/>
      <c r="LYQ30" s="31"/>
      <c r="LYR30" s="31"/>
      <c r="LYS30" s="31"/>
      <c r="LYT30" s="31"/>
      <c r="LYU30" s="31"/>
      <c r="LYV30" s="31"/>
      <c r="LYW30" s="31"/>
      <c r="LYX30" s="31"/>
      <c r="LYY30" s="31"/>
      <c r="LYZ30" s="31"/>
      <c r="LZA30" s="31"/>
      <c r="LZB30" s="31"/>
      <c r="LZC30" s="31"/>
      <c r="LZD30" s="31"/>
      <c r="LZE30" s="31"/>
      <c r="LZF30" s="31"/>
      <c r="LZG30" s="31"/>
      <c r="LZH30" s="31"/>
      <c r="LZI30" s="31"/>
      <c r="LZJ30" s="31"/>
      <c r="LZK30" s="31"/>
      <c r="LZL30" s="31"/>
      <c r="LZM30" s="31"/>
      <c r="LZN30" s="31"/>
      <c r="LZO30" s="31"/>
      <c r="LZP30" s="31"/>
      <c r="LZQ30" s="31"/>
      <c r="LZR30" s="31"/>
      <c r="LZS30" s="31"/>
      <c r="LZT30" s="31"/>
      <c r="LZU30" s="31"/>
      <c r="LZV30" s="31"/>
      <c r="LZW30" s="31"/>
      <c r="LZX30" s="31"/>
      <c r="LZY30" s="31"/>
      <c r="LZZ30" s="31"/>
      <c r="MAA30" s="31"/>
      <c r="MAB30" s="31"/>
      <c r="MAC30" s="31"/>
      <c r="MAD30" s="31"/>
      <c r="MAE30" s="31"/>
      <c r="MAF30" s="31"/>
      <c r="MAG30" s="31"/>
      <c r="MAH30" s="31"/>
      <c r="MAI30" s="31"/>
      <c r="MAJ30" s="31"/>
      <c r="MAK30" s="31"/>
      <c r="MAL30" s="31"/>
      <c r="MAM30" s="31"/>
      <c r="MAN30" s="31"/>
      <c r="MAO30" s="31"/>
      <c r="MAP30" s="31"/>
      <c r="MAQ30" s="31"/>
      <c r="MAR30" s="31"/>
      <c r="MAS30" s="31"/>
      <c r="MAT30" s="31"/>
      <c r="MAU30" s="31"/>
      <c r="MAV30" s="31"/>
      <c r="MAW30" s="31"/>
      <c r="MAX30" s="31"/>
      <c r="MAY30" s="31"/>
      <c r="MAZ30" s="31"/>
      <c r="MBA30" s="31"/>
      <c r="MBB30" s="31"/>
      <c r="MBC30" s="31"/>
      <c r="MBD30" s="31"/>
      <c r="MBE30" s="31"/>
      <c r="MBF30" s="31"/>
      <c r="MBG30" s="31"/>
      <c r="MBH30" s="31"/>
      <c r="MBI30" s="31"/>
      <c r="MBJ30" s="31"/>
      <c r="MBK30" s="31"/>
      <c r="MBL30" s="31"/>
      <c r="MBM30" s="31"/>
      <c r="MBN30" s="31"/>
      <c r="MBO30" s="31"/>
      <c r="MBP30" s="31"/>
      <c r="MBQ30" s="31"/>
      <c r="MBR30" s="31"/>
      <c r="MBS30" s="31"/>
      <c r="MBT30" s="31"/>
      <c r="MBU30" s="31"/>
      <c r="MBV30" s="31"/>
      <c r="MBW30" s="31"/>
      <c r="MBX30" s="31"/>
      <c r="MBY30" s="31"/>
      <c r="MBZ30" s="31"/>
      <c r="MCA30" s="31"/>
      <c r="MCB30" s="31"/>
      <c r="MCC30" s="31"/>
      <c r="MCD30" s="31"/>
      <c r="MCE30" s="31"/>
      <c r="MCF30" s="31"/>
      <c r="MCG30" s="31"/>
      <c r="MCH30" s="31"/>
      <c r="MCI30" s="31"/>
      <c r="MCJ30" s="31"/>
      <c r="MCK30" s="31"/>
      <c r="MCL30" s="31"/>
      <c r="MCM30" s="31"/>
      <c r="MCN30" s="31"/>
      <c r="MCO30" s="31"/>
      <c r="MCP30" s="31"/>
      <c r="MCQ30" s="31"/>
      <c r="MCR30" s="31"/>
      <c r="MCS30" s="31"/>
      <c r="MCT30" s="31"/>
      <c r="MCU30" s="31"/>
      <c r="MCV30" s="31"/>
      <c r="MCW30" s="31"/>
      <c r="MCX30" s="31"/>
      <c r="MCY30" s="31"/>
      <c r="MCZ30" s="31"/>
      <c r="MDA30" s="31"/>
      <c r="MDB30" s="31"/>
      <c r="MDC30" s="31"/>
      <c r="MDD30" s="31"/>
      <c r="MDE30" s="31"/>
      <c r="MDF30" s="31"/>
      <c r="MDG30" s="31"/>
      <c r="MDH30" s="31"/>
      <c r="MDI30" s="31"/>
      <c r="MDJ30" s="31"/>
      <c r="MDK30" s="31"/>
      <c r="MDL30" s="31"/>
      <c r="MDM30" s="31"/>
      <c r="MDN30" s="31"/>
      <c r="MDO30" s="31"/>
      <c r="MDP30" s="31"/>
      <c r="MDQ30" s="31"/>
      <c r="MDR30" s="31"/>
      <c r="MDS30" s="31"/>
      <c r="MDT30" s="31"/>
      <c r="MDU30" s="31"/>
      <c r="MDV30" s="31"/>
      <c r="MDW30" s="31"/>
      <c r="MDX30" s="31"/>
      <c r="MDY30" s="31"/>
      <c r="MDZ30" s="31"/>
      <c r="MEA30" s="31"/>
      <c r="MEB30" s="31"/>
      <c r="MEC30" s="31"/>
      <c r="MED30" s="31"/>
      <c r="MEE30" s="31"/>
      <c r="MEF30" s="31"/>
      <c r="MEG30" s="31"/>
      <c r="MEH30" s="31"/>
      <c r="MEI30" s="31"/>
      <c r="MEJ30" s="31"/>
      <c r="MEK30" s="31"/>
      <c r="MEL30" s="31"/>
      <c r="MEM30" s="31"/>
      <c r="MEN30" s="31"/>
      <c r="MEO30" s="31"/>
      <c r="MEP30" s="31"/>
      <c r="MEQ30" s="31"/>
      <c r="MER30" s="31"/>
      <c r="MES30" s="31"/>
      <c r="MET30" s="31"/>
      <c r="MEU30" s="31"/>
      <c r="MEV30" s="31"/>
      <c r="MEW30" s="31"/>
      <c r="MEX30" s="31"/>
      <c r="MEY30" s="31"/>
      <c r="MEZ30" s="31"/>
      <c r="MFA30" s="31"/>
      <c r="MFB30" s="31"/>
      <c r="MFC30" s="31"/>
      <c r="MFD30" s="31"/>
      <c r="MFE30" s="31"/>
      <c r="MFF30" s="31"/>
      <c r="MFG30" s="31"/>
      <c r="MFH30" s="31"/>
      <c r="MFI30" s="31"/>
      <c r="MFJ30" s="31"/>
      <c r="MFK30" s="31"/>
      <c r="MFL30" s="31"/>
      <c r="MFM30" s="31"/>
      <c r="MFN30" s="31"/>
      <c r="MFO30" s="31"/>
      <c r="MFP30" s="31"/>
      <c r="MFQ30" s="31"/>
      <c r="MFR30" s="31"/>
      <c r="MFS30" s="31"/>
      <c r="MFT30" s="31"/>
      <c r="MFU30" s="31"/>
      <c r="MFV30" s="31"/>
      <c r="MFW30" s="31"/>
      <c r="MFX30" s="31"/>
      <c r="MFY30" s="31"/>
      <c r="MFZ30" s="31"/>
      <c r="MGA30" s="31"/>
      <c r="MGB30" s="31"/>
      <c r="MGC30" s="31"/>
      <c r="MGD30" s="31"/>
      <c r="MGE30" s="31"/>
      <c r="MGF30" s="31"/>
      <c r="MGG30" s="31"/>
      <c r="MGH30" s="31"/>
      <c r="MGI30" s="31"/>
      <c r="MGJ30" s="31"/>
      <c r="MGK30" s="31"/>
      <c r="MGL30" s="31"/>
      <c r="MGM30" s="31"/>
      <c r="MGN30" s="31"/>
      <c r="MGO30" s="31"/>
      <c r="MGP30" s="31"/>
      <c r="MGQ30" s="31"/>
      <c r="MGR30" s="31"/>
      <c r="MGS30" s="31"/>
      <c r="MGT30" s="31"/>
      <c r="MGU30" s="31"/>
      <c r="MGV30" s="31"/>
      <c r="MGW30" s="31"/>
      <c r="MGX30" s="31"/>
      <c r="MGY30" s="31"/>
      <c r="MGZ30" s="31"/>
      <c r="MHA30" s="31"/>
      <c r="MHB30" s="31"/>
      <c r="MHC30" s="31"/>
      <c r="MHD30" s="31"/>
      <c r="MHE30" s="31"/>
      <c r="MHF30" s="31"/>
      <c r="MHG30" s="31"/>
      <c r="MHH30" s="31"/>
      <c r="MHI30" s="31"/>
      <c r="MHJ30" s="31"/>
      <c r="MHK30" s="31"/>
      <c r="MHL30" s="31"/>
      <c r="MHM30" s="31"/>
      <c r="MHN30" s="31"/>
      <c r="MHO30" s="31"/>
      <c r="MHP30" s="31"/>
      <c r="MHQ30" s="31"/>
      <c r="MHR30" s="31"/>
      <c r="MHS30" s="31"/>
      <c r="MHT30" s="31"/>
      <c r="MHU30" s="31"/>
      <c r="MHV30" s="31"/>
      <c r="MHW30" s="31"/>
      <c r="MHX30" s="31"/>
      <c r="MHY30" s="31"/>
      <c r="MHZ30" s="31"/>
      <c r="MIA30" s="31"/>
      <c r="MIB30" s="31"/>
      <c r="MIC30" s="31"/>
      <c r="MID30" s="31"/>
      <c r="MIE30" s="31"/>
      <c r="MIF30" s="31"/>
      <c r="MIG30" s="31"/>
      <c r="MIH30" s="31"/>
      <c r="MII30" s="31"/>
      <c r="MIJ30" s="31"/>
      <c r="MIK30" s="31"/>
      <c r="MIL30" s="31"/>
      <c r="MIM30" s="31"/>
      <c r="MIN30" s="31"/>
      <c r="MIO30" s="31"/>
      <c r="MIP30" s="31"/>
      <c r="MIQ30" s="31"/>
      <c r="MIR30" s="31"/>
      <c r="MIS30" s="31"/>
      <c r="MIT30" s="31"/>
      <c r="MIU30" s="31"/>
      <c r="MIV30" s="31"/>
      <c r="MIW30" s="31"/>
      <c r="MIX30" s="31"/>
      <c r="MIY30" s="31"/>
      <c r="MIZ30" s="31"/>
      <c r="MJA30" s="31"/>
      <c r="MJB30" s="31"/>
      <c r="MJC30" s="31"/>
      <c r="MJD30" s="31"/>
      <c r="MJE30" s="31"/>
      <c r="MJF30" s="31"/>
      <c r="MJG30" s="31"/>
      <c r="MJH30" s="31"/>
      <c r="MJI30" s="31"/>
      <c r="MJJ30" s="31"/>
      <c r="MJK30" s="31"/>
      <c r="MJL30" s="31"/>
      <c r="MJM30" s="31"/>
      <c r="MJN30" s="31"/>
      <c r="MJO30" s="31"/>
      <c r="MJP30" s="31"/>
      <c r="MJQ30" s="31"/>
      <c r="MJR30" s="31"/>
      <c r="MJS30" s="31"/>
      <c r="MJT30" s="31"/>
      <c r="MJU30" s="31"/>
      <c r="MJV30" s="31"/>
      <c r="MJW30" s="31"/>
      <c r="MJX30" s="31"/>
      <c r="MJY30" s="31"/>
      <c r="MJZ30" s="31"/>
      <c r="MKA30" s="31"/>
      <c r="MKB30" s="31"/>
      <c r="MKC30" s="31"/>
      <c r="MKD30" s="31"/>
      <c r="MKE30" s="31"/>
      <c r="MKF30" s="31"/>
      <c r="MKG30" s="31"/>
      <c r="MKH30" s="31"/>
      <c r="MKI30" s="31"/>
      <c r="MKJ30" s="31"/>
      <c r="MKK30" s="31"/>
      <c r="MKL30" s="31"/>
      <c r="MKM30" s="31"/>
      <c r="MKN30" s="31"/>
      <c r="MKO30" s="31"/>
      <c r="MKP30" s="31"/>
      <c r="MKQ30" s="31"/>
      <c r="MKR30" s="31"/>
      <c r="MKS30" s="31"/>
      <c r="MKT30" s="31"/>
      <c r="MKU30" s="31"/>
      <c r="MKV30" s="31"/>
      <c r="MKW30" s="31"/>
      <c r="MKX30" s="31"/>
      <c r="MKY30" s="31"/>
      <c r="MKZ30" s="31"/>
      <c r="MLA30" s="31"/>
      <c r="MLB30" s="31"/>
      <c r="MLC30" s="31"/>
      <c r="MLD30" s="31"/>
      <c r="MLE30" s="31"/>
      <c r="MLF30" s="31"/>
      <c r="MLG30" s="31"/>
      <c r="MLH30" s="31"/>
      <c r="MLI30" s="31"/>
      <c r="MLJ30" s="31"/>
      <c r="MLK30" s="31"/>
      <c r="MLL30" s="31"/>
      <c r="MLM30" s="31"/>
      <c r="MLN30" s="31"/>
      <c r="MLO30" s="31"/>
      <c r="MLP30" s="31"/>
      <c r="MLQ30" s="31"/>
      <c r="MLR30" s="31"/>
      <c r="MLS30" s="31"/>
      <c r="MLT30" s="31"/>
      <c r="MLU30" s="31"/>
      <c r="MLV30" s="31"/>
      <c r="MLW30" s="31"/>
      <c r="MLX30" s="31"/>
      <c r="MLY30" s="31"/>
      <c r="MLZ30" s="31"/>
      <c r="MMA30" s="31"/>
      <c r="MMB30" s="31"/>
      <c r="MMC30" s="31"/>
      <c r="MMD30" s="31"/>
      <c r="MME30" s="31"/>
      <c r="MMF30" s="31"/>
      <c r="MMG30" s="31"/>
      <c r="MMH30" s="31"/>
      <c r="MMI30" s="31"/>
      <c r="MMJ30" s="31"/>
      <c r="MMK30" s="31"/>
      <c r="MML30" s="31"/>
      <c r="MMM30" s="31"/>
      <c r="MMN30" s="31"/>
      <c r="MMO30" s="31"/>
      <c r="MMP30" s="31"/>
      <c r="MMQ30" s="31"/>
      <c r="MMR30" s="31"/>
      <c r="MMS30" s="31"/>
      <c r="MMT30" s="31"/>
      <c r="MMU30" s="31"/>
      <c r="MMV30" s="31"/>
      <c r="MMW30" s="31"/>
      <c r="MMX30" s="31"/>
      <c r="MMY30" s="31"/>
      <c r="MMZ30" s="31"/>
      <c r="MNA30" s="31"/>
      <c r="MNB30" s="31"/>
      <c r="MNC30" s="31"/>
      <c r="MND30" s="31"/>
      <c r="MNE30" s="31"/>
      <c r="MNF30" s="31"/>
      <c r="MNG30" s="31"/>
      <c r="MNH30" s="31"/>
      <c r="MNI30" s="31"/>
      <c r="MNJ30" s="31"/>
      <c r="MNK30" s="31"/>
      <c r="MNL30" s="31"/>
      <c r="MNM30" s="31"/>
      <c r="MNN30" s="31"/>
      <c r="MNO30" s="31"/>
      <c r="MNP30" s="31"/>
      <c r="MNQ30" s="31"/>
      <c r="MNR30" s="31"/>
      <c r="MNS30" s="31"/>
      <c r="MNT30" s="31"/>
      <c r="MNU30" s="31"/>
      <c r="MNV30" s="31"/>
      <c r="MNW30" s="31"/>
      <c r="MNX30" s="31"/>
      <c r="MNY30" s="31"/>
      <c r="MNZ30" s="31"/>
      <c r="MOA30" s="31"/>
      <c r="MOB30" s="31"/>
      <c r="MOC30" s="31"/>
      <c r="MOD30" s="31"/>
      <c r="MOE30" s="31"/>
      <c r="MOF30" s="31"/>
      <c r="MOG30" s="31"/>
      <c r="MOH30" s="31"/>
      <c r="MOI30" s="31"/>
      <c r="MOJ30" s="31"/>
      <c r="MOK30" s="31"/>
      <c r="MOL30" s="31"/>
      <c r="MOM30" s="31"/>
      <c r="MON30" s="31"/>
      <c r="MOO30" s="31"/>
      <c r="MOP30" s="31"/>
      <c r="MOQ30" s="31"/>
      <c r="MOR30" s="31"/>
      <c r="MOS30" s="31"/>
      <c r="MOT30" s="31"/>
      <c r="MOU30" s="31"/>
      <c r="MOV30" s="31"/>
      <c r="MOW30" s="31"/>
      <c r="MOX30" s="31"/>
      <c r="MOY30" s="31"/>
      <c r="MOZ30" s="31"/>
      <c r="MPA30" s="31"/>
      <c r="MPB30" s="31"/>
      <c r="MPC30" s="31"/>
      <c r="MPD30" s="31"/>
      <c r="MPE30" s="31"/>
      <c r="MPF30" s="31"/>
      <c r="MPG30" s="31"/>
      <c r="MPH30" s="31"/>
      <c r="MPI30" s="31"/>
      <c r="MPJ30" s="31"/>
      <c r="MPK30" s="31"/>
      <c r="MPL30" s="31"/>
      <c r="MPM30" s="31"/>
      <c r="MPN30" s="31"/>
      <c r="MPO30" s="31"/>
      <c r="MPP30" s="31"/>
      <c r="MPQ30" s="31"/>
      <c r="MPR30" s="31"/>
      <c r="MPS30" s="31"/>
      <c r="MPT30" s="31"/>
      <c r="MPU30" s="31"/>
      <c r="MPV30" s="31"/>
      <c r="MPW30" s="31"/>
      <c r="MPX30" s="31"/>
      <c r="MPY30" s="31"/>
      <c r="MPZ30" s="31"/>
      <c r="MQA30" s="31"/>
      <c r="MQB30" s="31"/>
      <c r="MQC30" s="31"/>
      <c r="MQD30" s="31"/>
      <c r="MQE30" s="31"/>
      <c r="MQF30" s="31"/>
      <c r="MQG30" s="31"/>
      <c r="MQH30" s="31"/>
      <c r="MQI30" s="31"/>
      <c r="MQJ30" s="31"/>
      <c r="MQK30" s="31"/>
      <c r="MQL30" s="31"/>
      <c r="MQM30" s="31"/>
      <c r="MQN30" s="31"/>
      <c r="MQO30" s="31"/>
      <c r="MQP30" s="31"/>
      <c r="MQQ30" s="31"/>
      <c r="MQR30" s="31"/>
      <c r="MQS30" s="31"/>
      <c r="MQT30" s="31"/>
      <c r="MQU30" s="31"/>
      <c r="MQV30" s="31"/>
      <c r="MQW30" s="31"/>
      <c r="MQX30" s="31"/>
      <c r="MQY30" s="31"/>
      <c r="MQZ30" s="31"/>
      <c r="MRA30" s="31"/>
      <c r="MRB30" s="31"/>
      <c r="MRC30" s="31"/>
      <c r="MRD30" s="31"/>
      <c r="MRE30" s="31"/>
      <c r="MRF30" s="31"/>
      <c r="MRG30" s="31"/>
      <c r="MRH30" s="31"/>
      <c r="MRI30" s="31"/>
      <c r="MRJ30" s="31"/>
      <c r="MRK30" s="31"/>
      <c r="MRL30" s="31"/>
      <c r="MRM30" s="31"/>
      <c r="MRN30" s="31"/>
      <c r="MRO30" s="31"/>
      <c r="MRP30" s="31"/>
      <c r="MRQ30" s="31"/>
      <c r="MRR30" s="31"/>
      <c r="MRS30" s="31"/>
      <c r="MRT30" s="31"/>
      <c r="MRU30" s="31"/>
      <c r="MRV30" s="31"/>
      <c r="MRW30" s="31"/>
      <c r="MRX30" s="31"/>
      <c r="MRY30" s="31"/>
      <c r="MRZ30" s="31"/>
      <c r="MSA30" s="31"/>
      <c r="MSB30" s="31"/>
      <c r="MSC30" s="31"/>
      <c r="MSD30" s="31"/>
      <c r="MSE30" s="31"/>
      <c r="MSF30" s="31"/>
      <c r="MSG30" s="31"/>
      <c r="MSH30" s="31"/>
      <c r="MSI30" s="31"/>
      <c r="MSJ30" s="31"/>
      <c r="MSK30" s="31"/>
      <c r="MSL30" s="31"/>
      <c r="MSM30" s="31"/>
      <c r="MSN30" s="31"/>
      <c r="MSO30" s="31"/>
      <c r="MSP30" s="31"/>
      <c r="MSQ30" s="31"/>
      <c r="MSR30" s="31"/>
      <c r="MSS30" s="31"/>
      <c r="MST30" s="31"/>
      <c r="MSU30" s="31"/>
      <c r="MSV30" s="31"/>
      <c r="MSW30" s="31"/>
      <c r="MSX30" s="31"/>
      <c r="MSY30" s="31"/>
      <c r="MSZ30" s="31"/>
      <c r="MTA30" s="31"/>
      <c r="MTB30" s="31"/>
      <c r="MTC30" s="31"/>
      <c r="MTD30" s="31"/>
      <c r="MTE30" s="31"/>
      <c r="MTF30" s="31"/>
      <c r="MTG30" s="31"/>
      <c r="MTH30" s="31"/>
      <c r="MTI30" s="31"/>
      <c r="MTJ30" s="31"/>
      <c r="MTK30" s="31"/>
      <c r="MTL30" s="31"/>
      <c r="MTM30" s="31"/>
      <c r="MTN30" s="31"/>
      <c r="MTO30" s="31"/>
      <c r="MTP30" s="31"/>
      <c r="MTQ30" s="31"/>
      <c r="MTR30" s="31"/>
      <c r="MTS30" s="31"/>
      <c r="MTT30" s="31"/>
      <c r="MTU30" s="31"/>
      <c r="MTV30" s="31"/>
      <c r="MTW30" s="31"/>
      <c r="MTX30" s="31"/>
      <c r="MTY30" s="31"/>
      <c r="MTZ30" s="31"/>
      <c r="MUA30" s="31"/>
      <c r="MUB30" s="31"/>
      <c r="MUC30" s="31"/>
      <c r="MUD30" s="31"/>
      <c r="MUE30" s="31"/>
      <c r="MUF30" s="31"/>
      <c r="MUG30" s="31"/>
      <c r="MUH30" s="31"/>
      <c r="MUI30" s="31"/>
      <c r="MUJ30" s="31"/>
      <c r="MUK30" s="31"/>
      <c r="MUL30" s="31"/>
      <c r="MUM30" s="31"/>
      <c r="MUN30" s="31"/>
      <c r="MUO30" s="31"/>
      <c r="MUP30" s="31"/>
      <c r="MUQ30" s="31"/>
      <c r="MUR30" s="31"/>
      <c r="MUS30" s="31"/>
      <c r="MUT30" s="31"/>
      <c r="MUU30" s="31"/>
      <c r="MUV30" s="31"/>
      <c r="MUW30" s="31"/>
      <c r="MUX30" s="31"/>
      <c r="MUY30" s="31"/>
      <c r="MUZ30" s="31"/>
      <c r="MVA30" s="31"/>
      <c r="MVB30" s="31"/>
      <c r="MVC30" s="31"/>
      <c r="MVD30" s="31"/>
      <c r="MVE30" s="31"/>
      <c r="MVF30" s="31"/>
      <c r="MVG30" s="31"/>
      <c r="MVH30" s="31"/>
      <c r="MVI30" s="31"/>
      <c r="MVJ30" s="31"/>
      <c r="MVK30" s="31"/>
      <c r="MVL30" s="31"/>
      <c r="MVM30" s="31"/>
      <c r="MVN30" s="31"/>
      <c r="MVO30" s="31"/>
      <c r="MVP30" s="31"/>
      <c r="MVQ30" s="31"/>
      <c r="MVR30" s="31"/>
      <c r="MVS30" s="31"/>
      <c r="MVT30" s="31"/>
      <c r="MVU30" s="31"/>
      <c r="MVV30" s="31"/>
      <c r="MVW30" s="31"/>
      <c r="MVX30" s="31"/>
      <c r="MVY30" s="31"/>
      <c r="MVZ30" s="31"/>
      <c r="MWA30" s="31"/>
      <c r="MWB30" s="31"/>
      <c r="MWC30" s="31"/>
      <c r="MWD30" s="31"/>
      <c r="MWE30" s="31"/>
      <c r="MWF30" s="31"/>
      <c r="MWG30" s="31"/>
      <c r="MWH30" s="31"/>
      <c r="MWI30" s="31"/>
      <c r="MWJ30" s="31"/>
      <c r="MWK30" s="31"/>
      <c r="MWL30" s="31"/>
      <c r="MWM30" s="31"/>
      <c r="MWN30" s="31"/>
      <c r="MWO30" s="31"/>
      <c r="MWP30" s="31"/>
      <c r="MWQ30" s="31"/>
      <c r="MWR30" s="31"/>
      <c r="MWS30" s="31"/>
      <c r="MWT30" s="31"/>
      <c r="MWU30" s="31"/>
      <c r="MWV30" s="31"/>
      <c r="MWW30" s="31"/>
      <c r="MWX30" s="31"/>
      <c r="MWY30" s="31"/>
      <c r="MWZ30" s="31"/>
      <c r="MXA30" s="31"/>
      <c r="MXB30" s="31"/>
      <c r="MXC30" s="31"/>
      <c r="MXD30" s="31"/>
      <c r="MXE30" s="31"/>
      <c r="MXF30" s="31"/>
      <c r="MXG30" s="31"/>
      <c r="MXH30" s="31"/>
      <c r="MXI30" s="31"/>
      <c r="MXJ30" s="31"/>
      <c r="MXK30" s="31"/>
      <c r="MXL30" s="31"/>
      <c r="MXM30" s="31"/>
      <c r="MXN30" s="31"/>
      <c r="MXO30" s="31"/>
      <c r="MXP30" s="31"/>
      <c r="MXQ30" s="31"/>
      <c r="MXR30" s="31"/>
      <c r="MXS30" s="31"/>
      <c r="MXT30" s="31"/>
      <c r="MXU30" s="31"/>
      <c r="MXV30" s="31"/>
      <c r="MXW30" s="31"/>
      <c r="MXX30" s="31"/>
      <c r="MXY30" s="31"/>
      <c r="MXZ30" s="31"/>
      <c r="MYA30" s="31"/>
      <c r="MYB30" s="31"/>
      <c r="MYC30" s="31"/>
      <c r="MYD30" s="31"/>
      <c r="MYE30" s="31"/>
      <c r="MYF30" s="31"/>
      <c r="MYG30" s="31"/>
      <c r="MYH30" s="31"/>
      <c r="MYI30" s="31"/>
      <c r="MYJ30" s="31"/>
      <c r="MYK30" s="31"/>
      <c r="MYL30" s="31"/>
      <c r="MYM30" s="31"/>
      <c r="MYN30" s="31"/>
      <c r="MYO30" s="31"/>
      <c r="MYP30" s="31"/>
      <c r="MYQ30" s="31"/>
      <c r="MYR30" s="31"/>
      <c r="MYS30" s="31"/>
      <c r="MYT30" s="31"/>
      <c r="MYU30" s="31"/>
      <c r="MYV30" s="31"/>
      <c r="MYW30" s="31"/>
      <c r="MYX30" s="31"/>
      <c r="MYY30" s="31"/>
      <c r="MYZ30" s="31"/>
      <c r="MZA30" s="31"/>
      <c r="MZB30" s="31"/>
      <c r="MZC30" s="31"/>
      <c r="MZD30" s="31"/>
      <c r="MZE30" s="31"/>
      <c r="MZF30" s="31"/>
      <c r="MZG30" s="31"/>
      <c r="MZH30" s="31"/>
      <c r="MZI30" s="31"/>
      <c r="MZJ30" s="31"/>
      <c r="MZK30" s="31"/>
      <c r="MZL30" s="31"/>
      <c r="MZM30" s="31"/>
      <c r="MZN30" s="31"/>
      <c r="MZO30" s="31"/>
      <c r="MZP30" s="31"/>
      <c r="MZQ30" s="31"/>
      <c r="MZR30" s="31"/>
      <c r="MZS30" s="31"/>
      <c r="MZT30" s="31"/>
      <c r="MZU30" s="31"/>
      <c r="MZV30" s="31"/>
      <c r="MZW30" s="31"/>
      <c r="MZX30" s="31"/>
      <c r="MZY30" s="31"/>
      <c r="MZZ30" s="31"/>
      <c r="NAA30" s="31"/>
      <c r="NAB30" s="31"/>
      <c r="NAC30" s="31"/>
      <c r="NAD30" s="31"/>
      <c r="NAE30" s="31"/>
      <c r="NAF30" s="31"/>
      <c r="NAG30" s="31"/>
      <c r="NAH30" s="31"/>
      <c r="NAI30" s="31"/>
      <c r="NAJ30" s="31"/>
      <c r="NAK30" s="31"/>
      <c r="NAL30" s="31"/>
      <c r="NAM30" s="31"/>
      <c r="NAN30" s="31"/>
      <c r="NAO30" s="31"/>
      <c r="NAP30" s="31"/>
      <c r="NAQ30" s="31"/>
      <c r="NAR30" s="31"/>
      <c r="NAS30" s="31"/>
      <c r="NAT30" s="31"/>
      <c r="NAU30" s="31"/>
      <c r="NAV30" s="31"/>
      <c r="NAW30" s="31"/>
      <c r="NAX30" s="31"/>
      <c r="NAY30" s="31"/>
      <c r="NAZ30" s="31"/>
      <c r="NBA30" s="31"/>
      <c r="NBB30" s="31"/>
      <c r="NBC30" s="31"/>
      <c r="NBD30" s="31"/>
      <c r="NBE30" s="31"/>
      <c r="NBF30" s="31"/>
      <c r="NBG30" s="31"/>
      <c r="NBH30" s="31"/>
      <c r="NBI30" s="31"/>
      <c r="NBJ30" s="31"/>
      <c r="NBK30" s="31"/>
      <c r="NBL30" s="31"/>
      <c r="NBM30" s="31"/>
      <c r="NBN30" s="31"/>
      <c r="NBO30" s="31"/>
      <c r="NBP30" s="31"/>
      <c r="NBQ30" s="31"/>
      <c r="NBR30" s="31"/>
      <c r="NBS30" s="31"/>
      <c r="NBT30" s="31"/>
      <c r="NBU30" s="31"/>
      <c r="NBV30" s="31"/>
      <c r="NBW30" s="31"/>
      <c r="NBX30" s="31"/>
      <c r="NBY30" s="31"/>
      <c r="NBZ30" s="31"/>
      <c r="NCA30" s="31"/>
      <c r="NCB30" s="31"/>
      <c r="NCC30" s="31"/>
      <c r="NCD30" s="31"/>
      <c r="NCE30" s="31"/>
      <c r="NCF30" s="31"/>
      <c r="NCG30" s="31"/>
      <c r="NCH30" s="31"/>
      <c r="NCI30" s="31"/>
      <c r="NCJ30" s="31"/>
      <c r="NCK30" s="31"/>
      <c r="NCL30" s="31"/>
      <c r="NCM30" s="31"/>
      <c r="NCN30" s="31"/>
      <c r="NCO30" s="31"/>
      <c r="NCP30" s="31"/>
      <c r="NCQ30" s="31"/>
      <c r="NCR30" s="31"/>
      <c r="NCS30" s="31"/>
      <c r="NCT30" s="31"/>
      <c r="NCU30" s="31"/>
      <c r="NCV30" s="31"/>
      <c r="NCW30" s="31"/>
      <c r="NCX30" s="31"/>
      <c r="NCY30" s="31"/>
      <c r="NCZ30" s="31"/>
      <c r="NDA30" s="31"/>
      <c r="NDB30" s="31"/>
      <c r="NDC30" s="31"/>
      <c r="NDD30" s="31"/>
      <c r="NDE30" s="31"/>
      <c r="NDF30" s="31"/>
      <c r="NDG30" s="31"/>
      <c r="NDH30" s="31"/>
      <c r="NDI30" s="31"/>
      <c r="NDJ30" s="31"/>
      <c r="NDK30" s="31"/>
      <c r="NDL30" s="31"/>
      <c r="NDM30" s="31"/>
      <c r="NDN30" s="31"/>
      <c r="NDO30" s="31"/>
      <c r="NDP30" s="31"/>
      <c r="NDQ30" s="31"/>
      <c r="NDR30" s="31"/>
      <c r="NDS30" s="31"/>
      <c r="NDT30" s="31"/>
      <c r="NDU30" s="31"/>
      <c r="NDV30" s="31"/>
      <c r="NDW30" s="31"/>
      <c r="NDX30" s="31"/>
      <c r="NDY30" s="31"/>
      <c r="NDZ30" s="31"/>
      <c r="NEA30" s="31"/>
      <c r="NEB30" s="31"/>
      <c r="NEC30" s="31"/>
      <c r="NED30" s="31"/>
      <c r="NEE30" s="31"/>
      <c r="NEF30" s="31"/>
      <c r="NEG30" s="31"/>
      <c r="NEH30" s="31"/>
      <c r="NEI30" s="31"/>
      <c r="NEJ30" s="31"/>
      <c r="NEK30" s="31"/>
      <c r="NEL30" s="31"/>
      <c r="NEM30" s="31"/>
      <c r="NEN30" s="31"/>
      <c r="NEO30" s="31"/>
      <c r="NEP30" s="31"/>
      <c r="NEQ30" s="31"/>
      <c r="NER30" s="31"/>
      <c r="NES30" s="31"/>
      <c r="NET30" s="31"/>
      <c r="NEU30" s="31"/>
      <c r="NEV30" s="31"/>
      <c r="NEW30" s="31"/>
      <c r="NEX30" s="31"/>
      <c r="NEY30" s="31"/>
      <c r="NEZ30" s="31"/>
      <c r="NFA30" s="31"/>
      <c r="NFB30" s="31"/>
      <c r="NFC30" s="31"/>
      <c r="NFD30" s="31"/>
      <c r="NFE30" s="31"/>
      <c r="NFF30" s="31"/>
      <c r="NFG30" s="31"/>
      <c r="NFH30" s="31"/>
      <c r="NFI30" s="31"/>
      <c r="NFJ30" s="31"/>
      <c r="NFK30" s="31"/>
      <c r="NFL30" s="31"/>
      <c r="NFM30" s="31"/>
      <c r="NFN30" s="31"/>
      <c r="NFO30" s="31"/>
      <c r="NFP30" s="31"/>
      <c r="NFQ30" s="31"/>
      <c r="NFR30" s="31"/>
      <c r="NFS30" s="31"/>
      <c r="NFT30" s="31"/>
      <c r="NFU30" s="31"/>
      <c r="NFV30" s="31"/>
      <c r="NFW30" s="31"/>
      <c r="NFX30" s="31"/>
      <c r="NFY30" s="31"/>
      <c r="NFZ30" s="31"/>
      <c r="NGA30" s="31"/>
      <c r="NGB30" s="31"/>
      <c r="NGC30" s="31"/>
      <c r="NGD30" s="31"/>
      <c r="NGE30" s="31"/>
      <c r="NGF30" s="31"/>
      <c r="NGG30" s="31"/>
      <c r="NGH30" s="31"/>
      <c r="NGI30" s="31"/>
      <c r="NGJ30" s="31"/>
      <c r="NGK30" s="31"/>
      <c r="NGL30" s="31"/>
      <c r="NGM30" s="31"/>
      <c r="NGN30" s="31"/>
      <c r="NGO30" s="31"/>
      <c r="NGP30" s="31"/>
      <c r="NGQ30" s="31"/>
      <c r="NGR30" s="31"/>
      <c r="NGS30" s="31"/>
      <c r="NGT30" s="31"/>
      <c r="NGU30" s="31"/>
      <c r="NGV30" s="31"/>
      <c r="NGW30" s="31"/>
      <c r="NGX30" s="31"/>
      <c r="NGY30" s="31"/>
      <c r="NGZ30" s="31"/>
      <c r="NHA30" s="31"/>
      <c r="NHB30" s="31"/>
      <c r="NHC30" s="31"/>
      <c r="NHD30" s="31"/>
      <c r="NHE30" s="31"/>
      <c r="NHF30" s="31"/>
      <c r="NHG30" s="31"/>
      <c r="NHH30" s="31"/>
      <c r="NHI30" s="31"/>
      <c r="NHJ30" s="31"/>
      <c r="NHK30" s="31"/>
      <c r="NHL30" s="31"/>
      <c r="NHM30" s="31"/>
      <c r="NHN30" s="31"/>
      <c r="NHO30" s="31"/>
      <c r="NHP30" s="31"/>
      <c r="NHQ30" s="31"/>
      <c r="NHR30" s="31"/>
      <c r="NHS30" s="31"/>
      <c r="NHT30" s="31"/>
      <c r="NHU30" s="31"/>
      <c r="NHV30" s="31"/>
      <c r="NHW30" s="31"/>
      <c r="NHX30" s="31"/>
      <c r="NHY30" s="31"/>
      <c r="NHZ30" s="31"/>
      <c r="NIA30" s="31"/>
      <c r="NIB30" s="31"/>
      <c r="NIC30" s="31"/>
      <c r="NID30" s="31"/>
      <c r="NIE30" s="31"/>
      <c r="NIF30" s="31"/>
      <c r="NIG30" s="31"/>
      <c r="NIH30" s="31"/>
      <c r="NII30" s="31"/>
      <c r="NIJ30" s="31"/>
      <c r="NIK30" s="31"/>
      <c r="NIL30" s="31"/>
      <c r="NIM30" s="31"/>
      <c r="NIN30" s="31"/>
      <c r="NIO30" s="31"/>
      <c r="NIP30" s="31"/>
      <c r="NIQ30" s="31"/>
      <c r="NIR30" s="31"/>
      <c r="NIS30" s="31"/>
      <c r="NIT30" s="31"/>
      <c r="NIU30" s="31"/>
      <c r="NIV30" s="31"/>
      <c r="NIW30" s="31"/>
      <c r="NIX30" s="31"/>
      <c r="NIY30" s="31"/>
      <c r="NIZ30" s="31"/>
      <c r="NJA30" s="31"/>
      <c r="NJB30" s="31"/>
      <c r="NJC30" s="31"/>
      <c r="NJD30" s="31"/>
      <c r="NJE30" s="31"/>
      <c r="NJF30" s="31"/>
      <c r="NJG30" s="31"/>
      <c r="NJH30" s="31"/>
      <c r="NJI30" s="31"/>
      <c r="NJJ30" s="31"/>
      <c r="NJK30" s="31"/>
      <c r="NJL30" s="31"/>
      <c r="NJM30" s="31"/>
      <c r="NJN30" s="31"/>
      <c r="NJO30" s="31"/>
      <c r="NJP30" s="31"/>
      <c r="NJQ30" s="31"/>
      <c r="NJR30" s="31"/>
      <c r="NJS30" s="31"/>
      <c r="NJT30" s="31"/>
      <c r="NJU30" s="31"/>
      <c r="NJV30" s="31"/>
      <c r="NJW30" s="31"/>
      <c r="NJX30" s="31"/>
      <c r="NJY30" s="31"/>
      <c r="NJZ30" s="31"/>
      <c r="NKA30" s="31"/>
      <c r="NKB30" s="31"/>
      <c r="NKC30" s="31"/>
      <c r="NKD30" s="31"/>
      <c r="NKE30" s="31"/>
      <c r="NKF30" s="31"/>
      <c r="NKG30" s="31"/>
      <c r="NKH30" s="31"/>
      <c r="NKI30" s="31"/>
      <c r="NKJ30" s="31"/>
      <c r="NKK30" s="31"/>
      <c r="NKL30" s="31"/>
      <c r="NKM30" s="31"/>
      <c r="NKN30" s="31"/>
      <c r="NKO30" s="31"/>
      <c r="NKP30" s="31"/>
      <c r="NKQ30" s="31"/>
      <c r="NKR30" s="31"/>
      <c r="NKS30" s="31"/>
      <c r="NKT30" s="31"/>
      <c r="NKU30" s="31"/>
      <c r="NKV30" s="31"/>
      <c r="NKW30" s="31"/>
      <c r="NKX30" s="31"/>
      <c r="NKY30" s="31"/>
      <c r="NKZ30" s="31"/>
      <c r="NLA30" s="31"/>
      <c r="NLB30" s="31"/>
      <c r="NLC30" s="31"/>
      <c r="NLD30" s="31"/>
      <c r="NLE30" s="31"/>
      <c r="NLF30" s="31"/>
      <c r="NLG30" s="31"/>
      <c r="NLH30" s="31"/>
      <c r="NLI30" s="31"/>
      <c r="NLJ30" s="31"/>
      <c r="NLK30" s="31"/>
      <c r="NLL30" s="31"/>
      <c r="NLM30" s="31"/>
      <c r="NLN30" s="31"/>
      <c r="NLO30" s="31"/>
      <c r="NLP30" s="31"/>
      <c r="NLQ30" s="31"/>
      <c r="NLR30" s="31"/>
      <c r="NLS30" s="31"/>
      <c r="NLT30" s="31"/>
      <c r="NLU30" s="31"/>
      <c r="NLV30" s="31"/>
      <c r="NLW30" s="31"/>
      <c r="NLX30" s="31"/>
      <c r="NLY30" s="31"/>
      <c r="NLZ30" s="31"/>
      <c r="NMA30" s="31"/>
      <c r="NMB30" s="31"/>
      <c r="NMC30" s="31"/>
      <c r="NMD30" s="31"/>
      <c r="NME30" s="31"/>
      <c r="NMF30" s="31"/>
      <c r="NMG30" s="31"/>
      <c r="NMH30" s="31"/>
      <c r="NMI30" s="31"/>
      <c r="NMJ30" s="31"/>
      <c r="NMK30" s="31"/>
      <c r="NML30" s="31"/>
      <c r="NMM30" s="31"/>
      <c r="NMN30" s="31"/>
      <c r="NMO30" s="31"/>
      <c r="NMP30" s="31"/>
      <c r="NMQ30" s="31"/>
      <c r="NMR30" s="31"/>
      <c r="NMS30" s="31"/>
      <c r="NMT30" s="31"/>
      <c r="NMU30" s="31"/>
      <c r="NMV30" s="31"/>
      <c r="NMW30" s="31"/>
      <c r="NMX30" s="31"/>
      <c r="NMY30" s="31"/>
      <c r="NMZ30" s="31"/>
      <c r="NNA30" s="31"/>
      <c r="NNB30" s="31"/>
      <c r="NNC30" s="31"/>
      <c r="NND30" s="31"/>
      <c r="NNE30" s="31"/>
      <c r="NNF30" s="31"/>
      <c r="NNG30" s="31"/>
      <c r="NNH30" s="31"/>
      <c r="NNI30" s="31"/>
      <c r="NNJ30" s="31"/>
      <c r="NNK30" s="31"/>
      <c r="NNL30" s="31"/>
      <c r="NNM30" s="31"/>
      <c r="NNN30" s="31"/>
      <c r="NNO30" s="31"/>
      <c r="NNP30" s="31"/>
      <c r="NNQ30" s="31"/>
      <c r="NNR30" s="31"/>
      <c r="NNS30" s="31"/>
      <c r="NNT30" s="31"/>
      <c r="NNU30" s="31"/>
      <c r="NNV30" s="31"/>
      <c r="NNW30" s="31"/>
      <c r="NNX30" s="31"/>
      <c r="NNY30" s="31"/>
      <c r="NNZ30" s="31"/>
      <c r="NOA30" s="31"/>
      <c r="NOB30" s="31"/>
      <c r="NOC30" s="31"/>
      <c r="NOD30" s="31"/>
      <c r="NOE30" s="31"/>
      <c r="NOF30" s="31"/>
      <c r="NOG30" s="31"/>
      <c r="NOH30" s="31"/>
      <c r="NOI30" s="31"/>
      <c r="NOJ30" s="31"/>
      <c r="NOK30" s="31"/>
      <c r="NOL30" s="31"/>
      <c r="NOM30" s="31"/>
      <c r="NON30" s="31"/>
      <c r="NOO30" s="31"/>
      <c r="NOP30" s="31"/>
      <c r="NOQ30" s="31"/>
      <c r="NOR30" s="31"/>
      <c r="NOS30" s="31"/>
      <c r="NOT30" s="31"/>
      <c r="NOU30" s="31"/>
      <c r="NOV30" s="31"/>
      <c r="NOW30" s="31"/>
      <c r="NOX30" s="31"/>
      <c r="NOY30" s="31"/>
      <c r="NOZ30" s="31"/>
      <c r="NPA30" s="31"/>
      <c r="NPB30" s="31"/>
      <c r="NPC30" s="31"/>
      <c r="NPD30" s="31"/>
      <c r="NPE30" s="31"/>
      <c r="NPF30" s="31"/>
      <c r="NPG30" s="31"/>
      <c r="NPH30" s="31"/>
      <c r="NPI30" s="31"/>
      <c r="NPJ30" s="31"/>
      <c r="NPK30" s="31"/>
      <c r="NPL30" s="31"/>
      <c r="NPM30" s="31"/>
      <c r="NPN30" s="31"/>
      <c r="NPO30" s="31"/>
      <c r="NPP30" s="31"/>
      <c r="NPQ30" s="31"/>
      <c r="NPR30" s="31"/>
      <c r="NPS30" s="31"/>
      <c r="NPT30" s="31"/>
      <c r="NPU30" s="31"/>
      <c r="NPV30" s="31"/>
      <c r="NPW30" s="31"/>
      <c r="NPX30" s="31"/>
      <c r="NPY30" s="31"/>
      <c r="NPZ30" s="31"/>
      <c r="NQA30" s="31"/>
      <c r="NQB30" s="31"/>
      <c r="NQC30" s="31"/>
      <c r="NQD30" s="31"/>
      <c r="NQE30" s="31"/>
      <c r="NQF30" s="31"/>
      <c r="NQG30" s="31"/>
      <c r="NQH30" s="31"/>
      <c r="NQI30" s="31"/>
      <c r="NQJ30" s="31"/>
      <c r="NQK30" s="31"/>
      <c r="NQL30" s="31"/>
      <c r="NQM30" s="31"/>
      <c r="NQN30" s="31"/>
      <c r="NQO30" s="31"/>
      <c r="NQP30" s="31"/>
      <c r="NQQ30" s="31"/>
      <c r="NQR30" s="31"/>
      <c r="NQS30" s="31"/>
      <c r="NQT30" s="31"/>
      <c r="NQU30" s="31"/>
      <c r="NQV30" s="31"/>
      <c r="NQW30" s="31"/>
      <c r="NQX30" s="31"/>
      <c r="NQY30" s="31"/>
      <c r="NQZ30" s="31"/>
      <c r="NRA30" s="31"/>
      <c r="NRB30" s="31"/>
      <c r="NRC30" s="31"/>
      <c r="NRD30" s="31"/>
      <c r="NRE30" s="31"/>
      <c r="NRF30" s="31"/>
      <c r="NRG30" s="31"/>
      <c r="NRH30" s="31"/>
      <c r="NRI30" s="31"/>
      <c r="NRJ30" s="31"/>
      <c r="NRK30" s="31"/>
      <c r="NRL30" s="31"/>
      <c r="NRM30" s="31"/>
      <c r="NRN30" s="31"/>
      <c r="NRO30" s="31"/>
      <c r="NRP30" s="31"/>
      <c r="NRQ30" s="31"/>
      <c r="NRR30" s="31"/>
      <c r="NRS30" s="31"/>
      <c r="NRT30" s="31"/>
      <c r="NRU30" s="31"/>
      <c r="NRV30" s="31"/>
      <c r="NRW30" s="31"/>
      <c r="NRX30" s="31"/>
      <c r="NRY30" s="31"/>
      <c r="NRZ30" s="31"/>
      <c r="NSA30" s="31"/>
      <c r="NSB30" s="31"/>
      <c r="NSC30" s="31"/>
      <c r="NSD30" s="31"/>
      <c r="NSE30" s="31"/>
      <c r="NSF30" s="31"/>
      <c r="NSG30" s="31"/>
      <c r="NSH30" s="31"/>
      <c r="NSI30" s="31"/>
      <c r="NSJ30" s="31"/>
      <c r="NSK30" s="31"/>
      <c r="NSL30" s="31"/>
      <c r="NSM30" s="31"/>
      <c r="NSN30" s="31"/>
      <c r="NSO30" s="31"/>
      <c r="NSP30" s="31"/>
      <c r="NSQ30" s="31"/>
      <c r="NSR30" s="31"/>
      <c r="NSS30" s="31"/>
      <c r="NST30" s="31"/>
      <c r="NSU30" s="31"/>
      <c r="NSV30" s="31"/>
      <c r="NSW30" s="31"/>
      <c r="NSX30" s="31"/>
      <c r="NSY30" s="31"/>
      <c r="NSZ30" s="31"/>
      <c r="NTA30" s="31"/>
      <c r="NTB30" s="31"/>
      <c r="NTC30" s="31"/>
      <c r="NTD30" s="31"/>
      <c r="NTE30" s="31"/>
      <c r="NTF30" s="31"/>
      <c r="NTG30" s="31"/>
      <c r="NTH30" s="31"/>
      <c r="NTI30" s="31"/>
      <c r="NTJ30" s="31"/>
      <c r="NTK30" s="31"/>
      <c r="NTL30" s="31"/>
      <c r="NTM30" s="31"/>
      <c r="NTN30" s="31"/>
      <c r="NTO30" s="31"/>
      <c r="NTP30" s="31"/>
      <c r="NTQ30" s="31"/>
      <c r="NTR30" s="31"/>
      <c r="NTS30" s="31"/>
      <c r="NTT30" s="31"/>
      <c r="NTU30" s="31"/>
      <c r="NTV30" s="31"/>
      <c r="NTW30" s="31"/>
      <c r="NTX30" s="31"/>
      <c r="NTY30" s="31"/>
      <c r="NTZ30" s="31"/>
      <c r="NUA30" s="31"/>
      <c r="NUB30" s="31"/>
      <c r="NUC30" s="31"/>
      <c r="NUD30" s="31"/>
      <c r="NUE30" s="31"/>
      <c r="NUF30" s="31"/>
      <c r="NUG30" s="31"/>
      <c r="NUH30" s="31"/>
      <c r="NUI30" s="31"/>
      <c r="NUJ30" s="31"/>
      <c r="NUK30" s="31"/>
      <c r="NUL30" s="31"/>
      <c r="NUM30" s="31"/>
      <c r="NUN30" s="31"/>
      <c r="NUO30" s="31"/>
      <c r="NUP30" s="31"/>
      <c r="NUQ30" s="31"/>
      <c r="NUR30" s="31"/>
      <c r="NUS30" s="31"/>
      <c r="NUT30" s="31"/>
      <c r="NUU30" s="31"/>
      <c r="NUV30" s="31"/>
      <c r="NUW30" s="31"/>
      <c r="NUX30" s="31"/>
      <c r="NUY30" s="31"/>
      <c r="NUZ30" s="31"/>
      <c r="NVA30" s="31"/>
      <c r="NVB30" s="31"/>
      <c r="NVC30" s="31"/>
      <c r="NVD30" s="31"/>
      <c r="NVE30" s="31"/>
      <c r="NVF30" s="31"/>
      <c r="NVG30" s="31"/>
      <c r="NVH30" s="31"/>
      <c r="NVI30" s="31"/>
      <c r="NVJ30" s="31"/>
      <c r="NVK30" s="31"/>
      <c r="NVL30" s="31"/>
      <c r="NVM30" s="31"/>
      <c r="NVN30" s="31"/>
      <c r="NVO30" s="31"/>
      <c r="NVP30" s="31"/>
      <c r="NVQ30" s="31"/>
      <c r="NVR30" s="31"/>
      <c r="NVS30" s="31"/>
      <c r="NVT30" s="31"/>
      <c r="NVU30" s="31"/>
      <c r="NVV30" s="31"/>
      <c r="NVW30" s="31"/>
      <c r="NVX30" s="31"/>
      <c r="NVY30" s="31"/>
      <c r="NVZ30" s="31"/>
      <c r="NWA30" s="31"/>
      <c r="NWB30" s="31"/>
      <c r="NWC30" s="31"/>
      <c r="NWD30" s="31"/>
      <c r="NWE30" s="31"/>
      <c r="NWF30" s="31"/>
      <c r="NWG30" s="31"/>
      <c r="NWH30" s="31"/>
      <c r="NWI30" s="31"/>
      <c r="NWJ30" s="31"/>
      <c r="NWK30" s="31"/>
      <c r="NWL30" s="31"/>
      <c r="NWM30" s="31"/>
      <c r="NWN30" s="31"/>
      <c r="NWO30" s="31"/>
      <c r="NWP30" s="31"/>
      <c r="NWQ30" s="31"/>
      <c r="NWR30" s="31"/>
      <c r="NWS30" s="31"/>
      <c r="NWT30" s="31"/>
      <c r="NWU30" s="31"/>
      <c r="NWV30" s="31"/>
      <c r="NWW30" s="31"/>
      <c r="NWX30" s="31"/>
      <c r="NWY30" s="31"/>
      <c r="NWZ30" s="31"/>
      <c r="NXA30" s="31"/>
      <c r="NXB30" s="31"/>
      <c r="NXC30" s="31"/>
      <c r="NXD30" s="31"/>
      <c r="NXE30" s="31"/>
      <c r="NXF30" s="31"/>
      <c r="NXG30" s="31"/>
      <c r="NXH30" s="31"/>
      <c r="NXI30" s="31"/>
      <c r="NXJ30" s="31"/>
      <c r="NXK30" s="31"/>
      <c r="NXL30" s="31"/>
      <c r="NXM30" s="31"/>
      <c r="NXN30" s="31"/>
      <c r="NXO30" s="31"/>
      <c r="NXP30" s="31"/>
      <c r="NXQ30" s="31"/>
      <c r="NXR30" s="31"/>
      <c r="NXS30" s="31"/>
      <c r="NXT30" s="31"/>
      <c r="NXU30" s="31"/>
      <c r="NXV30" s="31"/>
      <c r="NXW30" s="31"/>
      <c r="NXX30" s="31"/>
      <c r="NXY30" s="31"/>
      <c r="NXZ30" s="31"/>
      <c r="NYA30" s="31"/>
      <c r="NYB30" s="31"/>
      <c r="NYC30" s="31"/>
      <c r="NYD30" s="31"/>
      <c r="NYE30" s="31"/>
      <c r="NYF30" s="31"/>
      <c r="NYG30" s="31"/>
      <c r="NYH30" s="31"/>
      <c r="NYI30" s="31"/>
      <c r="NYJ30" s="31"/>
      <c r="NYK30" s="31"/>
      <c r="NYL30" s="31"/>
      <c r="NYM30" s="31"/>
      <c r="NYN30" s="31"/>
      <c r="NYO30" s="31"/>
      <c r="NYP30" s="31"/>
      <c r="NYQ30" s="31"/>
      <c r="NYR30" s="31"/>
      <c r="NYS30" s="31"/>
      <c r="NYT30" s="31"/>
      <c r="NYU30" s="31"/>
      <c r="NYV30" s="31"/>
      <c r="NYW30" s="31"/>
      <c r="NYX30" s="31"/>
      <c r="NYY30" s="31"/>
      <c r="NYZ30" s="31"/>
      <c r="NZA30" s="31"/>
      <c r="NZB30" s="31"/>
      <c r="NZC30" s="31"/>
      <c r="NZD30" s="31"/>
      <c r="NZE30" s="31"/>
      <c r="NZF30" s="31"/>
      <c r="NZG30" s="31"/>
      <c r="NZH30" s="31"/>
      <c r="NZI30" s="31"/>
      <c r="NZJ30" s="31"/>
      <c r="NZK30" s="31"/>
      <c r="NZL30" s="31"/>
      <c r="NZM30" s="31"/>
      <c r="NZN30" s="31"/>
      <c r="NZO30" s="31"/>
      <c r="NZP30" s="31"/>
      <c r="NZQ30" s="31"/>
      <c r="NZR30" s="31"/>
      <c r="NZS30" s="31"/>
      <c r="NZT30" s="31"/>
      <c r="NZU30" s="31"/>
      <c r="NZV30" s="31"/>
      <c r="NZW30" s="31"/>
      <c r="NZX30" s="31"/>
      <c r="NZY30" s="31"/>
      <c r="NZZ30" s="31"/>
      <c r="OAA30" s="31"/>
      <c r="OAB30" s="31"/>
      <c r="OAC30" s="31"/>
      <c r="OAD30" s="31"/>
      <c r="OAE30" s="31"/>
      <c r="OAF30" s="31"/>
      <c r="OAG30" s="31"/>
      <c r="OAH30" s="31"/>
      <c r="OAI30" s="31"/>
      <c r="OAJ30" s="31"/>
      <c r="OAK30" s="31"/>
      <c r="OAL30" s="31"/>
      <c r="OAM30" s="31"/>
      <c r="OAN30" s="31"/>
      <c r="OAO30" s="31"/>
      <c r="OAP30" s="31"/>
      <c r="OAQ30" s="31"/>
      <c r="OAR30" s="31"/>
      <c r="OAS30" s="31"/>
      <c r="OAT30" s="31"/>
      <c r="OAU30" s="31"/>
      <c r="OAV30" s="31"/>
      <c r="OAW30" s="31"/>
      <c r="OAX30" s="31"/>
      <c r="OAY30" s="31"/>
      <c r="OAZ30" s="31"/>
      <c r="OBA30" s="31"/>
      <c r="OBB30" s="31"/>
      <c r="OBC30" s="31"/>
      <c r="OBD30" s="31"/>
      <c r="OBE30" s="31"/>
      <c r="OBF30" s="31"/>
      <c r="OBG30" s="31"/>
      <c r="OBH30" s="31"/>
      <c r="OBI30" s="31"/>
      <c r="OBJ30" s="31"/>
      <c r="OBK30" s="31"/>
      <c r="OBL30" s="31"/>
      <c r="OBM30" s="31"/>
      <c r="OBN30" s="31"/>
      <c r="OBO30" s="31"/>
      <c r="OBP30" s="31"/>
      <c r="OBQ30" s="31"/>
      <c r="OBR30" s="31"/>
      <c r="OBS30" s="31"/>
      <c r="OBT30" s="31"/>
      <c r="OBU30" s="31"/>
      <c r="OBV30" s="31"/>
      <c r="OBW30" s="31"/>
      <c r="OBX30" s="31"/>
      <c r="OBY30" s="31"/>
      <c r="OBZ30" s="31"/>
      <c r="OCA30" s="31"/>
      <c r="OCB30" s="31"/>
      <c r="OCC30" s="31"/>
      <c r="OCD30" s="31"/>
      <c r="OCE30" s="31"/>
      <c r="OCF30" s="31"/>
      <c r="OCG30" s="31"/>
      <c r="OCH30" s="31"/>
      <c r="OCI30" s="31"/>
      <c r="OCJ30" s="31"/>
      <c r="OCK30" s="31"/>
      <c r="OCL30" s="31"/>
      <c r="OCM30" s="31"/>
      <c r="OCN30" s="31"/>
      <c r="OCO30" s="31"/>
      <c r="OCP30" s="31"/>
      <c r="OCQ30" s="31"/>
      <c r="OCR30" s="31"/>
      <c r="OCS30" s="31"/>
      <c r="OCT30" s="31"/>
      <c r="OCU30" s="31"/>
      <c r="OCV30" s="31"/>
      <c r="OCW30" s="31"/>
      <c r="OCX30" s="31"/>
      <c r="OCY30" s="31"/>
      <c r="OCZ30" s="31"/>
      <c r="ODA30" s="31"/>
      <c r="ODB30" s="31"/>
      <c r="ODC30" s="31"/>
      <c r="ODD30" s="31"/>
      <c r="ODE30" s="31"/>
      <c r="ODF30" s="31"/>
      <c r="ODG30" s="31"/>
      <c r="ODH30" s="31"/>
      <c r="ODI30" s="31"/>
      <c r="ODJ30" s="31"/>
      <c r="ODK30" s="31"/>
      <c r="ODL30" s="31"/>
      <c r="ODM30" s="31"/>
      <c r="ODN30" s="31"/>
      <c r="ODO30" s="31"/>
      <c r="ODP30" s="31"/>
      <c r="ODQ30" s="31"/>
      <c r="ODR30" s="31"/>
      <c r="ODS30" s="31"/>
      <c r="ODT30" s="31"/>
      <c r="ODU30" s="31"/>
      <c r="ODV30" s="31"/>
      <c r="ODW30" s="31"/>
      <c r="ODX30" s="31"/>
      <c r="ODY30" s="31"/>
      <c r="ODZ30" s="31"/>
      <c r="OEA30" s="31"/>
      <c r="OEB30" s="31"/>
      <c r="OEC30" s="31"/>
      <c r="OED30" s="31"/>
      <c r="OEE30" s="31"/>
      <c r="OEF30" s="31"/>
      <c r="OEG30" s="31"/>
      <c r="OEH30" s="31"/>
      <c r="OEI30" s="31"/>
      <c r="OEJ30" s="31"/>
      <c r="OEK30" s="31"/>
      <c r="OEL30" s="31"/>
      <c r="OEM30" s="31"/>
      <c r="OEN30" s="31"/>
      <c r="OEO30" s="31"/>
      <c r="OEP30" s="31"/>
      <c r="OEQ30" s="31"/>
      <c r="OER30" s="31"/>
      <c r="OES30" s="31"/>
      <c r="OET30" s="31"/>
      <c r="OEU30" s="31"/>
      <c r="OEV30" s="31"/>
      <c r="OEW30" s="31"/>
      <c r="OEX30" s="31"/>
      <c r="OEY30" s="31"/>
      <c r="OEZ30" s="31"/>
      <c r="OFA30" s="31"/>
      <c r="OFB30" s="31"/>
      <c r="OFC30" s="31"/>
      <c r="OFD30" s="31"/>
      <c r="OFE30" s="31"/>
      <c r="OFF30" s="31"/>
      <c r="OFG30" s="31"/>
      <c r="OFH30" s="31"/>
      <c r="OFI30" s="31"/>
      <c r="OFJ30" s="31"/>
      <c r="OFK30" s="31"/>
      <c r="OFL30" s="31"/>
      <c r="OFM30" s="31"/>
      <c r="OFN30" s="31"/>
      <c r="OFO30" s="31"/>
      <c r="OFP30" s="31"/>
      <c r="OFQ30" s="31"/>
      <c r="OFR30" s="31"/>
      <c r="OFS30" s="31"/>
      <c r="OFT30" s="31"/>
      <c r="OFU30" s="31"/>
      <c r="OFV30" s="31"/>
      <c r="OFW30" s="31"/>
      <c r="OFX30" s="31"/>
      <c r="OFY30" s="31"/>
      <c r="OFZ30" s="31"/>
      <c r="OGA30" s="31"/>
      <c r="OGB30" s="31"/>
      <c r="OGC30" s="31"/>
      <c r="OGD30" s="31"/>
      <c r="OGE30" s="31"/>
      <c r="OGF30" s="31"/>
      <c r="OGG30" s="31"/>
      <c r="OGH30" s="31"/>
      <c r="OGI30" s="31"/>
      <c r="OGJ30" s="31"/>
      <c r="OGK30" s="31"/>
      <c r="OGL30" s="31"/>
      <c r="OGM30" s="31"/>
      <c r="OGN30" s="31"/>
      <c r="OGO30" s="31"/>
      <c r="OGP30" s="31"/>
      <c r="OGQ30" s="31"/>
      <c r="OGR30" s="31"/>
      <c r="OGS30" s="31"/>
      <c r="OGT30" s="31"/>
      <c r="OGU30" s="31"/>
      <c r="OGV30" s="31"/>
      <c r="OGW30" s="31"/>
      <c r="OGX30" s="31"/>
      <c r="OGY30" s="31"/>
      <c r="OGZ30" s="31"/>
      <c r="OHA30" s="31"/>
      <c r="OHB30" s="31"/>
      <c r="OHC30" s="31"/>
      <c r="OHD30" s="31"/>
      <c r="OHE30" s="31"/>
      <c r="OHF30" s="31"/>
      <c r="OHG30" s="31"/>
      <c r="OHH30" s="31"/>
      <c r="OHI30" s="31"/>
      <c r="OHJ30" s="31"/>
      <c r="OHK30" s="31"/>
      <c r="OHL30" s="31"/>
      <c r="OHM30" s="31"/>
      <c r="OHN30" s="31"/>
      <c r="OHO30" s="31"/>
      <c r="OHP30" s="31"/>
      <c r="OHQ30" s="31"/>
      <c r="OHR30" s="31"/>
      <c r="OHS30" s="31"/>
      <c r="OHT30" s="31"/>
      <c r="OHU30" s="31"/>
      <c r="OHV30" s="31"/>
      <c r="OHW30" s="31"/>
      <c r="OHX30" s="31"/>
      <c r="OHY30" s="31"/>
      <c r="OHZ30" s="31"/>
      <c r="OIA30" s="31"/>
      <c r="OIB30" s="31"/>
      <c r="OIC30" s="31"/>
      <c r="OID30" s="31"/>
      <c r="OIE30" s="31"/>
      <c r="OIF30" s="31"/>
      <c r="OIG30" s="31"/>
      <c r="OIH30" s="31"/>
      <c r="OII30" s="31"/>
      <c r="OIJ30" s="31"/>
      <c r="OIK30" s="31"/>
      <c r="OIL30" s="31"/>
      <c r="OIM30" s="31"/>
      <c r="OIN30" s="31"/>
      <c r="OIO30" s="31"/>
      <c r="OIP30" s="31"/>
      <c r="OIQ30" s="31"/>
      <c r="OIR30" s="31"/>
      <c r="OIS30" s="31"/>
      <c r="OIT30" s="31"/>
      <c r="OIU30" s="31"/>
      <c r="OIV30" s="31"/>
      <c r="OIW30" s="31"/>
      <c r="OIX30" s="31"/>
      <c r="OIY30" s="31"/>
      <c r="OIZ30" s="31"/>
      <c r="OJA30" s="31"/>
      <c r="OJB30" s="31"/>
      <c r="OJC30" s="31"/>
      <c r="OJD30" s="31"/>
      <c r="OJE30" s="31"/>
      <c r="OJF30" s="31"/>
      <c r="OJG30" s="31"/>
      <c r="OJH30" s="31"/>
      <c r="OJI30" s="31"/>
      <c r="OJJ30" s="31"/>
      <c r="OJK30" s="31"/>
      <c r="OJL30" s="31"/>
      <c r="OJM30" s="31"/>
      <c r="OJN30" s="31"/>
      <c r="OJO30" s="31"/>
      <c r="OJP30" s="31"/>
      <c r="OJQ30" s="31"/>
      <c r="OJR30" s="31"/>
      <c r="OJS30" s="31"/>
      <c r="OJT30" s="31"/>
      <c r="OJU30" s="31"/>
      <c r="OJV30" s="31"/>
      <c r="OJW30" s="31"/>
      <c r="OJX30" s="31"/>
      <c r="OJY30" s="31"/>
      <c r="OJZ30" s="31"/>
      <c r="OKA30" s="31"/>
      <c r="OKB30" s="31"/>
      <c r="OKC30" s="31"/>
      <c r="OKD30" s="31"/>
      <c r="OKE30" s="31"/>
      <c r="OKF30" s="31"/>
      <c r="OKG30" s="31"/>
      <c r="OKH30" s="31"/>
      <c r="OKI30" s="31"/>
      <c r="OKJ30" s="31"/>
      <c r="OKK30" s="31"/>
      <c r="OKL30" s="31"/>
      <c r="OKM30" s="31"/>
      <c r="OKN30" s="31"/>
      <c r="OKO30" s="31"/>
      <c r="OKP30" s="31"/>
      <c r="OKQ30" s="31"/>
      <c r="OKR30" s="31"/>
      <c r="OKS30" s="31"/>
      <c r="OKT30" s="31"/>
      <c r="OKU30" s="31"/>
      <c r="OKV30" s="31"/>
      <c r="OKW30" s="31"/>
      <c r="OKX30" s="31"/>
      <c r="OKY30" s="31"/>
      <c r="OKZ30" s="31"/>
      <c r="OLA30" s="31"/>
      <c r="OLB30" s="31"/>
      <c r="OLC30" s="31"/>
      <c r="OLD30" s="31"/>
      <c r="OLE30" s="31"/>
      <c r="OLF30" s="31"/>
      <c r="OLG30" s="31"/>
      <c r="OLH30" s="31"/>
      <c r="OLI30" s="31"/>
      <c r="OLJ30" s="31"/>
      <c r="OLK30" s="31"/>
      <c r="OLL30" s="31"/>
      <c r="OLM30" s="31"/>
      <c r="OLN30" s="31"/>
      <c r="OLO30" s="31"/>
      <c r="OLP30" s="31"/>
      <c r="OLQ30" s="31"/>
      <c r="OLR30" s="31"/>
      <c r="OLS30" s="31"/>
      <c r="OLT30" s="31"/>
      <c r="OLU30" s="31"/>
      <c r="OLV30" s="31"/>
      <c r="OLW30" s="31"/>
      <c r="OLX30" s="31"/>
      <c r="OLY30" s="31"/>
      <c r="OLZ30" s="31"/>
      <c r="OMA30" s="31"/>
      <c r="OMB30" s="31"/>
      <c r="OMC30" s="31"/>
      <c r="OMD30" s="31"/>
      <c r="OME30" s="31"/>
      <c r="OMF30" s="31"/>
      <c r="OMG30" s="31"/>
      <c r="OMH30" s="31"/>
      <c r="OMI30" s="31"/>
      <c r="OMJ30" s="31"/>
      <c r="OMK30" s="31"/>
      <c r="OML30" s="31"/>
      <c r="OMM30" s="31"/>
      <c r="OMN30" s="31"/>
      <c r="OMO30" s="31"/>
      <c r="OMP30" s="31"/>
      <c r="OMQ30" s="31"/>
      <c r="OMR30" s="31"/>
      <c r="OMS30" s="31"/>
      <c r="OMT30" s="31"/>
      <c r="OMU30" s="31"/>
      <c r="OMV30" s="31"/>
      <c r="OMW30" s="31"/>
      <c r="OMX30" s="31"/>
      <c r="OMY30" s="31"/>
      <c r="OMZ30" s="31"/>
      <c r="ONA30" s="31"/>
      <c r="ONB30" s="31"/>
      <c r="ONC30" s="31"/>
      <c r="OND30" s="31"/>
      <c r="ONE30" s="31"/>
      <c r="ONF30" s="31"/>
      <c r="ONG30" s="31"/>
      <c r="ONH30" s="31"/>
      <c r="ONI30" s="31"/>
      <c r="ONJ30" s="31"/>
      <c r="ONK30" s="31"/>
      <c r="ONL30" s="31"/>
      <c r="ONM30" s="31"/>
      <c r="ONN30" s="31"/>
      <c r="ONO30" s="31"/>
      <c r="ONP30" s="31"/>
      <c r="ONQ30" s="31"/>
      <c r="ONR30" s="31"/>
      <c r="ONS30" s="31"/>
      <c r="ONT30" s="31"/>
      <c r="ONU30" s="31"/>
      <c r="ONV30" s="31"/>
      <c r="ONW30" s="31"/>
      <c r="ONX30" s="31"/>
      <c r="ONY30" s="31"/>
      <c r="ONZ30" s="31"/>
      <c r="OOA30" s="31"/>
      <c r="OOB30" s="31"/>
      <c r="OOC30" s="31"/>
      <c r="OOD30" s="31"/>
      <c r="OOE30" s="31"/>
      <c r="OOF30" s="31"/>
      <c r="OOG30" s="31"/>
      <c r="OOH30" s="31"/>
      <c r="OOI30" s="31"/>
      <c r="OOJ30" s="31"/>
      <c r="OOK30" s="31"/>
      <c r="OOL30" s="31"/>
      <c r="OOM30" s="31"/>
      <c r="OON30" s="31"/>
      <c r="OOO30" s="31"/>
      <c r="OOP30" s="31"/>
      <c r="OOQ30" s="31"/>
      <c r="OOR30" s="31"/>
      <c r="OOS30" s="31"/>
      <c r="OOT30" s="31"/>
      <c r="OOU30" s="31"/>
      <c r="OOV30" s="31"/>
      <c r="OOW30" s="31"/>
      <c r="OOX30" s="31"/>
      <c r="OOY30" s="31"/>
      <c r="OOZ30" s="31"/>
      <c r="OPA30" s="31"/>
      <c r="OPB30" s="31"/>
      <c r="OPC30" s="31"/>
      <c r="OPD30" s="31"/>
      <c r="OPE30" s="31"/>
      <c r="OPF30" s="31"/>
      <c r="OPG30" s="31"/>
      <c r="OPH30" s="31"/>
      <c r="OPI30" s="31"/>
      <c r="OPJ30" s="31"/>
      <c r="OPK30" s="31"/>
      <c r="OPL30" s="31"/>
      <c r="OPM30" s="31"/>
      <c r="OPN30" s="31"/>
      <c r="OPO30" s="31"/>
      <c r="OPP30" s="31"/>
      <c r="OPQ30" s="31"/>
      <c r="OPR30" s="31"/>
      <c r="OPS30" s="31"/>
      <c r="OPT30" s="31"/>
      <c r="OPU30" s="31"/>
      <c r="OPV30" s="31"/>
      <c r="OPW30" s="31"/>
      <c r="OPX30" s="31"/>
      <c r="OPY30" s="31"/>
      <c r="OPZ30" s="31"/>
      <c r="OQA30" s="31"/>
      <c r="OQB30" s="31"/>
      <c r="OQC30" s="31"/>
      <c r="OQD30" s="31"/>
      <c r="OQE30" s="31"/>
      <c r="OQF30" s="31"/>
      <c r="OQG30" s="31"/>
      <c r="OQH30" s="31"/>
      <c r="OQI30" s="31"/>
      <c r="OQJ30" s="31"/>
      <c r="OQK30" s="31"/>
      <c r="OQL30" s="31"/>
      <c r="OQM30" s="31"/>
      <c r="OQN30" s="31"/>
      <c r="OQO30" s="31"/>
      <c r="OQP30" s="31"/>
      <c r="OQQ30" s="31"/>
      <c r="OQR30" s="31"/>
      <c r="OQS30" s="31"/>
      <c r="OQT30" s="31"/>
      <c r="OQU30" s="31"/>
      <c r="OQV30" s="31"/>
      <c r="OQW30" s="31"/>
      <c r="OQX30" s="31"/>
      <c r="OQY30" s="31"/>
      <c r="OQZ30" s="31"/>
      <c r="ORA30" s="31"/>
      <c r="ORB30" s="31"/>
      <c r="ORC30" s="31"/>
      <c r="ORD30" s="31"/>
      <c r="ORE30" s="31"/>
      <c r="ORF30" s="31"/>
      <c r="ORG30" s="31"/>
      <c r="ORH30" s="31"/>
      <c r="ORI30" s="31"/>
      <c r="ORJ30" s="31"/>
      <c r="ORK30" s="31"/>
      <c r="ORL30" s="31"/>
      <c r="ORM30" s="31"/>
      <c r="ORN30" s="31"/>
      <c r="ORO30" s="31"/>
      <c r="ORP30" s="31"/>
      <c r="ORQ30" s="31"/>
      <c r="ORR30" s="31"/>
      <c r="ORS30" s="31"/>
      <c r="ORT30" s="31"/>
      <c r="ORU30" s="31"/>
      <c r="ORV30" s="31"/>
      <c r="ORW30" s="31"/>
      <c r="ORX30" s="31"/>
      <c r="ORY30" s="31"/>
      <c r="ORZ30" s="31"/>
      <c r="OSA30" s="31"/>
      <c r="OSB30" s="31"/>
      <c r="OSC30" s="31"/>
      <c r="OSD30" s="31"/>
      <c r="OSE30" s="31"/>
      <c r="OSF30" s="31"/>
      <c r="OSG30" s="31"/>
      <c r="OSH30" s="31"/>
      <c r="OSI30" s="31"/>
      <c r="OSJ30" s="31"/>
      <c r="OSK30" s="31"/>
      <c r="OSL30" s="31"/>
      <c r="OSM30" s="31"/>
      <c r="OSN30" s="31"/>
      <c r="OSO30" s="31"/>
      <c r="OSP30" s="31"/>
      <c r="OSQ30" s="31"/>
      <c r="OSR30" s="31"/>
      <c r="OSS30" s="31"/>
      <c r="OST30" s="31"/>
      <c r="OSU30" s="31"/>
      <c r="OSV30" s="31"/>
      <c r="OSW30" s="31"/>
      <c r="OSX30" s="31"/>
      <c r="OSY30" s="31"/>
      <c r="OSZ30" s="31"/>
      <c r="OTA30" s="31"/>
      <c r="OTB30" s="31"/>
      <c r="OTC30" s="31"/>
      <c r="OTD30" s="31"/>
      <c r="OTE30" s="31"/>
      <c r="OTF30" s="31"/>
      <c r="OTG30" s="31"/>
      <c r="OTH30" s="31"/>
      <c r="OTI30" s="31"/>
      <c r="OTJ30" s="31"/>
      <c r="OTK30" s="31"/>
      <c r="OTL30" s="31"/>
      <c r="OTM30" s="31"/>
      <c r="OTN30" s="31"/>
      <c r="OTO30" s="31"/>
      <c r="OTP30" s="31"/>
      <c r="OTQ30" s="31"/>
      <c r="OTR30" s="31"/>
      <c r="OTS30" s="31"/>
      <c r="OTT30" s="31"/>
      <c r="OTU30" s="31"/>
      <c r="OTV30" s="31"/>
      <c r="OTW30" s="31"/>
      <c r="OTX30" s="31"/>
      <c r="OTY30" s="31"/>
      <c r="OTZ30" s="31"/>
      <c r="OUA30" s="31"/>
      <c r="OUB30" s="31"/>
      <c r="OUC30" s="31"/>
      <c r="OUD30" s="31"/>
      <c r="OUE30" s="31"/>
      <c r="OUF30" s="31"/>
      <c r="OUG30" s="31"/>
      <c r="OUH30" s="31"/>
      <c r="OUI30" s="31"/>
      <c r="OUJ30" s="31"/>
      <c r="OUK30" s="31"/>
      <c r="OUL30" s="31"/>
      <c r="OUM30" s="31"/>
      <c r="OUN30" s="31"/>
      <c r="OUO30" s="31"/>
      <c r="OUP30" s="31"/>
      <c r="OUQ30" s="31"/>
      <c r="OUR30" s="31"/>
      <c r="OUS30" s="31"/>
      <c r="OUT30" s="31"/>
      <c r="OUU30" s="31"/>
      <c r="OUV30" s="31"/>
      <c r="OUW30" s="31"/>
      <c r="OUX30" s="31"/>
      <c r="OUY30" s="31"/>
      <c r="OUZ30" s="31"/>
      <c r="OVA30" s="31"/>
      <c r="OVB30" s="31"/>
      <c r="OVC30" s="31"/>
      <c r="OVD30" s="31"/>
      <c r="OVE30" s="31"/>
      <c r="OVF30" s="31"/>
      <c r="OVG30" s="31"/>
      <c r="OVH30" s="31"/>
      <c r="OVI30" s="31"/>
      <c r="OVJ30" s="31"/>
      <c r="OVK30" s="31"/>
      <c r="OVL30" s="31"/>
      <c r="OVM30" s="31"/>
      <c r="OVN30" s="31"/>
      <c r="OVO30" s="31"/>
      <c r="OVP30" s="31"/>
      <c r="OVQ30" s="31"/>
      <c r="OVR30" s="31"/>
      <c r="OVS30" s="31"/>
      <c r="OVT30" s="31"/>
      <c r="OVU30" s="31"/>
      <c r="OVV30" s="31"/>
      <c r="OVW30" s="31"/>
      <c r="OVX30" s="31"/>
      <c r="OVY30" s="31"/>
      <c r="OVZ30" s="31"/>
      <c r="OWA30" s="31"/>
      <c r="OWB30" s="31"/>
      <c r="OWC30" s="31"/>
      <c r="OWD30" s="31"/>
      <c r="OWE30" s="31"/>
      <c r="OWF30" s="31"/>
      <c r="OWG30" s="31"/>
      <c r="OWH30" s="31"/>
      <c r="OWI30" s="31"/>
      <c r="OWJ30" s="31"/>
      <c r="OWK30" s="31"/>
      <c r="OWL30" s="31"/>
      <c r="OWM30" s="31"/>
      <c r="OWN30" s="31"/>
      <c r="OWO30" s="31"/>
      <c r="OWP30" s="31"/>
      <c r="OWQ30" s="31"/>
      <c r="OWR30" s="31"/>
      <c r="OWS30" s="31"/>
      <c r="OWT30" s="31"/>
      <c r="OWU30" s="31"/>
      <c r="OWV30" s="31"/>
      <c r="OWW30" s="31"/>
      <c r="OWX30" s="31"/>
      <c r="OWY30" s="31"/>
      <c r="OWZ30" s="31"/>
      <c r="OXA30" s="31"/>
      <c r="OXB30" s="31"/>
      <c r="OXC30" s="31"/>
      <c r="OXD30" s="31"/>
      <c r="OXE30" s="31"/>
      <c r="OXF30" s="31"/>
      <c r="OXG30" s="31"/>
      <c r="OXH30" s="31"/>
      <c r="OXI30" s="31"/>
      <c r="OXJ30" s="31"/>
      <c r="OXK30" s="31"/>
      <c r="OXL30" s="31"/>
      <c r="OXM30" s="31"/>
      <c r="OXN30" s="31"/>
      <c r="OXO30" s="31"/>
      <c r="OXP30" s="31"/>
      <c r="OXQ30" s="31"/>
      <c r="OXR30" s="31"/>
      <c r="OXS30" s="31"/>
      <c r="OXT30" s="31"/>
      <c r="OXU30" s="31"/>
      <c r="OXV30" s="31"/>
      <c r="OXW30" s="31"/>
      <c r="OXX30" s="31"/>
      <c r="OXY30" s="31"/>
      <c r="OXZ30" s="31"/>
      <c r="OYA30" s="31"/>
      <c r="OYB30" s="31"/>
      <c r="OYC30" s="31"/>
      <c r="OYD30" s="31"/>
      <c r="OYE30" s="31"/>
      <c r="OYF30" s="31"/>
      <c r="OYG30" s="31"/>
      <c r="OYH30" s="31"/>
      <c r="OYI30" s="31"/>
      <c r="OYJ30" s="31"/>
      <c r="OYK30" s="31"/>
      <c r="OYL30" s="31"/>
      <c r="OYM30" s="31"/>
      <c r="OYN30" s="31"/>
      <c r="OYO30" s="31"/>
      <c r="OYP30" s="31"/>
      <c r="OYQ30" s="31"/>
      <c r="OYR30" s="31"/>
      <c r="OYS30" s="31"/>
      <c r="OYT30" s="31"/>
      <c r="OYU30" s="31"/>
      <c r="OYV30" s="31"/>
      <c r="OYW30" s="31"/>
      <c r="OYX30" s="31"/>
      <c r="OYY30" s="31"/>
      <c r="OYZ30" s="31"/>
      <c r="OZA30" s="31"/>
      <c r="OZB30" s="31"/>
      <c r="OZC30" s="31"/>
      <c r="OZD30" s="31"/>
      <c r="OZE30" s="31"/>
      <c r="OZF30" s="31"/>
      <c r="OZG30" s="31"/>
      <c r="OZH30" s="31"/>
      <c r="OZI30" s="31"/>
      <c r="OZJ30" s="31"/>
      <c r="OZK30" s="31"/>
      <c r="OZL30" s="31"/>
      <c r="OZM30" s="31"/>
      <c r="OZN30" s="31"/>
      <c r="OZO30" s="31"/>
      <c r="OZP30" s="31"/>
      <c r="OZQ30" s="31"/>
      <c r="OZR30" s="31"/>
      <c r="OZS30" s="31"/>
      <c r="OZT30" s="31"/>
      <c r="OZU30" s="31"/>
      <c r="OZV30" s="31"/>
      <c r="OZW30" s="31"/>
      <c r="OZX30" s="31"/>
      <c r="OZY30" s="31"/>
      <c r="OZZ30" s="31"/>
      <c r="PAA30" s="31"/>
      <c r="PAB30" s="31"/>
      <c r="PAC30" s="31"/>
      <c r="PAD30" s="31"/>
      <c r="PAE30" s="31"/>
      <c r="PAF30" s="31"/>
      <c r="PAG30" s="31"/>
      <c r="PAH30" s="31"/>
      <c r="PAI30" s="31"/>
      <c r="PAJ30" s="31"/>
      <c r="PAK30" s="31"/>
      <c r="PAL30" s="31"/>
      <c r="PAM30" s="31"/>
      <c r="PAN30" s="31"/>
      <c r="PAO30" s="31"/>
      <c r="PAP30" s="31"/>
      <c r="PAQ30" s="31"/>
      <c r="PAR30" s="31"/>
      <c r="PAS30" s="31"/>
      <c r="PAT30" s="31"/>
      <c r="PAU30" s="31"/>
      <c r="PAV30" s="31"/>
      <c r="PAW30" s="31"/>
      <c r="PAX30" s="31"/>
      <c r="PAY30" s="31"/>
      <c r="PAZ30" s="31"/>
      <c r="PBA30" s="31"/>
      <c r="PBB30" s="31"/>
      <c r="PBC30" s="31"/>
      <c r="PBD30" s="31"/>
      <c r="PBE30" s="31"/>
      <c r="PBF30" s="31"/>
      <c r="PBG30" s="31"/>
      <c r="PBH30" s="31"/>
      <c r="PBI30" s="31"/>
      <c r="PBJ30" s="31"/>
      <c r="PBK30" s="31"/>
      <c r="PBL30" s="31"/>
      <c r="PBM30" s="31"/>
      <c r="PBN30" s="31"/>
      <c r="PBO30" s="31"/>
      <c r="PBP30" s="31"/>
      <c r="PBQ30" s="31"/>
      <c r="PBR30" s="31"/>
      <c r="PBS30" s="31"/>
      <c r="PBT30" s="31"/>
      <c r="PBU30" s="31"/>
      <c r="PBV30" s="31"/>
      <c r="PBW30" s="31"/>
      <c r="PBX30" s="31"/>
      <c r="PBY30" s="31"/>
      <c r="PBZ30" s="31"/>
      <c r="PCA30" s="31"/>
      <c r="PCB30" s="31"/>
      <c r="PCC30" s="31"/>
      <c r="PCD30" s="31"/>
      <c r="PCE30" s="31"/>
      <c r="PCF30" s="31"/>
      <c r="PCG30" s="31"/>
      <c r="PCH30" s="31"/>
      <c r="PCI30" s="31"/>
      <c r="PCJ30" s="31"/>
      <c r="PCK30" s="31"/>
      <c r="PCL30" s="31"/>
      <c r="PCM30" s="31"/>
      <c r="PCN30" s="31"/>
      <c r="PCO30" s="31"/>
      <c r="PCP30" s="31"/>
      <c r="PCQ30" s="31"/>
      <c r="PCR30" s="31"/>
      <c r="PCS30" s="31"/>
      <c r="PCT30" s="31"/>
      <c r="PCU30" s="31"/>
      <c r="PCV30" s="31"/>
      <c r="PCW30" s="31"/>
      <c r="PCX30" s="31"/>
      <c r="PCY30" s="31"/>
      <c r="PCZ30" s="31"/>
      <c r="PDA30" s="31"/>
      <c r="PDB30" s="31"/>
      <c r="PDC30" s="31"/>
      <c r="PDD30" s="31"/>
      <c r="PDE30" s="31"/>
      <c r="PDF30" s="31"/>
      <c r="PDG30" s="31"/>
      <c r="PDH30" s="31"/>
      <c r="PDI30" s="31"/>
      <c r="PDJ30" s="31"/>
      <c r="PDK30" s="31"/>
      <c r="PDL30" s="31"/>
      <c r="PDM30" s="31"/>
      <c r="PDN30" s="31"/>
      <c r="PDO30" s="31"/>
      <c r="PDP30" s="31"/>
      <c r="PDQ30" s="31"/>
      <c r="PDR30" s="31"/>
      <c r="PDS30" s="31"/>
      <c r="PDT30" s="31"/>
      <c r="PDU30" s="31"/>
      <c r="PDV30" s="31"/>
      <c r="PDW30" s="31"/>
      <c r="PDX30" s="31"/>
      <c r="PDY30" s="31"/>
      <c r="PDZ30" s="31"/>
      <c r="PEA30" s="31"/>
      <c r="PEB30" s="31"/>
      <c r="PEC30" s="31"/>
      <c r="PED30" s="31"/>
      <c r="PEE30" s="31"/>
      <c r="PEF30" s="31"/>
      <c r="PEG30" s="31"/>
      <c r="PEH30" s="31"/>
      <c r="PEI30" s="31"/>
      <c r="PEJ30" s="31"/>
      <c r="PEK30" s="31"/>
      <c r="PEL30" s="31"/>
      <c r="PEM30" s="31"/>
      <c r="PEN30" s="31"/>
      <c r="PEO30" s="31"/>
      <c r="PEP30" s="31"/>
      <c r="PEQ30" s="31"/>
      <c r="PER30" s="31"/>
      <c r="PES30" s="31"/>
      <c r="PET30" s="31"/>
      <c r="PEU30" s="31"/>
      <c r="PEV30" s="31"/>
      <c r="PEW30" s="31"/>
      <c r="PEX30" s="31"/>
      <c r="PEY30" s="31"/>
      <c r="PEZ30" s="31"/>
      <c r="PFA30" s="31"/>
      <c r="PFB30" s="31"/>
      <c r="PFC30" s="31"/>
      <c r="PFD30" s="31"/>
      <c r="PFE30" s="31"/>
      <c r="PFF30" s="31"/>
      <c r="PFG30" s="31"/>
      <c r="PFH30" s="31"/>
      <c r="PFI30" s="31"/>
      <c r="PFJ30" s="31"/>
      <c r="PFK30" s="31"/>
      <c r="PFL30" s="31"/>
      <c r="PFM30" s="31"/>
      <c r="PFN30" s="31"/>
      <c r="PFO30" s="31"/>
      <c r="PFP30" s="31"/>
      <c r="PFQ30" s="31"/>
      <c r="PFR30" s="31"/>
      <c r="PFS30" s="31"/>
      <c r="PFT30" s="31"/>
      <c r="PFU30" s="31"/>
      <c r="PFV30" s="31"/>
      <c r="PFW30" s="31"/>
      <c r="PFX30" s="31"/>
      <c r="PFY30" s="31"/>
      <c r="PFZ30" s="31"/>
      <c r="PGA30" s="31"/>
      <c r="PGB30" s="31"/>
      <c r="PGC30" s="31"/>
      <c r="PGD30" s="31"/>
      <c r="PGE30" s="31"/>
      <c r="PGF30" s="31"/>
      <c r="PGG30" s="31"/>
      <c r="PGH30" s="31"/>
      <c r="PGI30" s="31"/>
      <c r="PGJ30" s="31"/>
      <c r="PGK30" s="31"/>
      <c r="PGL30" s="31"/>
      <c r="PGM30" s="31"/>
      <c r="PGN30" s="31"/>
      <c r="PGO30" s="31"/>
      <c r="PGP30" s="31"/>
      <c r="PGQ30" s="31"/>
      <c r="PGR30" s="31"/>
      <c r="PGS30" s="31"/>
      <c r="PGT30" s="31"/>
      <c r="PGU30" s="31"/>
      <c r="PGV30" s="31"/>
      <c r="PGW30" s="31"/>
      <c r="PGX30" s="31"/>
      <c r="PGY30" s="31"/>
      <c r="PGZ30" s="31"/>
      <c r="PHA30" s="31"/>
      <c r="PHB30" s="31"/>
      <c r="PHC30" s="31"/>
      <c r="PHD30" s="31"/>
      <c r="PHE30" s="31"/>
      <c r="PHF30" s="31"/>
      <c r="PHG30" s="31"/>
      <c r="PHH30" s="31"/>
      <c r="PHI30" s="31"/>
      <c r="PHJ30" s="31"/>
      <c r="PHK30" s="31"/>
      <c r="PHL30" s="31"/>
      <c r="PHM30" s="31"/>
      <c r="PHN30" s="31"/>
      <c r="PHO30" s="31"/>
      <c r="PHP30" s="31"/>
      <c r="PHQ30" s="31"/>
      <c r="PHR30" s="31"/>
      <c r="PHS30" s="31"/>
      <c r="PHT30" s="31"/>
      <c r="PHU30" s="31"/>
      <c r="PHV30" s="31"/>
      <c r="PHW30" s="31"/>
      <c r="PHX30" s="31"/>
      <c r="PHY30" s="31"/>
      <c r="PHZ30" s="31"/>
      <c r="PIA30" s="31"/>
      <c r="PIB30" s="31"/>
      <c r="PIC30" s="31"/>
      <c r="PID30" s="31"/>
      <c r="PIE30" s="31"/>
      <c r="PIF30" s="31"/>
      <c r="PIG30" s="31"/>
      <c r="PIH30" s="31"/>
      <c r="PII30" s="31"/>
      <c r="PIJ30" s="31"/>
      <c r="PIK30" s="31"/>
      <c r="PIL30" s="31"/>
      <c r="PIM30" s="31"/>
      <c r="PIN30" s="31"/>
      <c r="PIO30" s="31"/>
      <c r="PIP30" s="31"/>
      <c r="PIQ30" s="31"/>
      <c r="PIR30" s="31"/>
      <c r="PIS30" s="31"/>
      <c r="PIT30" s="31"/>
      <c r="PIU30" s="31"/>
      <c r="PIV30" s="31"/>
      <c r="PIW30" s="31"/>
      <c r="PIX30" s="31"/>
      <c r="PIY30" s="31"/>
      <c r="PIZ30" s="31"/>
      <c r="PJA30" s="31"/>
      <c r="PJB30" s="31"/>
      <c r="PJC30" s="31"/>
      <c r="PJD30" s="31"/>
      <c r="PJE30" s="31"/>
      <c r="PJF30" s="31"/>
      <c r="PJG30" s="31"/>
      <c r="PJH30" s="31"/>
      <c r="PJI30" s="31"/>
      <c r="PJJ30" s="31"/>
      <c r="PJK30" s="31"/>
      <c r="PJL30" s="31"/>
      <c r="PJM30" s="31"/>
      <c r="PJN30" s="31"/>
      <c r="PJO30" s="31"/>
      <c r="PJP30" s="31"/>
      <c r="PJQ30" s="31"/>
      <c r="PJR30" s="31"/>
      <c r="PJS30" s="31"/>
      <c r="PJT30" s="31"/>
      <c r="PJU30" s="31"/>
      <c r="PJV30" s="31"/>
      <c r="PJW30" s="31"/>
      <c r="PJX30" s="31"/>
      <c r="PJY30" s="31"/>
      <c r="PJZ30" s="31"/>
      <c r="PKA30" s="31"/>
      <c r="PKB30" s="31"/>
      <c r="PKC30" s="31"/>
      <c r="PKD30" s="31"/>
      <c r="PKE30" s="31"/>
      <c r="PKF30" s="31"/>
      <c r="PKG30" s="31"/>
      <c r="PKH30" s="31"/>
      <c r="PKI30" s="31"/>
      <c r="PKJ30" s="31"/>
      <c r="PKK30" s="31"/>
      <c r="PKL30" s="31"/>
      <c r="PKM30" s="31"/>
      <c r="PKN30" s="31"/>
      <c r="PKO30" s="31"/>
      <c r="PKP30" s="31"/>
      <c r="PKQ30" s="31"/>
      <c r="PKR30" s="31"/>
      <c r="PKS30" s="31"/>
      <c r="PKT30" s="31"/>
      <c r="PKU30" s="31"/>
      <c r="PKV30" s="31"/>
      <c r="PKW30" s="31"/>
      <c r="PKX30" s="31"/>
      <c r="PKY30" s="31"/>
      <c r="PKZ30" s="31"/>
      <c r="PLA30" s="31"/>
      <c r="PLB30" s="31"/>
      <c r="PLC30" s="31"/>
      <c r="PLD30" s="31"/>
      <c r="PLE30" s="31"/>
      <c r="PLF30" s="31"/>
      <c r="PLG30" s="31"/>
      <c r="PLH30" s="31"/>
      <c r="PLI30" s="31"/>
      <c r="PLJ30" s="31"/>
      <c r="PLK30" s="31"/>
      <c r="PLL30" s="31"/>
      <c r="PLM30" s="31"/>
      <c r="PLN30" s="31"/>
      <c r="PLO30" s="31"/>
      <c r="PLP30" s="31"/>
      <c r="PLQ30" s="31"/>
      <c r="PLR30" s="31"/>
      <c r="PLS30" s="31"/>
      <c r="PLT30" s="31"/>
      <c r="PLU30" s="31"/>
      <c r="PLV30" s="31"/>
      <c r="PLW30" s="31"/>
      <c r="PLX30" s="31"/>
      <c r="PLY30" s="31"/>
      <c r="PLZ30" s="31"/>
      <c r="PMA30" s="31"/>
      <c r="PMB30" s="31"/>
      <c r="PMC30" s="31"/>
      <c r="PMD30" s="31"/>
      <c r="PME30" s="31"/>
      <c r="PMF30" s="31"/>
      <c r="PMG30" s="31"/>
      <c r="PMH30" s="31"/>
      <c r="PMI30" s="31"/>
      <c r="PMJ30" s="31"/>
      <c r="PMK30" s="31"/>
      <c r="PML30" s="31"/>
      <c r="PMM30" s="31"/>
      <c r="PMN30" s="31"/>
      <c r="PMO30" s="31"/>
      <c r="PMP30" s="31"/>
      <c r="PMQ30" s="31"/>
      <c r="PMR30" s="31"/>
      <c r="PMS30" s="31"/>
      <c r="PMT30" s="31"/>
      <c r="PMU30" s="31"/>
      <c r="PMV30" s="31"/>
      <c r="PMW30" s="31"/>
      <c r="PMX30" s="31"/>
      <c r="PMY30" s="31"/>
      <c r="PMZ30" s="31"/>
      <c r="PNA30" s="31"/>
      <c r="PNB30" s="31"/>
      <c r="PNC30" s="31"/>
      <c r="PND30" s="31"/>
      <c r="PNE30" s="31"/>
      <c r="PNF30" s="31"/>
      <c r="PNG30" s="31"/>
      <c r="PNH30" s="31"/>
      <c r="PNI30" s="31"/>
      <c r="PNJ30" s="31"/>
      <c r="PNK30" s="31"/>
      <c r="PNL30" s="31"/>
      <c r="PNM30" s="31"/>
      <c r="PNN30" s="31"/>
      <c r="PNO30" s="31"/>
      <c r="PNP30" s="31"/>
      <c r="PNQ30" s="31"/>
      <c r="PNR30" s="31"/>
      <c r="PNS30" s="31"/>
      <c r="PNT30" s="31"/>
      <c r="PNU30" s="31"/>
      <c r="PNV30" s="31"/>
      <c r="PNW30" s="31"/>
      <c r="PNX30" s="31"/>
      <c r="PNY30" s="31"/>
      <c r="PNZ30" s="31"/>
      <c r="POA30" s="31"/>
      <c r="POB30" s="31"/>
      <c r="POC30" s="31"/>
      <c r="POD30" s="31"/>
      <c r="POE30" s="31"/>
      <c r="POF30" s="31"/>
      <c r="POG30" s="31"/>
      <c r="POH30" s="31"/>
      <c r="POI30" s="31"/>
      <c r="POJ30" s="31"/>
      <c r="POK30" s="31"/>
      <c r="POL30" s="31"/>
      <c r="POM30" s="31"/>
      <c r="PON30" s="31"/>
      <c r="POO30" s="31"/>
      <c r="POP30" s="31"/>
      <c r="POQ30" s="31"/>
      <c r="POR30" s="31"/>
      <c r="POS30" s="31"/>
      <c r="POT30" s="31"/>
      <c r="POU30" s="31"/>
      <c r="POV30" s="31"/>
      <c r="POW30" s="31"/>
      <c r="POX30" s="31"/>
      <c r="POY30" s="31"/>
      <c r="POZ30" s="31"/>
      <c r="PPA30" s="31"/>
      <c r="PPB30" s="31"/>
      <c r="PPC30" s="31"/>
      <c r="PPD30" s="31"/>
      <c r="PPE30" s="31"/>
      <c r="PPF30" s="31"/>
      <c r="PPG30" s="31"/>
      <c r="PPH30" s="31"/>
      <c r="PPI30" s="31"/>
      <c r="PPJ30" s="31"/>
      <c r="PPK30" s="31"/>
      <c r="PPL30" s="31"/>
      <c r="PPM30" s="31"/>
      <c r="PPN30" s="31"/>
      <c r="PPO30" s="31"/>
      <c r="PPP30" s="31"/>
      <c r="PPQ30" s="31"/>
      <c r="PPR30" s="31"/>
      <c r="PPS30" s="31"/>
      <c r="PPT30" s="31"/>
      <c r="PPU30" s="31"/>
      <c r="PPV30" s="31"/>
      <c r="PPW30" s="31"/>
      <c r="PPX30" s="31"/>
      <c r="PPY30" s="31"/>
      <c r="PPZ30" s="31"/>
      <c r="PQA30" s="31"/>
      <c r="PQB30" s="31"/>
      <c r="PQC30" s="31"/>
      <c r="PQD30" s="31"/>
      <c r="PQE30" s="31"/>
      <c r="PQF30" s="31"/>
      <c r="PQG30" s="31"/>
      <c r="PQH30" s="31"/>
      <c r="PQI30" s="31"/>
      <c r="PQJ30" s="31"/>
      <c r="PQK30" s="31"/>
      <c r="PQL30" s="31"/>
      <c r="PQM30" s="31"/>
      <c r="PQN30" s="31"/>
      <c r="PQO30" s="31"/>
      <c r="PQP30" s="31"/>
      <c r="PQQ30" s="31"/>
      <c r="PQR30" s="31"/>
      <c r="PQS30" s="31"/>
      <c r="PQT30" s="31"/>
      <c r="PQU30" s="31"/>
      <c r="PQV30" s="31"/>
      <c r="PQW30" s="31"/>
      <c r="PQX30" s="31"/>
      <c r="PQY30" s="31"/>
      <c r="PQZ30" s="31"/>
      <c r="PRA30" s="31"/>
      <c r="PRB30" s="31"/>
      <c r="PRC30" s="31"/>
      <c r="PRD30" s="31"/>
      <c r="PRE30" s="31"/>
      <c r="PRF30" s="31"/>
      <c r="PRG30" s="31"/>
      <c r="PRH30" s="31"/>
      <c r="PRI30" s="31"/>
      <c r="PRJ30" s="31"/>
      <c r="PRK30" s="31"/>
      <c r="PRL30" s="31"/>
      <c r="PRM30" s="31"/>
      <c r="PRN30" s="31"/>
      <c r="PRO30" s="31"/>
      <c r="PRP30" s="31"/>
      <c r="PRQ30" s="31"/>
      <c r="PRR30" s="31"/>
      <c r="PRS30" s="31"/>
      <c r="PRT30" s="31"/>
      <c r="PRU30" s="31"/>
      <c r="PRV30" s="31"/>
      <c r="PRW30" s="31"/>
      <c r="PRX30" s="31"/>
      <c r="PRY30" s="31"/>
      <c r="PRZ30" s="31"/>
      <c r="PSA30" s="31"/>
      <c r="PSB30" s="31"/>
      <c r="PSC30" s="31"/>
      <c r="PSD30" s="31"/>
      <c r="PSE30" s="31"/>
      <c r="PSF30" s="31"/>
      <c r="PSG30" s="31"/>
      <c r="PSH30" s="31"/>
      <c r="PSI30" s="31"/>
      <c r="PSJ30" s="31"/>
      <c r="PSK30" s="31"/>
      <c r="PSL30" s="31"/>
      <c r="PSM30" s="31"/>
      <c r="PSN30" s="31"/>
      <c r="PSO30" s="31"/>
      <c r="PSP30" s="31"/>
      <c r="PSQ30" s="31"/>
      <c r="PSR30" s="31"/>
      <c r="PSS30" s="31"/>
      <c r="PST30" s="31"/>
      <c r="PSU30" s="31"/>
      <c r="PSV30" s="31"/>
      <c r="PSW30" s="31"/>
      <c r="PSX30" s="31"/>
      <c r="PSY30" s="31"/>
      <c r="PSZ30" s="31"/>
      <c r="PTA30" s="31"/>
      <c r="PTB30" s="31"/>
      <c r="PTC30" s="31"/>
      <c r="PTD30" s="31"/>
      <c r="PTE30" s="31"/>
      <c r="PTF30" s="31"/>
      <c r="PTG30" s="31"/>
      <c r="PTH30" s="31"/>
      <c r="PTI30" s="31"/>
      <c r="PTJ30" s="31"/>
      <c r="PTK30" s="31"/>
      <c r="PTL30" s="31"/>
      <c r="PTM30" s="31"/>
      <c r="PTN30" s="31"/>
      <c r="PTO30" s="31"/>
      <c r="PTP30" s="31"/>
      <c r="PTQ30" s="31"/>
      <c r="PTR30" s="31"/>
      <c r="PTS30" s="31"/>
      <c r="PTT30" s="31"/>
      <c r="PTU30" s="31"/>
      <c r="PTV30" s="31"/>
      <c r="PTW30" s="31"/>
      <c r="PTX30" s="31"/>
      <c r="PTY30" s="31"/>
      <c r="PTZ30" s="31"/>
      <c r="PUA30" s="31"/>
      <c r="PUB30" s="31"/>
      <c r="PUC30" s="31"/>
      <c r="PUD30" s="31"/>
      <c r="PUE30" s="31"/>
      <c r="PUF30" s="31"/>
      <c r="PUG30" s="31"/>
      <c r="PUH30" s="31"/>
      <c r="PUI30" s="31"/>
      <c r="PUJ30" s="31"/>
      <c r="PUK30" s="31"/>
      <c r="PUL30" s="31"/>
      <c r="PUM30" s="31"/>
      <c r="PUN30" s="31"/>
      <c r="PUO30" s="31"/>
      <c r="PUP30" s="31"/>
      <c r="PUQ30" s="31"/>
      <c r="PUR30" s="31"/>
      <c r="PUS30" s="31"/>
      <c r="PUT30" s="31"/>
      <c r="PUU30" s="31"/>
      <c r="PUV30" s="31"/>
      <c r="PUW30" s="31"/>
      <c r="PUX30" s="31"/>
      <c r="PUY30" s="31"/>
      <c r="PUZ30" s="31"/>
      <c r="PVA30" s="31"/>
      <c r="PVB30" s="31"/>
      <c r="PVC30" s="31"/>
      <c r="PVD30" s="31"/>
      <c r="PVE30" s="31"/>
      <c r="PVF30" s="31"/>
      <c r="PVG30" s="31"/>
      <c r="PVH30" s="31"/>
      <c r="PVI30" s="31"/>
      <c r="PVJ30" s="31"/>
      <c r="PVK30" s="31"/>
      <c r="PVL30" s="31"/>
      <c r="PVM30" s="31"/>
      <c r="PVN30" s="31"/>
      <c r="PVO30" s="31"/>
      <c r="PVP30" s="31"/>
      <c r="PVQ30" s="31"/>
      <c r="PVR30" s="31"/>
      <c r="PVS30" s="31"/>
      <c r="PVT30" s="31"/>
      <c r="PVU30" s="31"/>
      <c r="PVV30" s="31"/>
      <c r="PVW30" s="31"/>
      <c r="PVX30" s="31"/>
      <c r="PVY30" s="31"/>
      <c r="PVZ30" s="31"/>
      <c r="PWA30" s="31"/>
      <c r="PWB30" s="31"/>
      <c r="PWC30" s="31"/>
      <c r="PWD30" s="31"/>
      <c r="PWE30" s="31"/>
      <c r="PWF30" s="31"/>
      <c r="PWG30" s="31"/>
      <c r="PWH30" s="31"/>
      <c r="PWI30" s="31"/>
      <c r="PWJ30" s="31"/>
      <c r="PWK30" s="31"/>
      <c r="PWL30" s="31"/>
      <c r="PWM30" s="31"/>
      <c r="PWN30" s="31"/>
      <c r="PWO30" s="31"/>
      <c r="PWP30" s="31"/>
      <c r="PWQ30" s="31"/>
      <c r="PWR30" s="31"/>
      <c r="PWS30" s="31"/>
      <c r="PWT30" s="31"/>
      <c r="PWU30" s="31"/>
      <c r="PWV30" s="31"/>
      <c r="PWW30" s="31"/>
      <c r="PWX30" s="31"/>
      <c r="PWY30" s="31"/>
      <c r="PWZ30" s="31"/>
      <c r="PXA30" s="31"/>
      <c r="PXB30" s="31"/>
      <c r="PXC30" s="31"/>
      <c r="PXD30" s="31"/>
      <c r="PXE30" s="31"/>
      <c r="PXF30" s="31"/>
      <c r="PXG30" s="31"/>
      <c r="PXH30" s="31"/>
      <c r="PXI30" s="31"/>
      <c r="PXJ30" s="31"/>
      <c r="PXK30" s="31"/>
      <c r="PXL30" s="31"/>
      <c r="PXM30" s="31"/>
      <c r="PXN30" s="31"/>
      <c r="PXO30" s="31"/>
      <c r="PXP30" s="31"/>
      <c r="PXQ30" s="31"/>
      <c r="PXR30" s="31"/>
      <c r="PXS30" s="31"/>
      <c r="PXT30" s="31"/>
      <c r="PXU30" s="31"/>
      <c r="PXV30" s="31"/>
      <c r="PXW30" s="31"/>
      <c r="PXX30" s="31"/>
      <c r="PXY30" s="31"/>
      <c r="PXZ30" s="31"/>
      <c r="PYA30" s="31"/>
      <c r="PYB30" s="31"/>
      <c r="PYC30" s="31"/>
      <c r="PYD30" s="31"/>
      <c r="PYE30" s="31"/>
      <c r="PYF30" s="31"/>
      <c r="PYG30" s="31"/>
      <c r="PYH30" s="31"/>
      <c r="PYI30" s="31"/>
      <c r="PYJ30" s="31"/>
      <c r="PYK30" s="31"/>
      <c r="PYL30" s="31"/>
      <c r="PYM30" s="31"/>
      <c r="PYN30" s="31"/>
      <c r="PYO30" s="31"/>
      <c r="PYP30" s="31"/>
      <c r="PYQ30" s="31"/>
      <c r="PYR30" s="31"/>
      <c r="PYS30" s="31"/>
      <c r="PYT30" s="31"/>
      <c r="PYU30" s="31"/>
      <c r="PYV30" s="31"/>
      <c r="PYW30" s="31"/>
      <c r="PYX30" s="31"/>
      <c r="PYY30" s="31"/>
      <c r="PYZ30" s="31"/>
      <c r="PZA30" s="31"/>
      <c r="PZB30" s="31"/>
      <c r="PZC30" s="31"/>
      <c r="PZD30" s="31"/>
      <c r="PZE30" s="31"/>
      <c r="PZF30" s="31"/>
      <c r="PZG30" s="31"/>
      <c r="PZH30" s="31"/>
      <c r="PZI30" s="31"/>
      <c r="PZJ30" s="31"/>
      <c r="PZK30" s="31"/>
      <c r="PZL30" s="31"/>
      <c r="PZM30" s="31"/>
      <c r="PZN30" s="31"/>
      <c r="PZO30" s="31"/>
      <c r="PZP30" s="31"/>
      <c r="PZQ30" s="31"/>
      <c r="PZR30" s="31"/>
      <c r="PZS30" s="31"/>
      <c r="PZT30" s="31"/>
      <c r="PZU30" s="31"/>
      <c r="PZV30" s="31"/>
      <c r="PZW30" s="31"/>
      <c r="PZX30" s="31"/>
      <c r="PZY30" s="31"/>
      <c r="PZZ30" s="31"/>
      <c r="QAA30" s="31"/>
      <c r="QAB30" s="31"/>
      <c r="QAC30" s="31"/>
      <c r="QAD30" s="31"/>
      <c r="QAE30" s="31"/>
      <c r="QAF30" s="31"/>
      <c r="QAG30" s="31"/>
      <c r="QAH30" s="31"/>
      <c r="QAI30" s="31"/>
      <c r="QAJ30" s="31"/>
      <c r="QAK30" s="31"/>
      <c r="QAL30" s="31"/>
      <c r="QAM30" s="31"/>
      <c r="QAN30" s="31"/>
      <c r="QAO30" s="31"/>
      <c r="QAP30" s="31"/>
      <c r="QAQ30" s="31"/>
      <c r="QAR30" s="31"/>
      <c r="QAS30" s="31"/>
      <c r="QAT30" s="31"/>
      <c r="QAU30" s="31"/>
      <c r="QAV30" s="31"/>
      <c r="QAW30" s="31"/>
      <c r="QAX30" s="31"/>
      <c r="QAY30" s="31"/>
      <c r="QAZ30" s="31"/>
      <c r="QBA30" s="31"/>
      <c r="QBB30" s="31"/>
      <c r="QBC30" s="31"/>
      <c r="QBD30" s="31"/>
      <c r="QBE30" s="31"/>
      <c r="QBF30" s="31"/>
      <c r="QBG30" s="31"/>
      <c r="QBH30" s="31"/>
      <c r="QBI30" s="31"/>
      <c r="QBJ30" s="31"/>
      <c r="QBK30" s="31"/>
      <c r="QBL30" s="31"/>
      <c r="QBM30" s="31"/>
      <c r="QBN30" s="31"/>
      <c r="QBO30" s="31"/>
      <c r="QBP30" s="31"/>
      <c r="QBQ30" s="31"/>
      <c r="QBR30" s="31"/>
      <c r="QBS30" s="31"/>
      <c r="QBT30" s="31"/>
      <c r="QBU30" s="31"/>
      <c r="QBV30" s="31"/>
      <c r="QBW30" s="31"/>
      <c r="QBX30" s="31"/>
      <c r="QBY30" s="31"/>
      <c r="QBZ30" s="31"/>
      <c r="QCA30" s="31"/>
      <c r="QCB30" s="31"/>
      <c r="QCC30" s="31"/>
      <c r="QCD30" s="31"/>
      <c r="QCE30" s="31"/>
      <c r="QCF30" s="31"/>
      <c r="QCG30" s="31"/>
      <c r="QCH30" s="31"/>
      <c r="QCI30" s="31"/>
      <c r="QCJ30" s="31"/>
      <c r="QCK30" s="31"/>
      <c r="QCL30" s="31"/>
      <c r="QCM30" s="31"/>
      <c r="QCN30" s="31"/>
      <c r="QCO30" s="31"/>
      <c r="QCP30" s="31"/>
      <c r="QCQ30" s="31"/>
      <c r="QCR30" s="31"/>
      <c r="QCS30" s="31"/>
      <c r="QCT30" s="31"/>
      <c r="QCU30" s="31"/>
      <c r="QCV30" s="31"/>
      <c r="QCW30" s="31"/>
      <c r="QCX30" s="31"/>
      <c r="QCY30" s="31"/>
      <c r="QCZ30" s="31"/>
      <c r="QDA30" s="31"/>
      <c r="QDB30" s="31"/>
      <c r="QDC30" s="31"/>
      <c r="QDD30" s="31"/>
      <c r="QDE30" s="31"/>
      <c r="QDF30" s="31"/>
      <c r="QDG30" s="31"/>
      <c r="QDH30" s="31"/>
      <c r="QDI30" s="31"/>
      <c r="QDJ30" s="31"/>
      <c r="QDK30" s="31"/>
      <c r="QDL30" s="31"/>
      <c r="QDM30" s="31"/>
      <c r="QDN30" s="31"/>
      <c r="QDO30" s="31"/>
      <c r="QDP30" s="31"/>
      <c r="QDQ30" s="31"/>
      <c r="QDR30" s="31"/>
      <c r="QDS30" s="31"/>
      <c r="QDT30" s="31"/>
      <c r="QDU30" s="31"/>
      <c r="QDV30" s="31"/>
      <c r="QDW30" s="31"/>
      <c r="QDX30" s="31"/>
      <c r="QDY30" s="31"/>
      <c r="QDZ30" s="31"/>
      <c r="QEA30" s="31"/>
      <c r="QEB30" s="31"/>
      <c r="QEC30" s="31"/>
      <c r="QED30" s="31"/>
      <c r="QEE30" s="31"/>
      <c r="QEF30" s="31"/>
      <c r="QEG30" s="31"/>
      <c r="QEH30" s="31"/>
      <c r="QEI30" s="31"/>
      <c r="QEJ30" s="31"/>
      <c r="QEK30" s="31"/>
      <c r="QEL30" s="31"/>
      <c r="QEM30" s="31"/>
      <c r="QEN30" s="31"/>
      <c r="QEO30" s="31"/>
      <c r="QEP30" s="31"/>
      <c r="QEQ30" s="31"/>
      <c r="QER30" s="31"/>
      <c r="QES30" s="31"/>
      <c r="QET30" s="31"/>
      <c r="QEU30" s="31"/>
      <c r="QEV30" s="31"/>
      <c r="QEW30" s="31"/>
      <c r="QEX30" s="31"/>
      <c r="QEY30" s="31"/>
      <c r="QEZ30" s="31"/>
      <c r="QFA30" s="31"/>
      <c r="QFB30" s="31"/>
      <c r="QFC30" s="31"/>
      <c r="QFD30" s="31"/>
      <c r="QFE30" s="31"/>
      <c r="QFF30" s="31"/>
      <c r="QFG30" s="31"/>
      <c r="QFH30" s="31"/>
      <c r="QFI30" s="31"/>
      <c r="QFJ30" s="31"/>
      <c r="QFK30" s="31"/>
      <c r="QFL30" s="31"/>
      <c r="QFM30" s="31"/>
      <c r="QFN30" s="31"/>
      <c r="QFO30" s="31"/>
      <c r="QFP30" s="31"/>
      <c r="QFQ30" s="31"/>
      <c r="QFR30" s="31"/>
      <c r="QFS30" s="31"/>
      <c r="QFT30" s="31"/>
      <c r="QFU30" s="31"/>
      <c r="QFV30" s="31"/>
      <c r="QFW30" s="31"/>
      <c r="QFX30" s="31"/>
      <c r="QFY30" s="31"/>
      <c r="QFZ30" s="31"/>
      <c r="QGA30" s="31"/>
      <c r="QGB30" s="31"/>
      <c r="QGC30" s="31"/>
      <c r="QGD30" s="31"/>
      <c r="QGE30" s="31"/>
      <c r="QGF30" s="31"/>
      <c r="QGG30" s="31"/>
      <c r="QGH30" s="31"/>
      <c r="QGI30" s="31"/>
      <c r="QGJ30" s="31"/>
      <c r="QGK30" s="31"/>
      <c r="QGL30" s="31"/>
      <c r="QGM30" s="31"/>
      <c r="QGN30" s="31"/>
      <c r="QGO30" s="31"/>
      <c r="QGP30" s="31"/>
      <c r="QGQ30" s="31"/>
      <c r="QGR30" s="31"/>
      <c r="QGS30" s="31"/>
      <c r="QGT30" s="31"/>
      <c r="QGU30" s="31"/>
      <c r="QGV30" s="31"/>
      <c r="QGW30" s="31"/>
      <c r="QGX30" s="31"/>
      <c r="QGY30" s="31"/>
      <c r="QGZ30" s="31"/>
      <c r="QHA30" s="31"/>
      <c r="QHB30" s="31"/>
      <c r="QHC30" s="31"/>
      <c r="QHD30" s="31"/>
      <c r="QHE30" s="31"/>
      <c r="QHF30" s="31"/>
      <c r="QHG30" s="31"/>
      <c r="QHH30" s="31"/>
      <c r="QHI30" s="31"/>
      <c r="QHJ30" s="31"/>
      <c r="QHK30" s="31"/>
      <c r="QHL30" s="31"/>
      <c r="QHM30" s="31"/>
      <c r="QHN30" s="31"/>
      <c r="QHO30" s="31"/>
      <c r="QHP30" s="31"/>
      <c r="QHQ30" s="31"/>
      <c r="QHR30" s="31"/>
      <c r="QHS30" s="31"/>
      <c r="QHT30" s="31"/>
      <c r="QHU30" s="31"/>
      <c r="QHV30" s="31"/>
      <c r="QHW30" s="31"/>
      <c r="QHX30" s="31"/>
      <c r="QHY30" s="31"/>
      <c r="QHZ30" s="31"/>
      <c r="QIA30" s="31"/>
      <c r="QIB30" s="31"/>
      <c r="QIC30" s="31"/>
      <c r="QID30" s="31"/>
      <c r="QIE30" s="31"/>
      <c r="QIF30" s="31"/>
      <c r="QIG30" s="31"/>
      <c r="QIH30" s="31"/>
      <c r="QII30" s="31"/>
      <c r="QIJ30" s="31"/>
      <c r="QIK30" s="31"/>
      <c r="QIL30" s="31"/>
      <c r="QIM30" s="31"/>
      <c r="QIN30" s="31"/>
      <c r="QIO30" s="31"/>
      <c r="QIP30" s="31"/>
      <c r="QIQ30" s="31"/>
      <c r="QIR30" s="31"/>
      <c r="QIS30" s="31"/>
      <c r="QIT30" s="31"/>
      <c r="QIU30" s="31"/>
      <c r="QIV30" s="31"/>
      <c r="QIW30" s="31"/>
      <c r="QIX30" s="31"/>
      <c r="QIY30" s="31"/>
      <c r="QIZ30" s="31"/>
      <c r="QJA30" s="31"/>
      <c r="QJB30" s="31"/>
      <c r="QJC30" s="31"/>
      <c r="QJD30" s="31"/>
      <c r="QJE30" s="31"/>
      <c r="QJF30" s="31"/>
      <c r="QJG30" s="31"/>
      <c r="QJH30" s="31"/>
      <c r="QJI30" s="31"/>
      <c r="QJJ30" s="31"/>
      <c r="QJK30" s="31"/>
      <c r="QJL30" s="31"/>
      <c r="QJM30" s="31"/>
      <c r="QJN30" s="31"/>
      <c r="QJO30" s="31"/>
      <c r="QJP30" s="31"/>
      <c r="QJQ30" s="31"/>
      <c r="QJR30" s="31"/>
      <c r="QJS30" s="31"/>
      <c r="QJT30" s="31"/>
      <c r="QJU30" s="31"/>
      <c r="QJV30" s="31"/>
      <c r="QJW30" s="31"/>
      <c r="QJX30" s="31"/>
      <c r="QJY30" s="31"/>
      <c r="QJZ30" s="31"/>
      <c r="QKA30" s="31"/>
      <c r="QKB30" s="31"/>
      <c r="QKC30" s="31"/>
      <c r="QKD30" s="31"/>
      <c r="QKE30" s="31"/>
      <c r="QKF30" s="31"/>
      <c r="QKG30" s="31"/>
      <c r="QKH30" s="31"/>
      <c r="QKI30" s="31"/>
      <c r="QKJ30" s="31"/>
      <c r="QKK30" s="31"/>
      <c r="QKL30" s="31"/>
      <c r="QKM30" s="31"/>
      <c r="QKN30" s="31"/>
      <c r="QKO30" s="31"/>
      <c r="QKP30" s="31"/>
      <c r="QKQ30" s="31"/>
      <c r="QKR30" s="31"/>
      <c r="QKS30" s="31"/>
      <c r="QKT30" s="31"/>
      <c r="QKU30" s="31"/>
      <c r="QKV30" s="31"/>
      <c r="QKW30" s="31"/>
      <c r="QKX30" s="31"/>
      <c r="QKY30" s="31"/>
      <c r="QKZ30" s="31"/>
      <c r="QLA30" s="31"/>
      <c r="QLB30" s="31"/>
      <c r="QLC30" s="31"/>
      <c r="QLD30" s="31"/>
      <c r="QLE30" s="31"/>
      <c r="QLF30" s="31"/>
      <c r="QLG30" s="31"/>
      <c r="QLH30" s="31"/>
      <c r="QLI30" s="31"/>
      <c r="QLJ30" s="31"/>
      <c r="QLK30" s="31"/>
      <c r="QLL30" s="31"/>
      <c r="QLM30" s="31"/>
      <c r="QLN30" s="31"/>
      <c r="QLO30" s="31"/>
      <c r="QLP30" s="31"/>
      <c r="QLQ30" s="31"/>
      <c r="QLR30" s="31"/>
      <c r="QLS30" s="31"/>
      <c r="QLT30" s="31"/>
      <c r="QLU30" s="31"/>
      <c r="QLV30" s="31"/>
      <c r="QLW30" s="31"/>
      <c r="QLX30" s="31"/>
      <c r="QLY30" s="31"/>
      <c r="QLZ30" s="31"/>
      <c r="QMA30" s="31"/>
      <c r="QMB30" s="31"/>
      <c r="QMC30" s="31"/>
      <c r="QMD30" s="31"/>
      <c r="QME30" s="31"/>
      <c r="QMF30" s="31"/>
      <c r="QMG30" s="31"/>
      <c r="QMH30" s="31"/>
      <c r="QMI30" s="31"/>
      <c r="QMJ30" s="31"/>
      <c r="QMK30" s="31"/>
      <c r="QML30" s="31"/>
      <c r="QMM30" s="31"/>
      <c r="QMN30" s="31"/>
      <c r="QMO30" s="31"/>
      <c r="QMP30" s="31"/>
      <c r="QMQ30" s="31"/>
      <c r="QMR30" s="31"/>
      <c r="QMS30" s="31"/>
      <c r="QMT30" s="31"/>
      <c r="QMU30" s="31"/>
      <c r="QMV30" s="31"/>
      <c r="QMW30" s="31"/>
      <c r="QMX30" s="31"/>
      <c r="QMY30" s="31"/>
      <c r="QMZ30" s="31"/>
      <c r="QNA30" s="31"/>
      <c r="QNB30" s="31"/>
      <c r="QNC30" s="31"/>
      <c r="QND30" s="31"/>
      <c r="QNE30" s="31"/>
      <c r="QNF30" s="31"/>
      <c r="QNG30" s="31"/>
      <c r="QNH30" s="31"/>
      <c r="QNI30" s="31"/>
      <c r="QNJ30" s="31"/>
      <c r="QNK30" s="31"/>
      <c r="QNL30" s="31"/>
      <c r="QNM30" s="31"/>
      <c r="QNN30" s="31"/>
      <c r="QNO30" s="31"/>
      <c r="QNP30" s="31"/>
      <c r="QNQ30" s="31"/>
      <c r="QNR30" s="31"/>
      <c r="QNS30" s="31"/>
      <c r="QNT30" s="31"/>
      <c r="QNU30" s="31"/>
      <c r="QNV30" s="31"/>
      <c r="QNW30" s="31"/>
      <c r="QNX30" s="31"/>
      <c r="QNY30" s="31"/>
      <c r="QNZ30" s="31"/>
      <c r="QOA30" s="31"/>
      <c r="QOB30" s="31"/>
      <c r="QOC30" s="31"/>
      <c r="QOD30" s="31"/>
      <c r="QOE30" s="31"/>
      <c r="QOF30" s="31"/>
      <c r="QOG30" s="31"/>
      <c r="QOH30" s="31"/>
      <c r="QOI30" s="31"/>
      <c r="QOJ30" s="31"/>
      <c r="QOK30" s="31"/>
      <c r="QOL30" s="31"/>
      <c r="QOM30" s="31"/>
      <c r="QON30" s="31"/>
      <c r="QOO30" s="31"/>
      <c r="QOP30" s="31"/>
      <c r="QOQ30" s="31"/>
      <c r="QOR30" s="31"/>
      <c r="QOS30" s="31"/>
      <c r="QOT30" s="31"/>
      <c r="QOU30" s="31"/>
      <c r="QOV30" s="31"/>
      <c r="QOW30" s="31"/>
      <c r="QOX30" s="31"/>
      <c r="QOY30" s="31"/>
      <c r="QOZ30" s="31"/>
      <c r="QPA30" s="31"/>
      <c r="QPB30" s="31"/>
      <c r="QPC30" s="31"/>
      <c r="QPD30" s="31"/>
      <c r="QPE30" s="31"/>
      <c r="QPF30" s="31"/>
      <c r="QPG30" s="31"/>
      <c r="QPH30" s="31"/>
      <c r="QPI30" s="31"/>
      <c r="QPJ30" s="31"/>
      <c r="QPK30" s="31"/>
      <c r="QPL30" s="31"/>
      <c r="QPM30" s="31"/>
      <c r="QPN30" s="31"/>
      <c r="QPO30" s="31"/>
      <c r="QPP30" s="31"/>
      <c r="QPQ30" s="31"/>
      <c r="QPR30" s="31"/>
      <c r="QPS30" s="31"/>
      <c r="QPT30" s="31"/>
      <c r="QPU30" s="31"/>
      <c r="QPV30" s="31"/>
      <c r="QPW30" s="31"/>
      <c r="QPX30" s="31"/>
      <c r="QPY30" s="31"/>
      <c r="QPZ30" s="31"/>
      <c r="QQA30" s="31"/>
      <c r="QQB30" s="31"/>
      <c r="QQC30" s="31"/>
      <c r="QQD30" s="31"/>
      <c r="QQE30" s="31"/>
      <c r="QQF30" s="31"/>
      <c r="QQG30" s="31"/>
      <c r="QQH30" s="31"/>
      <c r="QQI30" s="31"/>
      <c r="QQJ30" s="31"/>
      <c r="QQK30" s="31"/>
      <c r="QQL30" s="31"/>
      <c r="QQM30" s="31"/>
      <c r="QQN30" s="31"/>
      <c r="QQO30" s="31"/>
      <c r="QQP30" s="31"/>
      <c r="QQQ30" s="31"/>
      <c r="QQR30" s="31"/>
      <c r="QQS30" s="31"/>
      <c r="QQT30" s="31"/>
      <c r="QQU30" s="31"/>
      <c r="QQV30" s="31"/>
      <c r="QQW30" s="31"/>
      <c r="QQX30" s="31"/>
      <c r="QQY30" s="31"/>
      <c r="QQZ30" s="31"/>
      <c r="QRA30" s="31"/>
      <c r="QRB30" s="31"/>
      <c r="QRC30" s="31"/>
      <c r="QRD30" s="31"/>
      <c r="QRE30" s="31"/>
      <c r="QRF30" s="31"/>
      <c r="QRG30" s="31"/>
      <c r="QRH30" s="31"/>
      <c r="QRI30" s="31"/>
      <c r="QRJ30" s="31"/>
      <c r="QRK30" s="31"/>
      <c r="QRL30" s="31"/>
      <c r="QRM30" s="31"/>
      <c r="QRN30" s="31"/>
      <c r="QRO30" s="31"/>
      <c r="QRP30" s="31"/>
      <c r="QRQ30" s="31"/>
      <c r="QRR30" s="31"/>
      <c r="QRS30" s="31"/>
      <c r="QRT30" s="31"/>
      <c r="QRU30" s="31"/>
      <c r="QRV30" s="31"/>
      <c r="QRW30" s="31"/>
      <c r="QRX30" s="31"/>
      <c r="QRY30" s="31"/>
      <c r="QRZ30" s="31"/>
      <c r="QSA30" s="31"/>
      <c r="QSB30" s="31"/>
      <c r="QSC30" s="31"/>
      <c r="QSD30" s="31"/>
      <c r="QSE30" s="31"/>
      <c r="QSF30" s="31"/>
      <c r="QSG30" s="31"/>
      <c r="QSH30" s="31"/>
      <c r="QSI30" s="31"/>
      <c r="QSJ30" s="31"/>
      <c r="QSK30" s="31"/>
      <c r="QSL30" s="31"/>
      <c r="QSM30" s="31"/>
      <c r="QSN30" s="31"/>
      <c r="QSO30" s="31"/>
      <c r="QSP30" s="31"/>
      <c r="QSQ30" s="31"/>
      <c r="QSR30" s="31"/>
      <c r="QSS30" s="31"/>
      <c r="QST30" s="31"/>
      <c r="QSU30" s="31"/>
      <c r="QSV30" s="31"/>
      <c r="QSW30" s="31"/>
      <c r="QSX30" s="31"/>
      <c r="QSY30" s="31"/>
      <c r="QSZ30" s="31"/>
      <c r="QTA30" s="31"/>
      <c r="QTB30" s="31"/>
      <c r="QTC30" s="31"/>
      <c r="QTD30" s="31"/>
      <c r="QTE30" s="31"/>
      <c r="QTF30" s="31"/>
      <c r="QTG30" s="31"/>
      <c r="QTH30" s="31"/>
      <c r="QTI30" s="31"/>
      <c r="QTJ30" s="31"/>
      <c r="QTK30" s="31"/>
      <c r="QTL30" s="31"/>
      <c r="QTM30" s="31"/>
      <c r="QTN30" s="31"/>
      <c r="QTO30" s="31"/>
      <c r="QTP30" s="31"/>
      <c r="QTQ30" s="31"/>
      <c r="QTR30" s="31"/>
      <c r="QTS30" s="31"/>
      <c r="QTT30" s="31"/>
      <c r="QTU30" s="31"/>
      <c r="QTV30" s="31"/>
      <c r="QTW30" s="31"/>
      <c r="QTX30" s="31"/>
      <c r="QTY30" s="31"/>
      <c r="QTZ30" s="31"/>
      <c r="QUA30" s="31"/>
      <c r="QUB30" s="31"/>
      <c r="QUC30" s="31"/>
      <c r="QUD30" s="31"/>
      <c r="QUE30" s="31"/>
      <c r="QUF30" s="31"/>
      <c r="QUG30" s="31"/>
      <c r="QUH30" s="31"/>
      <c r="QUI30" s="31"/>
      <c r="QUJ30" s="31"/>
      <c r="QUK30" s="31"/>
      <c r="QUL30" s="31"/>
      <c r="QUM30" s="31"/>
      <c r="QUN30" s="31"/>
      <c r="QUO30" s="31"/>
      <c r="QUP30" s="31"/>
      <c r="QUQ30" s="31"/>
      <c r="QUR30" s="31"/>
      <c r="QUS30" s="31"/>
      <c r="QUT30" s="31"/>
      <c r="QUU30" s="31"/>
      <c r="QUV30" s="31"/>
      <c r="QUW30" s="31"/>
      <c r="QUX30" s="31"/>
      <c r="QUY30" s="31"/>
      <c r="QUZ30" s="31"/>
      <c r="QVA30" s="31"/>
      <c r="QVB30" s="31"/>
      <c r="QVC30" s="31"/>
      <c r="QVD30" s="31"/>
      <c r="QVE30" s="31"/>
      <c r="QVF30" s="31"/>
      <c r="QVG30" s="31"/>
      <c r="QVH30" s="31"/>
      <c r="QVI30" s="31"/>
      <c r="QVJ30" s="31"/>
      <c r="QVK30" s="31"/>
      <c r="QVL30" s="31"/>
      <c r="QVM30" s="31"/>
      <c r="QVN30" s="31"/>
      <c r="QVO30" s="31"/>
      <c r="QVP30" s="31"/>
      <c r="QVQ30" s="31"/>
      <c r="QVR30" s="31"/>
      <c r="QVS30" s="31"/>
      <c r="QVT30" s="31"/>
      <c r="QVU30" s="31"/>
      <c r="QVV30" s="31"/>
      <c r="QVW30" s="31"/>
      <c r="QVX30" s="31"/>
      <c r="QVY30" s="31"/>
      <c r="QVZ30" s="31"/>
      <c r="QWA30" s="31"/>
      <c r="QWB30" s="31"/>
      <c r="QWC30" s="31"/>
      <c r="QWD30" s="31"/>
      <c r="QWE30" s="31"/>
      <c r="QWF30" s="31"/>
      <c r="QWG30" s="31"/>
      <c r="QWH30" s="31"/>
      <c r="QWI30" s="31"/>
      <c r="QWJ30" s="31"/>
      <c r="QWK30" s="31"/>
      <c r="QWL30" s="31"/>
      <c r="QWM30" s="31"/>
      <c r="QWN30" s="31"/>
      <c r="QWO30" s="31"/>
      <c r="QWP30" s="31"/>
      <c r="QWQ30" s="31"/>
      <c r="QWR30" s="31"/>
      <c r="QWS30" s="31"/>
      <c r="QWT30" s="31"/>
      <c r="QWU30" s="31"/>
      <c r="QWV30" s="31"/>
      <c r="QWW30" s="31"/>
      <c r="QWX30" s="31"/>
      <c r="QWY30" s="31"/>
      <c r="QWZ30" s="31"/>
      <c r="QXA30" s="31"/>
      <c r="QXB30" s="31"/>
      <c r="QXC30" s="31"/>
      <c r="QXD30" s="31"/>
      <c r="QXE30" s="31"/>
      <c r="QXF30" s="31"/>
      <c r="QXG30" s="31"/>
      <c r="QXH30" s="31"/>
      <c r="QXI30" s="31"/>
      <c r="QXJ30" s="31"/>
      <c r="QXK30" s="31"/>
      <c r="QXL30" s="31"/>
      <c r="QXM30" s="31"/>
      <c r="QXN30" s="31"/>
      <c r="QXO30" s="31"/>
      <c r="QXP30" s="31"/>
      <c r="QXQ30" s="31"/>
      <c r="QXR30" s="31"/>
      <c r="QXS30" s="31"/>
      <c r="QXT30" s="31"/>
      <c r="QXU30" s="31"/>
      <c r="QXV30" s="31"/>
      <c r="QXW30" s="31"/>
      <c r="QXX30" s="31"/>
      <c r="QXY30" s="31"/>
      <c r="QXZ30" s="31"/>
      <c r="QYA30" s="31"/>
      <c r="QYB30" s="31"/>
      <c r="QYC30" s="31"/>
      <c r="QYD30" s="31"/>
      <c r="QYE30" s="31"/>
      <c r="QYF30" s="31"/>
      <c r="QYG30" s="31"/>
      <c r="QYH30" s="31"/>
      <c r="QYI30" s="31"/>
      <c r="QYJ30" s="31"/>
      <c r="QYK30" s="31"/>
      <c r="QYL30" s="31"/>
      <c r="QYM30" s="31"/>
      <c r="QYN30" s="31"/>
      <c r="QYO30" s="31"/>
      <c r="QYP30" s="31"/>
      <c r="QYQ30" s="31"/>
      <c r="QYR30" s="31"/>
      <c r="QYS30" s="31"/>
      <c r="QYT30" s="31"/>
      <c r="QYU30" s="31"/>
      <c r="QYV30" s="31"/>
      <c r="QYW30" s="31"/>
      <c r="QYX30" s="31"/>
      <c r="QYY30" s="31"/>
      <c r="QYZ30" s="31"/>
      <c r="QZA30" s="31"/>
      <c r="QZB30" s="31"/>
      <c r="QZC30" s="31"/>
      <c r="QZD30" s="31"/>
      <c r="QZE30" s="31"/>
      <c r="QZF30" s="31"/>
      <c r="QZG30" s="31"/>
      <c r="QZH30" s="31"/>
      <c r="QZI30" s="31"/>
      <c r="QZJ30" s="31"/>
      <c r="QZK30" s="31"/>
      <c r="QZL30" s="31"/>
      <c r="QZM30" s="31"/>
      <c r="QZN30" s="31"/>
      <c r="QZO30" s="31"/>
      <c r="QZP30" s="31"/>
      <c r="QZQ30" s="31"/>
      <c r="QZR30" s="31"/>
      <c r="QZS30" s="31"/>
      <c r="QZT30" s="31"/>
      <c r="QZU30" s="31"/>
      <c r="QZV30" s="31"/>
      <c r="QZW30" s="31"/>
      <c r="QZX30" s="31"/>
      <c r="QZY30" s="31"/>
      <c r="QZZ30" s="31"/>
      <c r="RAA30" s="31"/>
      <c r="RAB30" s="31"/>
      <c r="RAC30" s="31"/>
      <c r="RAD30" s="31"/>
      <c r="RAE30" s="31"/>
      <c r="RAF30" s="31"/>
      <c r="RAG30" s="31"/>
      <c r="RAH30" s="31"/>
      <c r="RAI30" s="31"/>
      <c r="RAJ30" s="31"/>
      <c r="RAK30" s="31"/>
      <c r="RAL30" s="31"/>
      <c r="RAM30" s="31"/>
      <c r="RAN30" s="31"/>
      <c r="RAO30" s="31"/>
      <c r="RAP30" s="31"/>
      <c r="RAQ30" s="31"/>
      <c r="RAR30" s="31"/>
      <c r="RAS30" s="31"/>
      <c r="RAT30" s="31"/>
      <c r="RAU30" s="31"/>
      <c r="RAV30" s="31"/>
      <c r="RAW30" s="31"/>
      <c r="RAX30" s="31"/>
      <c r="RAY30" s="31"/>
      <c r="RAZ30" s="31"/>
      <c r="RBA30" s="31"/>
      <c r="RBB30" s="31"/>
      <c r="RBC30" s="31"/>
      <c r="RBD30" s="31"/>
      <c r="RBE30" s="31"/>
      <c r="RBF30" s="31"/>
      <c r="RBG30" s="31"/>
      <c r="RBH30" s="31"/>
      <c r="RBI30" s="31"/>
      <c r="RBJ30" s="31"/>
      <c r="RBK30" s="31"/>
      <c r="RBL30" s="31"/>
      <c r="RBM30" s="31"/>
      <c r="RBN30" s="31"/>
      <c r="RBO30" s="31"/>
      <c r="RBP30" s="31"/>
      <c r="RBQ30" s="31"/>
      <c r="RBR30" s="31"/>
      <c r="RBS30" s="31"/>
      <c r="RBT30" s="31"/>
      <c r="RBU30" s="31"/>
      <c r="RBV30" s="31"/>
      <c r="RBW30" s="31"/>
      <c r="RBX30" s="31"/>
      <c r="RBY30" s="31"/>
      <c r="RBZ30" s="31"/>
      <c r="RCA30" s="31"/>
      <c r="RCB30" s="31"/>
      <c r="RCC30" s="31"/>
      <c r="RCD30" s="31"/>
      <c r="RCE30" s="31"/>
      <c r="RCF30" s="31"/>
      <c r="RCG30" s="31"/>
      <c r="RCH30" s="31"/>
      <c r="RCI30" s="31"/>
      <c r="RCJ30" s="31"/>
      <c r="RCK30" s="31"/>
      <c r="RCL30" s="31"/>
      <c r="RCM30" s="31"/>
      <c r="RCN30" s="31"/>
      <c r="RCO30" s="31"/>
      <c r="RCP30" s="31"/>
      <c r="RCQ30" s="31"/>
      <c r="RCR30" s="31"/>
      <c r="RCS30" s="31"/>
      <c r="RCT30" s="31"/>
      <c r="RCU30" s="31"/>
      <c r="RCV30" s="31"/>
      <c r="RCW30" s="31"/>
      <c r="RCX30" s="31"/>
      <c r="RCY30" s="31"/>
      <c r="RCZ30" s="31"/>
      <c r="RDA30" s="31"/>
      <c r="RDB30" s="31"/>
      <c r="RDC30" s="31"/>
      <c r="RDD30" s="31"/>
      <c r="RDE30" s="31"/>
      <c r="RDF30" s="31"/>
      <c r="RDG30" s="31"/>
      <c r="RDH30" s="31"/>
      <c r="RDI30" s="31"/>
      <c r="RDJ30" s="31"/>
      <c r="RDK30" s="31"/>
      <c r="RDL30" s="31"/>
      <c r="RDM30" s="31"/>
      <c r="RDN30" s="31"/>
      <c r="RDO30" s="31"/>
      <c r="RDP30" s="31"/>
      <c r="RDQ30" s="31"/>
      <c r="RDR30" s="31"/>
      <c r="RDS30" s="31"/>
      <c r="RDT30" s="31"/>
      <c r="RDU30" s="31"/>
      <c r="RDV30" s="31"/>
      <c r="RDW30" s="31"/>
      <c r="RDX30" s="31"/>
      <c r="RDY30" s="31"/>
      <c r="RDZ30" s="31"/>
      <c r="REA30" s="31"/>
      <c r="REB30" s="31"/>
      <c r="REC30" s="31"/>
      <c r="RED30" s="31"/>
      <c r="REE30" s="31"/>
      <c r="REF30" s="31"/>
      <c r="REG30" s="31"/>
      <c r="REH30" s="31"/>
      <c r="REI30" s="31"/>
      <c r="REJ30" s="31"/>
      <c r="REK30" s="31"/>
      <c r="REL30" s="31"/>
      <c r="REM30" s="31"/>
      <c r="REN30" s="31"/>
      <c r="REO30" s="31"/>
      <c r="REP30" s="31"/>
      <c r="REQ30" s="31"/>
      <c r="RER30" s="31"/>
      <c r="RES30" s="31"/>
      <c r="RET30" s="31"/>
      <c r="REU30" s="31"/>
      <c r="REV30" s="31"/>
      <c r="REW30" s="31"/>
      <c r="REX30" s="31"/>
      <c r="REY30" s="31"/>
      <c r="REZ30" s="31"/>
      <c r="RFA30" s="31"/>
      <c r="RFB30" s="31"/>
      <c r="RFC30" s="31"/>
      <c r="RFD30" s="31"/>
      <c r="RFE30" s="31"/>
      <c r="RFF30" s="31"/>
      <c r="RFG30" s="31"/>
      <c r="RFH30" s="31"/>
      <c r="RFI30" s="31"/>
      <c r="RFJ30" s="31"/>
      <c r="RFK30" s="31"/>
      <c r="RFL30" s="31"/>
      <c r="RFM30" s="31"/>
      <c r="RFN30" s="31"/>
      <c r="RFO30" s="31"/>
      <c r="RFP30" s="31"/>
      <c r="RFQ30" s="31"/>
      <c r="RFR30" s="31"/>
      <c r="RFS30" s="31"/>
      <c r="RFT30" s="31"/>
      <c r="RFU30" s="31"/>
      <c r="RFV30" s="31"/>
      <c r="RFW30" s="31"/>
      <c r="RFX30" s="31"/>
      <c r="RFY30" s="31"/>
      <c r="RFZ30" s="31"/>
      <c r="RGA30" s="31"/>
      <c r="RGB30" s="31"/>
      <c r="RGC30" s="31"/>
      <c r="RGD30" s="31"/>
      <c r="RGE30" s="31"/>
      <c r="RGF30" s="31"/>
      <c r="RGG30" s="31"/>
      <c r="RGH30" s="31"/>
      <c r="RGI30" s="31"/>
      <c r="RGJ30" s="31"/>
      <c r="RGK30" s="31"/>
      <c r="RGL30" s="31"/>
      <c r="RGM30" s="31"/>
      <c r="RGN30" s="31"/>
      <c r="RGO30" s="31"/>
      <c r="RGP30" s="31"/>
      <c r="RGQ30" s="31"/>
      <c r="RGR30" s="31"/>
      <c r="RGS30" s="31"/>
      <c r="RGT30" s="31"/>
      <c r="RGU30" s="31"/>
      <c r="RGV30" s="31"/>
      <c r="RGW30" s="31"/>
      <c r="RGX30" s="31"/>
      <c r="RGY30" s="31"/>
      <c r="RGZ30" s="31"/>
      <c r="RHA30" s="31"/>
      <c r="RHB30" s="31"/>
      <c r="RHC30" s="31"/>
      <c r="RHD30" s="31"/>
      <c r="RHE30" s="31"/>
      <c r="RHF30" s="31"/>
      <c r="RHG30" s="31"/>
      <c r="RHH30" s="31"/>
      <c r="RHI30" s="31"/>
      <c r="RHJ30" s="31"/>
      <c r="RHK30" s="31"/>
      <c r="RHL30" s="31"/>
      <c r="RHM30" s="31"/>
      <c r="RHN30" s="31"/>
      <c r="RHO30" s="31"/>
      <c r="RHP30" s="31"/>
      <c r="RHQ30" s="31"/>
      <c r="RHR30" s="31"/>
      <c r="RHS30" s="31"/>
      <c r="RHT30" s="31"/>
      <c r="RHU30" s="31"/>
      <c r="RHV30" s="31"/>
      <c r="RHW30" s="31"/>
      <c r="RHX30" s="31"/>
      <c r="RHY30" s="31"/>
      <c r="RHZ30" s="31"/>
      <c r="RIA30" s="31"/>
      <c r="RIB30" s="31"/>
      <c r="RIC30" s="31"/>
      <c r="RID30" s="31"/>
      <c r="RIE30" s="31"/>
      <c r="RIF30" s="31"/>
      <c r="RIG30" s="31"/>
      <c r="RIH30" s="31"/>
      <c r="RII30" s="31"/>
      <c r="RIJ30" s="31"/>
      <c r="RIK30" s="31"/>
      <c r="RIL30" s="31"/>
      <c r="RIM30" s="31"/>
      <c r="RIN30" s="31"/>
      <c r="RIO30" s="31"/>
      <c r="RIP30" s="31"/>
      <c r="RIQ30" s="31"/>
      <c r="RIR30" s="31"/>
      <c r="RIS30" s="31"/>
      <c r="RIT30" s="31"/>
      <c r="RIU30" s="31"/>
      <c r="RIV30" s="31"/>
      <c r="RIW30" s="31"/>
      <c r="RIX30" s="31"/>
      <c r="RIY30" s="31"/>
      <c r="RIZ30" s="31"/>
      <c r="RJA30" s="31"/>
      <c r="RJB30" s="31"/>
      <c r="RJC30" s="31"/>
      <c r="RJD30" s="31"/>
      <c r="RJE30" s="31"/>
      <c r="RJF30" s="31"/>
      <c r="RJG30" s="31"/>
      <c r="RJH30" s="31"/>
      <c r="RJI30" s="31"/>
      <c r="RJJ30" s="31"/>
      <c r="RJK30" s="31"/>
      <c r="RJL30" s="31"/>
      <c r="RJM30" s="31"/>
      <c r="RJN30" s="31"/>
      <c r="RJO30" s="31"/>
      <c r="RJP30" s="31"/>
      <c r="RJQ30" s="31"/>
      <c r="RJR30" s="31"/>
      <c r="RJS30" s="31"/>
      <c r="RJT30" s="31"/>
      <c r="RJU30" s="31"/>
      <c r="RJV30" s="31"/>
      <c r="RJW30" s="31"/>
      <c r="RJX30" s="31"/>
      <c r="RJY30" s="31"/>
      <c r="RJZ30" s="31"/>
      <c r="RKA30" s="31"/>
      <c r="RKB30" s="31"/>
      <c r="RKC30" s="31"/>
      <c r="RKD30" s="31"/>
      <c r="RKE30" s="31"/>
      <c r="RKF30" s="31"/>
      <c r="RKG30" s="31"/>
      <c r="RKH30" s="31"/>
      <c r="RKI30" s="31"/>
      <c r="RKJ30" s="31"/>
      <c r="RKK30" s="31"/>
      <c r="RKL30" s="31"/>
      <c r="RKM30" s="31"/>
      <c r="RKN30" s="31"/>
      <c r="RKO30" s="31"/>
      <c r="RKP30" s="31"/>
      <c r="RKQ30" s="31"/>
      <c r="RKR30" s="31"/>
      <c r="RKS30" s="31"/>
      <c r="RKT30" s="31"/>
      <c r="RKU30" s="31"/>
      <c r="RKV30" s="31"/>
      <c r="RKW30" s="31"/>
      <c r="RKX30" s="31"/>
      <c r="RKY30" s="31"/>
      <c r="RKZ30" s="31"/>
      <c r="RLA30" s="31"/>
      <c r="RLB30" s="31"/>
      <c r="RLC30" s="31"/>
      <c r="RLD30" s="31"/>
      <c r="RLE30" s="31"/>
      <c r="RLF30" s="31"/>
      <c r="RLG30" s="31"/>
      <c r="RLH30" s="31"/>
      <c r="RLI30" s="31"/>
      <c r="RLJ30" s="31"/>
      <c r="RLK30" s="31"/>
      <c r="RLL30" s="31"/>
      <c r="RLM30" s="31"/>
      <c r="RLN30" s="31"/>
      <c r="RLO30" s="31"/>
      <c r="RLP30" s="31"/>
      <c r="RLQ30" s="31"/>
      <c r="RLR30" s="31"/>
      <c r="RLS30" s="31"/>
      <c r="RLT30" s="31"/>
      <c r="RLU30" s="31"/>
      <c r="RLV30" s="31"/>
      <c r="RLW30" s="31"/>
      <c r="RLX30" s="31"/>
      <c r="RLY30" s="31"/>
      <c r="RLZ30" s="31"/>
      <c r="RMA30" s="31"/>
      <c r="RMB30" s="31"/>
      <c r="RMC30" s="31"/>
      <c r="RMD30" s="31"/>
      <c r="RME30" s="31"/>
      <c r="RMF30" s="31"/>
      <c r="RMG30" s="31"/>
      <c r="RMH30" s="31"/>
      <c r="RMI30" s="31"/>
      <c r="RMJ30" s="31"/>
      <c r="RMK30" s="31"/>
      <c r="RML30" s="31"/>
      <c r="RMM30" s="31"/>
      <c r="RMN30" s="31"/>
      <c r="RMO30" s="31"/>
      <c r="RMP30" s="31"/>
      <c r="RMQ30" s="31"/>
      <c r="RMR30" s="31"/>
      <c r="RMS30" s="31"/>
      <c r="RMT30" s="31"/>
      <c r="RMU30" s="31"/>
      <c r="RMV30" s="31"/>
      <c r="RMW30" s="31"/>
      <c r="RMX30" s="31"/>
      <c r="RMY30" s="31"/>
      <c r="RMZ30" s="31"/>
      <c r="RNA30" s="31"/>
      <c r="RNB30" s="31"/>
      <c r="RNC30" s="31"/>
      <c r="RND30" s="31"/>
      <c r="RNE30" s="31"/>
      <c r="RNF30" s="31"/>
      <c r="RNG30" s="31"/>
      <c r="RNH30" s="31"/>
      <c r="RNI30" s="31"/>
      <c r="RNJ30" s="31"/>
      <c r="RNK30" s="31"/>
      <c r="RNL30" s="31"/>
      <c r="RNM30" s="31"/>
      <c r="RNN30" s="31"/>
      <c r="RNO30" s="31"/>
      <c r="RNP30" s="31"/>
      <c r="RNQ30" s="31"/>
      <c r="RNR30" s="31"/>
      <c r="RNS30" s="31"/>
      <c r="RNT30" s="31"/>
      <c r="RNU30" s="31"/>
      <c r="RNV30" s="31"/>
      <c r="RNW30" s="31"/>
      <c r="RNX30" s="31"/>
      <c r="RNY30" s="31"/>
      <c r="RNZ30" s="31"/>
      <c r="ROA30" s="31"/>
      <c r="ROB30" s="31"/>
      <c r="ROC30" s="31"/>
      <c r="ROD30" s="31"/>
      <c r="ROE30" s="31"/>
      <c r="ROF30" s="31"/>
      <c r="ROG30" s="31"/>
      <c r="ROH30" s="31"/>
      <c r="ROI30" s="31"/>
      <c r="ROJ30" s="31"/>
      <c r="ROK30" s="31"/>
      <c r="ROL30" s="31"/>
      <c r="ROM30" s="31"/>
      <c r="RON30" s="31"/>
      <c r="ROO30" s="31"/>
      <c r="ROP30" s="31"/>
      <c r="ROQ30" s="31"/>
      <c r="ROR30" s="31"/>
      <c r="ROS30" s="31"/>
      <c r="ROT30" s="31"/>
      <c r="ROU30" s="31"/>
      <c r="ROV30" s="31"/>
      <c r="ROW30" s="31"/>
      <c r="ROX30" s="31"/>
      <c r="ROY30" s="31"/>
      <c r="ROZ30" s="31"/>
      <c r="RPA30" s="31"/>
      <c r="RPB30" s="31"/>
      <c r="RPC30" s="31"/>
      <c r="RPD30" s="31"/>
      <c r="RPE30" s="31"/>
      <c r="RPF30" s="31"/>
      <c r="RPG30" s="31"/>
      <c r="RPH30" s="31"/>
      <c r="RPI30" s="31"/>
      <c r="RPJ30" s="31"/>
      <c r="RPK30" s="31"/>
      <c r="RPL30" s="31"/>
      <c r="RPM30" s="31"/>
      <c r="RPN30" s="31"/>
      <c r="RPO30" s="31"/>
      <c r="RPP30" s="31"/>
      <c r="RPQ30" s="31"/>
      <c r="RPR30" s="31"/>
      <c r="RPS30" s="31"/>
      <c r="RPT30" s="31"/>
      <c r="RPU30" s="31"/>
      <c r="RPV30" s="31"/>
      <c r="RPW30" s="31"/>
      <c r="RPX30" s="31"/>
      <c r="RPY30" s="31"/>
      <c r="RPZ30" s="31"/>
      <c r="RQA30" s="31"/>
      <c r="RQB30" s="31"/>
      <c r="RQC30" s="31"/>
      <c r="RQD30" s="31"/>
      <c r="RQE30" s="31"/>
      <c r="RQF30" s="31"/>
      <c r="RQG30" s="31"/>
      <c r="RQH30" s="31"/>
      <c r="RQI30" s="31"/>
      <c r="RQJ30" s="31"/>
      <c r="RQK30" s="31"/>
      <c r="RQL30" s="31"/>
      <c r="RQM30" s="31"/>
      <c r="RQN30" s="31"/>
      <c r="RQO30" s="31"/>
      <c r="RQP30" s="31"/>
      <c r="RQQ30" s="31"/>
      <c r="RQR30" s="31"/>
      <c r="RQS30" s="31"/>
      <c r="RQT30" s="31"/>
      <c r="RQU30" s="31"/>
      <c r="RQV30" s="31"/>
      <c r="RQW30" s="31"/>
      <c r="RQX30" s="31"/>
      <c r="RQY30" s="31"/>
      <c r="RQZ30" s="31"/>
      <c r="RRA30" s="31"/>
      <c r="RRB30" s="31"/>
      <c r="RRC30" s="31"/>
      <c r="RRD30" s="31"/>
      <c r="RRE30" s="31"/>
      <c r="RRF30" s="31"/>
      <c r="RRG30" s="31"/>
      <c r="RRH30" s="31"/>
      <c r="RRI30" s="31"/>
      <c r="RRJ30" s="31"/>
      <c r="RRK30" s="31"/>
      <c r="RRL30" s="31"/>
      <c r="RRM30" s="31"/>
      <c r="RRN30" s="31"/>
      <c r="RRO30" s="31"/>
      <c r="RRP30" s="31"/>
      <c r="RRQ30" s="31"/>
      <c r="RRR30" s="31"/>
      <c r="RRS30" s="31"/>
      <c r="RRT30" s="31"/>
      <c r="RRU30" s="31"/>
      <c r="RRV30" s="31"/>
      <c r="RRW30" s="31"/>
      <c r="RRX30" s="31"/>
      <c r="RRY30" s="31"/>
      <c r="RRZ30" s="31"/>
      <c r="RSA30" s="31"/>
      <c r="RSB30" s="31"/>
      <c r="RSC30" s="31"/>
      <c r="RSD30" s="31"/>
      <c r="RSE30" s="31"/>
      <c r="RSF30" s="31"/>
      <c r="RSG30" s="31"/>
      <c r="RSH30" s="31"/>
      <c r="RSI30" s="31"/>
      <c r="RSJ30" s="31"/>
      <c r="RSK30" s="31"/>
      <c r="RSL30" s="31"/>
      <c r="RSM30" s="31"/>
      <c r="RSN30" s="31"/>
      <c r="RSO30" s="31"/>
      <c r="RSP30" s="31"/>
      <c r="RSQ30" s="31"/>
      <c r="RSR30" s="31"/>
      <c r="RSS30" s="31"/>
      <c r="RST30" s="31"/>
      <c r="RSU30" s="31"/>
      <c r="RSV30" s="31"/>
      <c r="RSW30" s="31"/>
      <c r="RSX30" s="31"/>
      <c r="RSY30" s="31"/>
      <c r="RSZ30" s="31"/>
      <c r="RTA30" s="31"/>
      <c r="RTB30" s="31"/>
      <c r="RTC30" s="31"/>
      <c r="RTD30" s="31"/>
      <c r="RTE30" s="31"/>
      <c r="RTF30" s="31"/>
      <c r="RTG30" s="31"/>
      <c r="RTH30" s="31"/>
      <c r="RTI30" s="31"/>
      <c r="RTJ30" s="31"/>
      <c r="RTK30" s="31"/>
      <c r="RTL30" s="31"/>
      <c r="RTM30" s="31"/>
      <c r="RTN30" s="31"/>
      <c r="RTO30" s="31"/>
      <c r="RTP30" s="31"/>
      <c r="RTQ30" s="31"/>
      <c r="RTR30" s="31"/>
      <c r="RTS30" s="31"/>
      <c r="RTT30" s="31"/>
      <c r="RTU30" s="31"/>
      <c r="RTV30" s="31"/>
      <c r="RTW30" s="31"/>
      <c r="RTX30" s="31"/>
      <c r="RTY30" s="31"/>
      <c r="RTZ30" s="31"/>
      <c r="RUA30" s="31"/>
      <c r="RUB30" s="31"/>
      <c r="RUC30" s="31"/>
      <c r="RUD30" s="31"/>
      <c r="RUE30" s="31"/>
      <c r="RUF30" s="31"/>
      <c r="RUG30" s="31"/>
      <c r="RUH30" s="31"/>
      <c r="RUI30" s="31"/>
      <c r="RUJ30" s="31"/>
      <c r="RUK30" s="31"/>
      <c r="RUL30" s="31"/>
      <c r="RUM30" s="31"/>
      <c r="RUN30" s="31"/>
      <c r="RUO30" s="31"/>
      <c r="RUP30" s="31"/>
      <c r="RUQ30" s="31"/>
      <c r="RUR30" s="31"/>
      <c r="RUS30" s="31"/>
      <c r="RUT30" s="31"/>
      <c r="RUU30" s="31"/>
      <c r="RUV30" s="31"/>
      <c r="RUW30" s="31"/>
      <c r="RUX30" s="31"/>
      <c r="RUY30" s="31"/>
      <c r="RUZ30" s="31"/>
      <c r="RVA30" s="31"/>
      <c r="RVB30" s="31"/>
      <c r="RVC30" s="31"/>
      <c r="RVD30" s="31"/>
      <c r="RVE30" s="31"/>
      <c r="RVF30" s="31"/>
      <c r="RVG30" s="31"/>
      <c r="RVH30" s="31"/>
      <c r="RVI30" s="31"/>
      <c r="RVJ30" s="31"/>
      <c r="RVK30" s="31"/>
      <c r="RVL30" s="31"/>
      <c r="RVM30" s="31"/>
      <c r="RVN30" s="31"/>
      <c r="RVO30" s="31"/>
      <c r="RVP30" s="31"/>
      <c r="RVQ30" s="31"/>
      <c r="RVR30" s="31"/>
      <c r="RVS30" s="31"/>
      <c r="RVT30" s="31"/>
      <c r="RVU30" s="31"/>
      <c r="RVV30" s="31"/>
      <c r="RVW30" s="31"/>
      <c r="RVX30" s="31"/>
      <c r="RVY30" s="31"/>
      <c r="RVZ30" s="31"/>
      <c r="RWA30" s="31"/>
      <c r="RWB30" s="31"/>
      <c r="RWC30" s="31"/>
      <c r="RWD30" s="31"/>
      <c r="RWE30" s="31"/>
      <c r="RWF30" s="31"/>
      <c r="RWG30" s="31"/>
      <c r="RWH30" s="31"/>
      <c r="RWI30" s="31"/>
      <c r="RWJ30" s="31"/>
      <c r="RWK30" s="31"/>
      <c r="RWL30" s="31"/>
      <c r="RWM30" s="31"/>
      <c r="RWN30" s="31"/>
      <c r="RWO30" s="31"/>
      <c r="RWP30" s="31"/>
      <c r="RWQ30" s="31"/>
      <c r="RWR30" s="31"/>
      <c r="RWS30" s="31"/>
      <c r="RWT30" s="31"/>
      <c r="RWU30" s="31"/>
      <c r="RWV30" s="31"/>
      <c r="RWW30" s="31"/>
      <c r="RWX30" s="31"/>
      <c r="RWY30" s="31"/>
      <c r="RWZ30" s="31"/>
      <c r="RXA30" s="31"/>
      <c r="RXB30" s="31"/>
      <c r="RXC30" s="31"/>
      <c r="RXD30" s="31"/>
      <c r="RXE30" s="31"/>
      <c r="RXF30" s="31"/>
      <c r="RXG30" s="31"/>
      <c r="RXH30" s="31"/>
      <c r="RXI30" s="31"/>
      <c r="RXJ30" s="31"/>
      <c r="RXK30" s="31"/>
      <c r="RXL30" s="31"/>
      <c r="RXM30" s="31"/>
      <c r="RXN30" s="31"/>
      <c r="RXO30" s="31"/>
      <c r="RXP30" s="31"/>
      <c r="RXQ30" s="31"/>
      <c r="RXR30" s="31"/>
      <c r="RXS30" s="31"/>
      <c r="RXT30" s="31"/>
      <c r="RXU30" s="31"/>
      <c r="RXV30" s="31"/>
      <c r="RXW30" s="31"/>
      <c r="RXX30" s="31"/>
      <c r="RXY30" s="31"/>
      <c r="RXZ30" s="31"/>
      <c r="RYA30" s="31"/>
      <c r="RYB30" s="31"/>
      <c r="RYC30" s="31"/>
      <c r="RYD30" s="31"/>
      <c r="RYE30" s="31"/>
      <c r="RYF30" s="31"/>
      <c r="RYG30" s="31"/>
      <c r="RYH30" s="31"/>
      <c r="RYI30" s="31"/>
      <c r="RYJ30" s="31"/>
      <c r="RYK30" s="31"/>
      <c r="RYL30" s="31"/>
      <c r="RYM30" s="31"/>
      <c r="RYN30" s="31"/>
      <c r="RYO30" s="31"/>
      <c r="RYP30" s="31"/>
      <c r="RYQ30" s="31"/>
      <c r="RYR30" s="31"/>
      <c r="RYS30" s="31"/>
      <c r="RYT30" s="31"/>
      <c r="RYU30" s="31"/>
      <c r="RYV30" s="31"/>
      <c r="RYW30" s="31"/>
      <c r="RYX30" s="31"/>
      <c r="RYY30" s="31"/>
      <c r="RYZ30" s="31"/>
      <c r="RZA30" s="31"/>
      <c r="RZB30" s="31"/>
      <c r="RZC30" s="31"/>
      <c r="RZD30" s="31"/>
      <c r="RZE30" s="31"/>
      <c r="RZF30" s="31"/>
      <c r="RZG30" s="31"/>
      <c r="RZH30" s="31"/>
      <c r="RZI30" s="31"/>
      <c r="RZJ30" s="31"/>
      <c r="RZK30" s="31"/>
      <c r="RZL30" s="31"/>
      <c r="RZM30" s="31"/>
      <c r="RZN30" s="31"/>
      <c r="RZO30" s="31"/>
      <c r="RZP30" s="31"/>
      <c r="RZQ30" s="31"/>
      <c r="RZR30" s="31"/>
      <c r="RZS30" s="31"/>
      <c r="RZT30" s="31"/>
      <c r="RZU30" s="31"/>
      <c r="RZV30" s="31"/>
      <c r="RZW30" s="31"/>
      <c r="RZX30" s="31"/>
      <c r="RZY30" s="31"/>
      <c r="RZZ30" s="31"/>
      <c r="SAA30" s="31"/>
      <c r="SAB30" s="31"/>
      <c r="SAC30" s="31"/>
      <c r="SAD30" s="31"/>
      <c r="SAE30" s="31"/>
      <c r="SAF30" s="31"/>
      <c r="SAG30" s="31"/>
      <c r="SAH30" s="31"/>
      <c r="SAI30" s="31"/>
      <c r="SAJ30" s="31"/>
      <c r="SAK30" s="31"/>
      <c r="SAL30" s="31"/>
      <c r="SAM30" s="31"/>
      <c r="SAN30" s="31"/>
      <c r="SAO30" s="31"/>
      <c r="SAP30" s="31"/>
      <c r="SAQ30" s="31"/>
      <c r="SAR30" s="31"/>
      <c r="SAS30" s="31"/>
      <c r="SAT30" s="31"/>
      <c r="SAU30" s="31"/>
      <c r="SAV30" s="31"/>
      <c r="SAW30" s="31"/>
      <c r="SAX30" s="31"/>
      <c r="SAY30" s="31"/>
      <c r="SAZ30" s="31"/>
      <c r="SBA30" s="31"/>
      <c r="SBB30" s="31"/>
      <c r="SBC30" s="31"/>
      <c r="SBD30" s="31"/>
      <c r="SBE30" s="31"/>
      <c r="SBF30" s="31"/>
      <c r="SBG30" s="31"/>
      <c r="SBH30" s="31"/>
      <c r="SBI30" s="31"/>
      <c r="SBJ30" s="31"/>
      <c r="SBK30" s="31"/>
      <c r="SBL30" s="31"/>
      <c r="SBM30" s="31"/>
      <c r="SBN30" s="31"/>
      <c r="SBO30" s="31"/>
      <c r="SBP30" s="31"/>
      <c r="SBQ30" s="31"/>
      <c r="SBR30" s="31"/>
      <c r="SBS30" s="31"/>
      <c r="SBT30" s="31"/>
      <c r="SBU30" s="31"/>
      <c r="SBV30" s="31"/>
      <c r="SBW30" s="31"/>
      <c r="SBX30" s="31"/>
      <c r="SBY30" s="31"/>
      <c r="SBZ30" s="31"/>
      <c r="SCA30" s="31"/>
      <c r="SCB30" s="31"/>
      <c r="SCC30" s="31"/>
      <c r="SCD30" s="31"/>
      <c r="SCE30" s="31"/>
      <c r="SCF30" s="31"/>
      <c r="SCG30" s="31"/>
      <c r="SCH30" s="31"/>
      <c r="SCI30" s="31"/>
      <c r="SCJ30" s="31"/>
      <c r="SCK30" s="31"/>
      <c r="SCL30" s="31"/>
      <c r="SCM30" s="31"/>
      <c r="SCN30" s="31"/>
      <c r="SCO30" s="31"/>
      <c r="SCP30" s="31"/>
      <c r="SCQ30" s="31"/>
      <c r="SCR30" s="31"/>
      <c r="SCS30" s="31"/>
      <c r="SCT30" s="31"/>
      <c r="SCU30" s="31"/>
      <c r="SCV30" s="31"/>
      <c r="SCW30" s="31"/>
      <c r="SCX30" s="31"/>
      <c r="SCY30" s="31"/>
      <c r="SCZ30" s="31"/>
      <c r="SDA30" s="31"/>
      <c r="SDB30" s="31"/>
      <c r="SDC30" s="31"/>
      <c r="SDD30" s="31"/>
      <c r="SDE30" s="31"/>
      <c r="SDF30" s="31"/>
      <c r="SDG30" s="31"/>
      <c r="SDH30" s="31"/>
      <c r="SDI30" s="31"/>
      <c r="SDJ30" s="31"/>
      <c r="SDK30" s="31"/>
      <c r="SDL30" s="31"/>
      <c r="SDM30" s="31"/>
      <c r="SDN30" s="31"/>
      <c r="SDO30" s="31"/>
      <c r="SDP30" s="31"/>
      <c r="SDQ30" s="31"/>
      <c r="SDR30" s="31"/>
      <c r="SDS30" s="31"/>
      <c r="SDT30" s="31"/>
      <c r="SDU30" s="31"/>
      <c r="SDV30" s="31"/>
      <c r="SDW30" s="31"/>
      <c r="SDX30" s="31"/>
      <c r="SDY30" s="31"/>
      <c r="SDZ30" s="31"/>
      <c r="SEA30" s="31"/>
      <c r="SEB30" s="31"/>
      <c r="SEC30" s="31"/>
      <c r="SED30" s="31"/>
      <c r="SEE30" s="31"/>
      <c r="SEF30" s="31"/>
      <c r="SEG30" s="31"/>
      <c r="SEH30" s="31"/>
      <c r="SEI30" s="31"/>
      <c r="SEJ30" s="31"/>
      <c r="SEK30" s="31"/>
      <c r="SEL30" s="31"/>
      <c r="SEM30" s="31"/>
      <c r="SEN30" s="31"/>
      <c r="SEO30" s="31"/>
      <c r="SEP30" s="31"/>
      <c r="SEQ30" s="31"/>
      <c r="SER30" s="31"/>
      <c r="SES30" s="31"/>
      <c r="SET30" s="31"/>
      <c r="SEU30" s="31"/>
      <c r="SEV30" s="31"/>
      <c r="SEW30" s="31"/>
      <c r="SEX30" s="31"/>
      <c r="SEY30" s="31"/>
      <c r="SEZ30" s="31"/>
      <c r="SFA30" s="31"/>
      <c r="SFB30" s="31"/>
      <c r="SFC30" s="31"/>
      <c r="SFD30" s="31"/>
      <c r="SFE30" s="31"/>
      <c r="SFF30" s="31"/>
      <c r="SFG30" s="31"/>
      <c r="SFH30" s="31"/>
      <c r="SFI30" s="31"/>
      <c r="SFJ30" s="31"/>
      <c r="SFK30" s="31"/>
      <c r="SFL30" s="31"/>
      <c r="SFM30" s="31"/>
      <c r="SFN30" s="31"/>
      <c r="SFO30" s="31"/>
      <c r="SFP30" s="31"/>
      <c r="SFQ30" s="31"/>
      <c r="SFR30" s="31"/>
      <c r="SFS30" s="31"/>
      <c r="SFT30" s="31"/>
      <c r="SFU30" s="31"/>
      <c r="SFV30" s="31"/>
      <c r="SFW30" s="31"/>
      <c r="SFX30" s="31"/>
      <c r="SFY30" s="31"/>
      <c r="SFZ30" s="31"/>
      <c r="SGA30" s="31"/>
      <c r="SGB30" s="31"/>
      <c r="SGC30" s="31"/>
      <c r="SGD30" s="31"/>
      <c r="SGE30" s="31"/>
      <c r="SGF30" s="31"/>
      <c r="SGG30" s="31"/>
      <c r="SGH30" s="31"/>
      <c r="SGI30" s="31"/>
      <c r="SGJ30" s="31"/>
      <c r="SGK30" s="31"/>
      <c r="SGL30" s="31"/>
      <c r="SGM30" s="31"/>
      <c r="SGN30" s="31"/>
      <c r="SGO30" s="31"/>
      <c r="SGP30" s="31"/>
      <c r="SGQ30" s="31"/>
      <c r="SGR30" s="31"/>
      <c r="SGS30" s="31"/>
      <c r="SGT30" s="31"/>
      <c r="SGU30" s="31"/>
      <c r="SGV30" s="31"/>
      <c r="SGW30" s="31"/>
      <c r="SGX30" s="31"/>
      <c r="SGY30" s="31"/>
      <c r="SGZ30" s="31"/>
      <c r="SHA30" s="31"/>
      <c r="SHB30" s="31"/>
      <c r="SHC30" s="31"/>
      <c r="SHD30" s="31"/>
      <c r="SHE30" s="31"/>
      <c r="SHF30" s="31"/>
      <c r="SHG30" s="31"/>
      <c r="SHH30" s="31"/>
      <c r="SHI30" s="31"/>
      <c r="SHJ30" s="31"/>
      <c r="SHK30" s="31"/>
      <c r="SHL30" s="31"/>
      <c r="SHM30" s="31"/>
      <c r="SHN30" s="31"/>
      <c r="SHO30" s="31"/>
      <c r="SHP30" s="31"/>
      <c r="SHQ30" s="31"/>
      <c r="SHR30" s="31"/>
      <c r="SHS30" s="31"/>
      <c r="SHT30" s="31"/>
      <c r="SHU30" s="31"/>
      <c r="SHV30" s="31"/>
      <c r="SHW30" s="31"/>
      <c r="SHX30" s="31"/>
      <c r="SHY30" s="31"/>
      <c r="SHZ30" s="31"/>
      <c r="SIA30" s="31"/>
      <c r="SIB30" s="31"/>
      <c r="SIC30" s="31"/>
      <c r="SID30" s="31"/>
      <c r="SIE30" s="31"/>
      <c r="SIF30" s="31"/>
      <c r="SIG30" s="31"/>
      <c r="SIH30" s="31"/>
      <c r="SII30" s="31"/>
      <c r="SIJ30" s="31"/>
      <c r="SIK30" s="31"/>
      <c r="SIL30" s="31"/>
      <c r="SIM30" s="31"/>
      <c r="SIN30" s="31"/>
      <c r="SIO30" s="31"/>
      <c r="SIP30" s="31"/>
      <c r="SIQ30" s="31"/>
      <c r="SIR30" s="31"/>
      <c r="SIS30" s="31"/>
      <c r="SIT30" s="31"/>
      <c r="SIU30" s="31"/>
      <c r="SIV30" s="31"/>
      <c r="SIW30" s="31"/>
      <c r="SIX30" s="31"/>
      <c r="SIY30" s="31"/>
      <c r="SIZ30" s="31"/>
      <c r="SJA30" s="31"/>
      <c r="SJB30" s="31"/>
      <c r="SJC30" s="31"/>
      <c r="SJD30" s="31"/>
      <c r="SJE30" s="31"/>
      <c r="SJF30" s="31"/>
      <c r="SJG30" s="31"/>
      <c r="SJH30" s="31"/>
      <c r="SJI30" s="31"/>
      <c r="SJJ30" s="31"/>
      <c r="SJK30" s="31"/>
      <c r="SJL30" s="31"/>
      <c r="SJM30" s="31"/>
      <c r="SJN30" s="31"/>
      <c r="SJO30" s="31"/>
      <c r="SJP30" s="31"/>
      <c r="SJQ30" s="31"/>
      <c r="SJR30" s="31"/>
      <c r="SJS30" s="31"/>
      <c r="SJT30" s="31"/>
      <c r="SJU30" s="31"/>
      <c r="SJV30" s="31"/>
      <c r="SJW30" s="31"/>
      <c r="SJX30" s="31"/>
      <c r="SJY30" s="31"/>
      <c r="SJZ30" s="31"/>
      <c r="SKA30" s="31"/>
      <c r="SKB30" s="31"/>
      <c r="SKC30" s="31"/>
      <c r="SKD30" s="31"/>
      <c r="SKE30" s="31"/>
      <c r="SKF30" s="31"/>
      <c r="SKG30" s="31"/>
      <c r="SKH30" s="31"/>
      <c r="SKI30" s="31"/>
      <c r="SKJ30" s="31"/>
      <c r="SKK30" s="31"/>
      <c r="SKL30" s="31"/>
      <c r="SKM30" s="31"/>
      <c r="SKN30" s="31"/>
      <c r="SKO30" s="31"/>
      <c r="SKP30" s="31"/>
      <c r="SKQ30" s="31"/>
      <c r="SKR30" s="31"/>
      <c r="SKS30" s="31"/>
      <c r="SKT30" s="31"/>
      <c r="SKU30" s="31"/>
      <c r="SKV30" s="31"/>
      <c r="SKW30" s="31"/>
      <c r="SKX30" s="31"/>
      <c r="SKY30" s="31"/>
      <c r="SKZ30" s="31"/>
      <c r="SLA30" s="31"/>
      <c r="SLB30" s="31"/>
      <c r="SLC30" s="31"/>
      <c r="SLD30" s="31"/>
      <c r="SLE30" s="31"/>
      <c r="SLF30" s="31"/>
      <c r="SLG30" s="31"/>
      <c r="SLH30" s="31"/>
      <c r="SLI30" s="31"/>
      <c r="SLJ30" s="31"/>
      <c r="SLK30" s="31"/>
      <c r="SLL30" s="31"/>
      <c r="SLM30" s="31"/>
      <c r="SLN30" s="31"/>
      <c r="SLO30" s="31"/>
      <c r="SLP30" s="31"/>
      <c r="SLQ30" s="31"/>
      <c r="SLR30" s="31"/>
      <c r="SLS30" s="31"/>
      <c r="SLT30" s="31"/>
      <c r="SLU30" s="31"/>
      <c r="SLV30" s="31"/>
      <c r="SLW30" s="31"/>
      <c r="SLX30" s="31"/>
      <c r="SLY30" s="31"/>
      <c r="SLZ30" s="31"/>
      <c r="SMA30" s="31"/>
      <c r="SMB30" s="31"/>
      <c r="SMC30" s="31"/>
      <c r="SMD30" s="31"/>
      <c r="SME30" s="31"/>
      <c r="SMF30" s="31"/>
      <c r="SMG30" s="31"/>
      <c r="SMH30" s="31"/>
      <c r="SMI30" s="31"/>
      <c r="SMJ30" s="31"/>
      <c r="SMK30" s="31"/>
      <c r="SML30" s="31"/>
      <c r="SMM30" s="31"/>
      <c r="SMN30" s="31"/>
      <c r="SMO30" s="31"/>
      <c r="SMP30" s="31"/>
      <c r="SMQ30" s="31"/>
      <c r="SMR30" s="31"/>
      <c r="SMS30" s="31"/>
      <c r="SMT30" s="31"/>
      <c r="SMU30" s="31"/>
      <c r="SMV30" s="31"/>
      <c r="SMW30" s="31"/>
      <c r="SMX30" s="31"/>
      <c r="SMY30" s="31"/>
      <c r="SMZ30" s="31"/>
      <c r="SNA30" s="31"/>
      <c r="SNB30" s="31"/>
      <c r="SNC30" s="31"/>
      <c r="SND30" s="31"/>
      <c r="SNE30" s="31"/>
      <c r="SNF30" s="31"/>
      <c r="SNG30" s="31"/>
      <c r="SNH30" s="31"/>
      <c r="SNI30" s="31"/>
      <c r="SNJ30" s="31"/>
      <c r="SNK30" s="31"/>
      <c r="SNL30" s="31"/>
      <c r="SNM30" s="31"/>
      <c r="SNN30" s="31"/>
      <c r="SNO30" s="31"/>
      <c r="SNP30" s="31"/>
      <c r="SNQ30" s="31"/>
      <c r="SNR30" s="31"/>
      <c r="SNS30" s="31"/>
      <c r="SNT30" s="31"/>
      <c r="SNU30" s="31"/>
      <c r="SNV30" s="31"/>
      <c r="SNW30" s="31"/>
      <c r="SNX30" s="31"/>
      <c r="SNY30" s="31"/>
      <c r="SNZ30" s="31"/>
      <c r="SOA30" s="31"/>
      <c r="SOB30" s="31"/>
      <c r="SOC30" s="31"/>
      <c r="SOD30" s="31"/>
      <c r="SOE30" s="31"/>
      <c r="SOF30" s="31"/>
      <c r="SOG30" s="31"/>
      <c r="SOH30" s="31"/>
      <c r="SOI30" s="31"/>
      <c r="SOJ30" s="31"/>
      <c r="SOK30" s="31"/>
      <c r="SOL30" s="31"/>
      <c r="SOM30" s="31"/>
      <c r="SON30" s="31"/>
      <c r="SOO30" s="31"/>
      <c r="SOP30" s="31"/>
      <c r="SOQ30" s="31"/>
      <c r="SOR30" s="31"/>
      <c r="SOS30" s="31"/>
      <c r="SOT30" s="31"/>
      <c r="SOU30" s="31"/>
      <c r="SOV30" s="31"/>
      <c r="SOW30" s="31"/>
      <c r="SOX30" s="31"/>
      <c r="SOY30" s="31"/>
      <c r="SOZ30" s="31"/>
      <c r="SPA30" s="31"/>
      <c r="SPB30" s="31"/>
      <c r="SPC30" s="31"/>
      <c r="SPD30" s="31"/>
      <c r="SPE30" s="31"/>
      <c r="SPF30" s="31"/>
      <c r="SPG30" s="31"/>
      <c r="SPH30" s="31"/>
      <c r="SPI30" s="31"/>
      <c r="SPJ30" s="31"/>
      <c r="SPK30" s="31"/>
      <c r="SPL30" s="31"/>
      <c r="SPM30" s="31"/>
      <c r="SPN30" s="31"/>
      <c r="SPO30" s="31"/>
      <c r="SPP30" s="31"/>
      <c r="SPQ30" s="31"/>
      <c r="SPR30" s="31"/>
      <c r="SPS30" s="31"/>
      <c r="SPT30" s="31"/>
      <c r="SPU30" s="31"/>
      <c r="SPV30" s="31"/>
      <c r="SPW30" s="31"/>
      <c r="SPX30" s="31"/>
      <c r="SPY30" s="31"/>
      <c r="SPZ30" s="31"/>
      <c r="SQA30" s="31"/>
      <c r="SQB30" s="31"/>
      <c r="SQC30" s="31"/>
      <c r="SQD30" s="31"/>
      <c r="SQE30" s="31"/>
      <c r="SQF30" s="31"/>
      <c r="SQG30" s="31"/>
      <c r="SQH30" s="31"/>
      <c r="SQI30" s="31"/>
      <c r="SQJ30" s="31"/>
      <c r="SQK30" s="31"/>
      <c r="SQL30" s="31"/>
      <c r="SQM30" s="31"/>
      <c r="SQN30" s="31"/>
      <c r="SQO30" s="31"/>
      <c r="SQP30" s="31"/>
      <c r="SQQ30" s="31"/>
      <c r="SQR30" s="31"/>
      <c r="SQS30" s="31"/>
      <c r="SQT30" s="31"/>
      <c r="SQU30" s="31"/>
      <c r="SQV30" s="31"/>
      <c r="SQW30" s="31"/>
      <c r="SQX30" s="31"/>
      <c r="SQY30" s="31"/>
      <c r="SQZ30" s="31"/>
      <c r="SRA30" s="31"/>
      <c r="SRB30" s="31"/>
      <c r="SRC30" s="31"/>
      <c r="SRD30" s="31"/>
      <c r="SRE30" s="31"/>
      <c r="SRF30" s="31"/>
      <c r="SRG30" s="31"/>
      <c r="SRH30" s="31"/>
      <c r="SRI30" s="31"/>
      <c r="SRJ30" s="31"/>
      <c r="SRK30" s="31"/>
      <c r="SRL30" s="31"/>
      <c r="SRM30" s="31"/>
      <c r="SRN30" s="31"/>
      <c r="SRO30" s="31"/>
      <c r="SRP30" s="31"/>
      <c r="SRQ30" s="31"/>
      <c r="SRR30" s="31"/>
      <c r="SRS30" s="31"/>
      <c r="SRT30" s="31"/>
      <c r="SRU30" s="31"/>
      <c r="SRV30" s="31"/>
      <c r="SRW30" s="31"/>
      <c r="SRX30" s="31"/>
      <c r="SRY30" s="31"/>
      <c r="SRZ30" s="31"/>
      <c r="SSA30" s="31"/>
      <c r="SSB30" s="31"/>
      <c r="SSC30" s="31"/>
      <c r="SSD30" s="31"/>
      <c r="SSE30" s="31"/>
      <c r="SSF30" s="31"/>
      <c r="SSG30" s="31"/>
      <c r="SSH30" s="31"/>
      <c r="SSI30" s="31"/>
      <c r="SSJ30" s="31"/>
      <c r="SSK30" s="31"/>
      <c r="SSL30" s="31"/>
      <c r="SSM30" s="31"/>
      <c r="SSN30" s="31"/>
      <c r="SSO30" s="31"/>
      <c r="SSP30" s="31"/>
      <c r="SSQ30" s="31"/>
      <c r="SSR30" s="31"/>
      <c r="SSS30" s="31"/>
      <c r="SST30" s="31"/>
      <c r="SSU30" s="31"/>
      <c r="SSV30" s="31"/>
      <c r="SSW30" s="31"/>
      <c r="SSX30" s="31"/>
      <c r="SSY30" s="31"/>
      <c r="SSZ30" s="31"/>
      <c r="STA30" s="31"/>
      <c r="STB30" s="31"/>
      <c r="STC30" s="31"/>
      <c r="STD30" s="31"/>
      <c r="STE30" s="31"/>
      <c r="STF30" s="31"/>
      <c r="STG30" s="31"/>
      <c r="STH30" s="31"/>
      <c r="STI30" s="31"/>
      <c r="STJ30" s="31"/>
      <c r="STK30" s="31"/>
      <c r="STL30" s="31"/>
      <c r="STM30" s="31"/>
      <c r="STN30" s="31"/>
      <c r="STO30" s="31"/>
      <c r="STP30" s="31"/>
      <c r="STQ30" s="31"/>
      <c r="STR30" s="31"/>
      <c r="STS30" s="31"/>
      <c r="STT30" s="31"/>
      <c r="STU30" s="31"/>
      <c r="STV30" s="31"/>
      <c r="STW30" s="31"/>
      <c r="STX30" s="31"/>
      <c r="STY30" s="31"/>
      <c r="STZ30" s="31"/>
      <c r="SUA30" s="31"/>
      <c r="SUB30" s="31"/>
      <c r="SUC30" s="31"/>
      <c r="SUD30" s="31"/>
      <c r="SUE30" s="31"/>
      <c r="SUF30" s="31"/>
      <c r="SUG30" s="31"/>
      <c r="SUH30" s="31"/>
      <c r="SUI30" s="31"/>
      <c r="SUJ30" s="31"/>
      <c r="SUK30" s="31"/>
      <c r="SUL30" s="31"/>
      <c r="SUM30" s="31"/>
      <c r="SUN30" s="31"/>
      <c r="SUO30" s="31"/>
      <c r="SUP30" s="31"/>
      <c r="SUQ30" s="31"/>
      <c r="SUR30" s="31"/>
      <c r="SUS30" s="31"/>
      <c r="SUT30" s="31"/>
      <c r="SUU30" s="31"/>
      <c r="SUV30" s="31"/>
      <c r="SUW30" s="31"/>
      <c r="SUX30" s="31"/>
      <c r="SUY30" s="31"/>
      <c r="SUZ30" s="31"/>
      <c r="SVA30" s="31"/>
      <c r="SVB30" s="31"/>
      <c r="SVC30" s="31"/>
      <c r="SVD30" s="31"/>
      <c r="SVE30" s="31"/>
      <c r="SVF30" s="31"/>
      <c r="SVG30" s="31"/>
      <c r="SVH30" s="31"/>
      <c r="SVI30" s="31"/>
      <c r="SVJ30" s="31"/>
      <c r="SVK30" s="31"/>
      <c r="SVL30" s="31"/>
      <c r="SVM30" s="31"/>
      <c r="SVN30" s="31"/>
      <c r="SVO30" s="31"/>
      <c r="SVP30" s="31"/>
      <c r="SVQ30" s="31"/>
      <c r="SVR30" s="31"/>
      <c r="SVS30" s="31"/>
      <c r="SVT30" s="31"/>
      <c r="SVU30" s="31"/>
      <c r="SVV30" s="31"/>
      <c r="SVW30" s="31"/>
      <c r="SVX30" s="31"/>
      <c r="SVY30" s="31"/>
      <c r="SVZ30" s="31"/>
      <c r="SWA30" s="31"/>
      <c r="SWB30" s="31"/>
      <c r="SWC30" s="31"/>
      <c r="SWD30" s="31"/>
      <c r="SWE30" s="31"/>
      <c r="SWF30" s="31"/>
      <c r="SWG30" s="31"/>
      <c r="SWH30" s="31"/>
      <c r="SWI30" s="31"/>
      <c r="SWJ30" s="31"/>
      <c r="SWK30" s="31"/>
      <c r="SWL30" s="31"/>
      <c r="SWM30" s="31"/>
      <c r="SWN30" s="31"/>
      <c r="SWO30" s="31"/>
      <c r="SWP30" s="31"/>
      <c r="SWQ30" s="31"/>
      <c r="SWR30" s="31"/>
      <c r="SWS30" s="31"/>
      <c r="SWT30" s="31"/>
      <c r="SWU30" s="31"/>
      <c r="SWV30" s="31"/>
      <c r="SWW30" s="31"/>
      <c r="SWX30" s="31"/>
      <c r="SWY30" s="31"/>
      <c r="SWZ30" s="31"/>
      <c r="SXA30" s="31"/>
      <c r="SXB30" s="31"/>
      <c r="SXC30" s="31"/>
      <c r="SXD30" s="31"/>
      <c r="SXE30" s="31"/>
      <c r="SXF30" s="31"/>
      <c r="SXG30" s="31"/>
      <c r="SXH30" s="31"/>
      <c r="SXI30" s="31"/>
      <c r="SXJ30" s="31"/>
      <c r="SXK30" s="31"/>
      <c r="SXL30" s="31"/>
      <c r="SXM30" s="31"/>
      <c r="SXN30" s="31"/>
      <c r="SXO30" s="31"/>
      <c r="SXP30" s="31"/>
      <c r="SXQ30" s="31"/>
      <c r="SXR30" s="31"/>
      <c r="SXS30" s="31"/>
      <c r="SXT30" s="31"/>
      <c r="SXU30" s="31"/>
      <c r="SXV30" s="31"/>
      <c r="SXW30" s="31"/>
      <c r="SXX30" s="31"/>
      <c r="SXY30" s="31"/>
      <c r="SXZ30" s="31"/>
      <c r="SYA30" s="31"/>
      <c r="SYB30" s="31"/>
      <c r="SYC30" s="31"/>
      <c r="SYD30" s="31"/>
      <c r="SYE30" s="31"/>
      <c r="SYF30" s="31"/>
      <c r="SYG30" s="31"/>
      <c r="SYH30" s="31"/>
      <c r="SYI30" s="31"/>
      <c r="SYJ30" s="31"/>
      <c r="SYK30" s="31"/>
      <c r="SYL30" s="31"/>
      <c r="SYM30" s="31"/>
      <c r="SYN30" s="31"/>
      <c r="SYO30" s="31"/>
      <c r="SYP30" s="31"/>
      <c r="SYQ30" s="31"/>
      <c r="SYR30" s="31"/>
      <c r="SYS30" s="31"/>
      <c r="SYT30" s="31"/>
      <c r="SYU30" s="31"/>
      <c r="SYV30" s="31"/>
      <c r="SYW30" s="31"/>
      <c r="SYX30" s="31"/>
      <c r="SYY30" s="31"/>
      <c r="SYZ30" s="31"/>
      <c r="SZA30" s="31"/>
      <c r="SZB30" s="31"/>
      <c r="SZC30" s="31"/>
      <c r="SZD30" s="31"/>
      <c r="SZE30" s="31"/>
      <c r="SZF30" s="31"/>
      <c r="SZG30" s="31"/>
      <c r="SZH30" s="31"/>
      <c r="SZI30" s="31"/>
      <c r="SZJ30" s="31"/>
      <c r="SZK30" s="31"/>
      <c r="SZL30" s="31"/>
      <c r="SZM30" s="31"/>
      <c r="SZN30" s="31"/>
      <c r="SZO30" s="31"/>
      <c r="SZP30" s="31"/>
      <c r="SZQ30" s="31"/>
      <c r="SZR30" s="31"/>
      <c r="SZS30" s="31"/>
      <c r="SZT30" s="31"/>
      <c r="SZU30" s="31"/>
      <c r="SZV30" s="31"/>
      <c r="SZW30" s="31"/>
      <c r="SZX30" s="31"/>
      <c r="SZY30" s="31"/>
      <c r="SZZ30" s="31"/>
      <c r="TAA30" s="31"/>
      <c r="TAB30" s="31"/>
      <c r="TAC30" s="31"/>
      <c r="TAD30" s="31"/>
      <c r="TAE30" s="31"/>
      <c r="TAF30" s="31"/>
      <c r="TAG30" s="31"/>
      <c r="TAH30" s="31"/>
      <c r="TAI30" s="31"/>
      <c r="TAJ30" s="31"/>
      <c r="TAK30" s="31"/>
      <c r="TAL30" s="31"/>
      <c r="TAM30" s="31"/>
      <c r="TAN30" s="31"/>
      <c r="TAO30" s="31"/>
      <c r="TAP30" s="31"/>
      <c r="TAQ30" s="31"/>
      <c r="TAR30" s="31"/>
      <c r="TAS30" s="31"/>
      <c r="TAT30" s="31"/>
      <c r="TAU30" s="31"/>
      <c r="TAV30" s="31"/>
      <c r="TAW30" s="31"/>
      <c r="TAX30" s="31"/>
      <c r="TAY30" s="31"/>
      <c r="TAZ30" s="31"/>
      <c r="TBA30" s="31"/>
      <c r="TBB30" s="31"/>
      <c r="TBC30" s="31"/>
      <c r="TBD30" s="31"/>
      <c r="TBE30" s="31"/>
      <c r="TBF30" s="31"/>
      <c r="TBG30" s="31"/>
      <c r="TBH30" s="31"/>
      <c r="TBI30" s="31"/>
      <c r="TBJ30" s="31"/>
      <c r="TBK30" s="31"/>
      <c r="TBL30" s="31"/>
      <c r="TBM30" s="31"/>
      <c r="TBN30" s="31"/>
      <c r="TBO30" s="31"/>
      <c r="TBP30" s="31"/>
      <c r="TBQ30" s="31"/>
      <c r="TBR30" s="31"/>
      <c r="TBS30" s="31"/>
      <c r="TBT30" s="31"/>
      <c r="TBU30" s="31"/>
      <c r="TBV30" s="31"/>
      <c r="TBW30" s="31"/>
      <c r="TBX30" s="31"/>
      <c r="TBY30" s="31"/>
      <c r="TBZ30" s="31"/>
      <c r="TCA30" s="31"/>
      <c r="TCB30" s="31"/>
      <c r="TCC30" s="31"/>
      <c r="TCD30" s="31"/>
      <c r="TCE30" s="31"/>
      <c r="TCF30" s="31"/>
      <c r="TCG30" s="31"/>
      <c r="TCH30" s="31"/>
      <c r="TCI30" s="31"/>
      <c r="TCJ30" s="31"/>
      <c r="TCK30" s="31"/>
      <c r="TCL30" s="31"/>
      <c r="TCM30" s="31"/>
      <c r="TCN30" s="31"/>
      <c r="TCO30" s="31"/>
      <c r="TCP30" s="31"/>
      <c r="TCQ30" s="31"/>
      <c r="TCR30" s="31"/>
      <c r="TCS30" s="31"/>
      <c r="TCT30" s="31"/>
      <c r="TCU30" s="31"/>
      <c r="TCV30" s="31"/>
      <c r="TCW30" s="31"/>
      <c r="TCX30" s="31"/>
      <c r="TCY30" s="31"/>
      <c r="TCZ30" s="31"/>
      <c r="TDA30" s="31"/>
      <c r="TDB30" s="31"/>
      <c r="TDC30" s="31"/>
      <c r="TDD30" s="31"/>
      <c r="TDE30" s="31"/>
      <c r="TDF30" s="31"/>
      <c r="TDG30" s="31"/>
      <c r="TDH30" s="31"/>
      <c r="TDI30" s="31"/>
      <c r="TDJ30" s="31"/>
      <c r="TDK30" s="31"/>
      <c r="TDL30" s="31"/>
      <c r="TDM30" s="31"/>
      <c r="TDN30" s="31"/>
      <c r="TDO30" s="31"/>
      <c r="TDP30" s="31"/>
      <c r="TDQ30" s="31"/>
      <c r="TDR30" s="31"/>
      <c r="TDS30" s="31"/>
      <c r="TDT30" s="31"/>
      <c r="TDU30" s="31"/>
      <c r="TDV30" s="31"/>
      <c r="TDW30" s="31"/>
      <c r="TDX30" s="31"/>
      <c r="TDY30" s="31"/>
      <c r="TDZ30" s="31"/>
      <c r="TEA30" s="31"/>
      <c r="TEB30" s="31"/>
      <c r="TEC30" s="31"/>
      <c r="TED30" s="31"/>
      <c r="TEE30" s="31"/>
      <c r="TEF30" s="31"/>
      <c r="TEG30" s="31"/>
      <c r="TEH30" s="31"/>
      <c r="TEI30" s="31"/>
      <c r="TEJ30" s="31"/>
      <c r="TEK30" s="31"/>
      <c r="TEL30" s="31"/>
      <c r="TEM30" s="31"/>
      <c r="TEN30" s="31"/>
      <c r="TEO30" s="31"/>
      <c r="TEP30" s="31"/>
      <c r="TEQ30" s="31"/>
      <c r="TER30" s="31"/>
      <c r="TES30" s="31"/>
      <c r="TET30" s="31"/>
      <c r="TEU30" s="31"/>
      <c r="TEV30" s="31"/>
      <c r="TEW30" s="31"/>
      <c r="TEX30" s="31"/>
      <c r="TEY30" s="31"/>
      <c r="TEZ30" s="31"/>
      <c r="TFA30" s="31"/>
      <c r="TFB30" s="31"/>
      <c r="TFC30" s="31"/>
      <c r="TFD30" s="31"/>
      <c r="TFE30" s="31"/>
      <c r="TFF30" s="31"/>
      <c r="TFG30" s="31"/>
      <c r="TFH30" s="31"/>
      <c r="TFI30" s="31"/>
      <c r="TFJ30" s="31"/>
      <c r="TFK30" s="31"/>
      <c r="TFL30" s="31"/>
      <c r="TFM30" s="31"/>
      <c r="TFN30" s="31"/>
      <c r="TFO30" s="31"/>
      <c r="TFP30" s="31"/>
      <c r="TFQ30" s="31"/>
      <c r="TFR30" s="31"/>
      <c r="TFS30" s="31"/>
      <c r="TFT30" s="31"/>
      <c r="TFU30" s="31"/>
      <c r="TFV30" s="31"/>
      <c r="TFW30" s="31"/>
      <c r="TFX30" s="31"/>
      <c r="TFY30" s="31"/>
      <c r="TFZ30" s="31"/>
      <c r="TGA30" s="31"/>
      <c r="TGB30" s="31"/>
      <c r="TGC30" s="31"/>
      <c r="TGD30" s="31"/>
      <c r="TGE30" s="31"/>
      <c r="TGF30" s="31"/>
      <c r="TGG30" s="31"/>
      <c r="TGH30" s="31"/>
      <c r="TGI30" s="31"/>
      <c r="TGJ30" s="31"/>
      <c r="TGK30" s="31"/>
      <c r="TGL30" s="31"/>
      <c r="TGM30" s="31"/>
      <c r="TGN30" s="31"/>
      <c r="TGO30" s="31"/>
      <c r="TGP30" s="31"/>
      <c r="TGQ30" s="31"/>
      <c r="TGR30" s="31"/>
      <c r="TGS30" s="31"/>
      <c r="TGT30" s="31"/>
      <c r="TGU30" s="31"/>
      <c r="TGV30" s="31"/>
      <c r="TGW30" s="31"/>
      <c r="TGX30" s="31"/>
      <c r="TGY30" s="31"/>
      <c r="TGZ30" s="31"/>
      <c r="THA30" s="31"/>
      <c r="THB30" s="31"/>
      <c r="THC30" s="31"/>
      <c r="THD30" s="31"/>
      <c r="THE30" s="31"/>
      <c r="THF30" s="31"/>
      <c r="THG30" s="31"/>
      <c r="THH30" s="31"/>
      <c r="THI30" s="31"/>
      <c r="THJ30" s="31"/>
      <c r="THK30" s="31"/>
      <c r="THL30" s="31"/>
      <c r="THM30" s="31"/>
      <c r="THN30" s="31"/>
      <c r="THO30" s="31"/>
      <c r="THP30" s="31"/>
      <c r="THQ30" s="31"/>
      <c r="THR30" s="31"/>
      <c r="THS30" s="31"/>
      <c r="THT30" s="31"/>
      <c r="THU30" s="31"/>
      <c r="THV30" s="31"/>
      <c r="THW30" s="31"/>
      <c r="THX30" s="31"/>
      <c r="THY30" s="31"/>
      <c r="THZ30" s="31"/>
      <c r="TIA30" s="31"/>
      <c r="TIB30" s="31"/>
      <c r="TIC30" s="31"/>
      <c r="TID30" s="31"/>
      <c r="TIE30" s="31"/>
      <c r="TIF30" s="31"/>
      <c r="TIG30" s="31"/>
      <c r="TIH30" s="31"/>
      <c r="TII30" s="31"/>
      <c r="TIJ30" s="31"/>
      <c r="TIK30" s="31"/>
      <c r="TIL30" s="31"/>
      <c r="TIM30" s="31"/>
      <c r="TIN30" s="31"/>
      <c r="TIO30" s="31"/>
      <c r="TIP30" s="31"/>
      <c r="TIQ30" s="31"/>
      <c r="TIR30" s="31"/>
      <c r="TIS30" s="31"/>
      <c r="TIT30" s="31"/>
      <c r="TIU30" s="31"/>
      <c r="TIV30" s="31"/>
      <c r="TIW30" s="31"/>
      <c r="TIX30" s="31"/>
      <c r="TIY30" s="31"/>
      <c r="TIZ30" s="31"/>
      <c r="TJA30" s="31"/>
      <c r="TJB30" s="31"/>
      <c r="TJC30" s="31"/>
      <c r="TJD30" s="31"/>
      <c r="TJE30" s="31"/>
      <c r="TJF30" s="31"/>
      <c r="TJG30" s="31"/>
      <c r="TJH30" s="31"/>
      <c r="TJI30" s="31"/>
      <c r="TJJ30" s="31"/>
      <c r="TJK30" s="31"/>
      <c r="TJL30" s="31"/>
      <c r="TJM30" s="31"/>
      <c r="TJN30" s="31"/>
      <c r="TJO30" s="31"/>
      <c r="TJP30" s="31"/>
      <c r="TJQ30" s="31"/>
      <c r="TJR30" s="31"/>
      <c r="TJS30" s="31"/>
      <c r="TJT30" s="31"/>
      <c r="TJU30" s="31"/>
      <c r="TJV30" s="31"/>
      <c r="TJW30" s="31"/>
      <c r="TJX30" s="31"/>
      <c r="TJY30" s="31"/>
      <c r="TJZ30" s="31"/>
      <c r="TKA30" s="31"/>
      <c r="TKB30" s="31"/>
      <c r="TKC30" s="31"/>
      <c r="TKD30" s="31"/>
      <c r="TKE30" s="31"/>
      <c r="TKF30" s="31"/>
      <c r="TKG30" s="31"/>
      <c r="TKH30" s="31"/>
      <c r="TKI30" s="31"/>
      <c r="TKJ30" s="31"/>
      <c r="TKK30" s="31"/>
      <c r="TKL30" s="31"/>
      <c r="TKM30" s="31"/>
      <c r="TKN30" s="31"/>
      <c r="TKO30" s="31"/>
      <c r="TKP30" s="31"/>
      <c r="TKQ30" s="31"/>
      <c r="TKR30" s="31"/>
      <c r="TKS30" s="31"/>
      <c r="TKT30" s="31"/>
      <c r="TKU30" s="31"/>
      <c r="TKV30" s="31"/>
      <c r="TKW30" s="31"/>
      <c r="TKX30" s="31"/>
      <c r="TKY30" s="31"/>
      <c r="TKZ30" s="31"/>
      <c r="TLA30" s="31"/>
      <c r="TLB30" s="31"/>
      <c r="TLC30" s="31"/>
      <c r="TLD30" s="31"/>
      <c r="TLE30" s="31"/>
      <c r="TLF30" s="31"/>
      <c r="TLG30" s="31"/>
      <c r="TLH30" s="31"/>
      <c r="TLI30" s="31"/>
      <c r="TLJ30" s="31"/>
      <c r="TLK30" s="31"/>
      <c r="TLL30" s="31"/>
      <c r="TLM30" s="31"/>
      <c r="TLN30" s="31"/>
      <c r="TLO30" s="31"/>
      <c r="TLP30" s="31"/>
      <c r="TLQ30" s="31"/>
      <c r="TLR30" s="31"/>
      <c r="TLS30" s="31"/>
      <c r="TLT30" s="31"/>
      <c r="TLU30" s="31"/>
      <c r="TLV30" s="31"/>
      <c r="TLW30" s="31"/>
      <c r="TLX30" s="31"/>
      <c r="TLY30" s="31"/>
      <c r="TLZ30" s="31"/>
      <c r="TMA30" s="31"/>
      <c r="TMB30" s="31"/>
      <c r="TMC30" s="31"/>
      <c r="TMD30" s="31"/>
      <c r="TME30" s="31"/>
      <c r="TMF30" s="31"/>
      <c r="TMG30" s="31"/>
      <c r="TMH30" s="31"/>
      <c r="TMI30" s="31"/>
      <c r="TMJ30" s="31"/>
      <c r="TMK30" s="31"/>
      <c r="TML30" s="31"/>
      <c r="TMM30" s="31"/>
      <c r="TMN30" s="31"/>
      <c r="TMO30" s="31"/>
      <c r="TMP30" s="31"/>
      <c r="TMQ30" s="31"/>
      <c r="TMR30" s="31"/>
      <c r="TMS30" s="31"/>
      <c r="TMT30" s="31"/>
      <c r="TMU30" s="31"/>
      <c r="TMV30" s="31"/>
      <c r="TMW30" s="31"/>
      <c r="TMX30" s="31"/>
      <c r="TMY30" s="31"/>
      <c r="TMZ30" s="31"/>
      <c r="TNA30" s="31"/>
      <c r="TNB30" s="31"/>
      <c r="TNC30" s="31"/>
      <c r="TND30" s="31"/>
      <c r="TNE30" s="31"/>
      <c r="TNF30" s="31"/>
      <c r="TNG30" s="31"/>
      <c r="TNH30" s="31"/>
      <c r="TNI30" s="31"/>
      <c r="TNJ30" s="31"/>
      <c r="TNK30" s="31"/>
      <c r="TNL30" s="31"/>
      <c r="TNM30" s="31"/>
      <c r="TNN30" s="31"/>
      <c r="TNO30" s="31"/>
      <c r="TNP30" s="31"/>
      <c r="TNQ30" s="31"/>
      <c r="TNR30" s="31"/>
      <c r="TNS30" s="31"/>
      <c r="TNT30" s="31"/>
      <c r="TNU30" s="31"/>
      <c r="TNV30" s="31"/>
      <c r="TNW30" s="31"/>
      <c r="TNX30" s="31"/>
      <c r="TNY30" s="31"/>
      <c r="TNZ30" s="31"/>
      <c r="TOA30" s="31"/>
      <c r="TOB30" s="31"/>
      <c r="TOC30" s="31"/>
      <c r="TOD30" s="31"/>
      <c r="TOE30" s="31"/>
      <c r="TOF30" s="31"/>
      <c r="TOG30" s="31"/>
      <c r="TOH30" s="31"/>
      <c r="TOI30" s="31"/>
      <c r="TOJ30" s="31"/>
      <c r="TOK30" s="31"/>
      <c r="TOL30" s="31"/>
      <c r="TOM30" s="31"/>
      <c r="TON30" s="31"/>
      <c r="TOO30" s="31"/>
      <c r="TOP30" s="31"/>
      <c r="TOQ30" s="31"/>
      <c r="TOR30" s="31"/>
      <c r="TOS30" s="31"/>
      <c r="TOT30" s="31"/>
      <c r="TOU30" s="31"/>
      <c r="TOV30" s="31"/>
      <c r="TOW30" s="31"/>
      <c r="TOX30" s="31"/>
      <c r="TOY30" s="31"/>
      <c r="TOZ30" s="31"/>
      <c r="TPA30" s="31"/>
      <c r="TPB30" s="31"/>
      <c r="TPC30" s="31"/>
      <c r="TPD30" s="31"/>
      <c r="TPE30" s="31"/>
      <c r="TPF30" s="31"/>
      <c r="TPG30" s="31"/>
      <c r="TPH30" s="31"/>
      <c r="TPI30" s="31"/>
      <c r="TPJ30" s="31"/>
      <c r="TPK30" s="31"/>
      <c r="TPL30" s="31"/>
      <c r="TPM30" s="31"/>
      <c r="TPN30" s="31"/>
      <c r="TPO30" s="31"/>
      <c r="TPP30" s="31"/>
      <c r="TPQ30" s="31"/>
      <c r="TPR30" s="31"/>
      <c r="TPS30" s="31"/>
      <c r="TPT30" s="31"/>
      <c r="TPU30" s="31"/>
      <c r="TPV30" s="31"/>
      <c r="TPW30" s="31"/>
      <c r="TPX30" s="31"/>
      <c r="TPY30" s="31"/>
      <c r="TPZ30" s="31"/>
      <c r="TQA30" s="31"/>
      <c r="TQB30" s="31"/>
      <c r="TQC30" s="31"/>
      <c r="TQD30" s="31"/>
      <c r="TQE30" s="31"/>
      <c r="TQF30" s="31"/>
      <c r="TQG30" s="31"/>
      <c r="TQH30" s="31"/>
      <c r="TQI30" s="31"/>
      <c r="TQJ30" s="31"/>
      <c r="TQK30" s="31"/>
      <c r="TQL30" s="31"/>
      <c r="TQM30" s="31"/>
      <c r="TQN30" s="31"/>
      <c r="TQO30" s="31"/>
      <c r="TQP30" s="31"/>
      <c r="TQQ30" s="31"/>
      <c r="TQR30" s="31"/>
      <c r="TQS30" s="31"/>
      <c r="TQT30" s="31"/>
      <c r="TQU30" s="31"/>
      <c r="TQV30" s="31"/>
      <c r="TQW30" s="31"/>
      <c r="TQX30" s="31"/>
      <c r="TQY30" s="31"/>
      <c r="TQZ30" s="31"/>
      <c r="TRA30" s="31"/>
      <c r="TRB30" s="31"/>
      <c r="TRC30" s="31"/>
      <c r="TRD30" s="31"/>
      <c r="TRE30" s="31"/>
      <c r="TRF30" s="31"/>
      <c r="TRG30" s="31"/>
      <c r="TRH30" s="31"/>
      <c r="TRI30" s="31"/>
      <c r="TRJ30" s="31"/>
      <c r="TRK30" s="31"/>
      <c r="TRL30" s="31"/>
      <c r="TRM30" s="31"/>
      <c r="TRN30" s="31"/>
      <c r="TRO30" s="31"/>
      <c r="TRP30" s="31"/>
      <c r="TRQ30" s="31"/>
      <c r="TRR30" s="31"/>
      <c r="TRS30" s="31"/>
      <c r="TRT30" s="31"/>
      <c r="TRU30" s="31"/>
      <c r="TRV30" s="31"/>
      <c r="TRW30" s="31"/>
      <c r="TRX30" s="31"/>
      <c r="TRY30" s="31"/>
      <c r="TRZ30" s="31"/>
      <c r="TSA30" s="31"/>
      <c r="TSB30" s="31"/>
      <c r="TSC30" s="31"/>
      <c r="TSD30" s="31"/>
      <c r="TSE30" s="31"/>
      <c r="TSF30" s="31"/>
      <c r="TSG30" s="31"/>
      <c r="TSH30" s="31"/>
      <c r="TSI30" s="31"/>
      <c r="TSJ30" s="31"/>
      <c r="TSK30" s="31"/>
      <c r="TSL30" s="31"/>
      <c r="TSM30" s="31"/>
      <c r="TSN30" s="31"/>
      <c r="TSO30" s="31"/>
      <c r="TSP30" s="31"/>
      <c r="TSQ30" s="31"/>
      <c r="TSR30" s="31"/>
      <c r="TSS30" s="31"/>
      <c r="TST30" s="31"/>
      <c r="TSU30" s="31"/>
      <c r="TSV30" s="31"/>
      <c r="TSW30" s="31"/>
      <c r="TSX30" s="31"/>
      <c r="TSY30" s="31"/>
      <c r="TSZ30" s="31"/>
      <c r="TTA30" s="31"/>
      <c r="TTB30" s="31"/>
      <c r="TTC30" s="31"/>
      <c r="TTD30" s="31"/>
      <c r="TTE30" s="31"/>
      <c r="TTF30" s="31"/>
      <c r="TTG30" s="31"/>
      <c r="TTH30" s="31"/>
      <c r="TTI30" s="31"/>
      <c r="TTJ30" s="31"/>
      <c r="TTK30" s="31"/>
      <c r="TTL30" s="31"/>
      <c r="TTM30" s="31"/>
      <c r="TTN30" s="31"/>
      <c r="TTO30" s="31"/>
      <c r="TTP30" s="31"/>
      <c r="TTQ30" s="31"/>
      <c r="TTR30" s="31"/>
      <c r="TTS30" s="31"/>
      <c r="TTT30" s="31"/>
      <c r="TTU30" s="31"/>
      <c r="TTV30" s="31"/>
      <c r="TTW30" s="31"/>
      <c r="TTX30" s="31"/>
      <c r="TTY30" s="31"/>
      <c r="TTZ30" s="31"/>
      <c r="TUA30" s="31"/>
      <c r="TUB30" s="31"/>
      <c r="TUC30" s="31"/>
      <c r="TUD30" s="31"/>
      <c r="TUE30" s="31"/>
      <c r="TUF30" s="31"/>
      <c r="TUG30" s="31"/>
      <c r="TUH30" s="31"/>
      <c r="TUI30" s="31"/>
      <c r="TUJ30" s="31"/>
      <c r="TUK30" s="31"/>
      <c r="TUL30" s="31"/>
      <c r="TUM30" s="31"/>
      <c r="TUN30" s="31"/>
      <c r="TUO30" s="31"/>
      <c r="TUP30" s="31"/>
      <c r="TUQ30" s="31"/>
      <c r="TUR30" s="31"/>
      <c r="TUS30" s="31"/>
      <c r="TUT30" s="31"/>
      <c r="TUU30" s="31"/>
      <c r="TUV30" s="31"/>
      <c r="TUW30" s="31"/>
      <c r="TUX30" s="31"/>
      <c r="TUY30" s="31"/>
      <c r="TUZ30" s="31"/>
      <c r="TVA30" s="31"/>
      <c r="TVB30" s="31"/>
      <c r="TVC30" s="31"/>
      <c r="TVD30" s="31"/>
      <c r="TVE30" s="31"/>
      <c r="TVF30" s="31"/>
      <c r="TVG30" s="31"/>
      <c r="TVH30" s="31"/>
      <c r="TVI30" s="31"/>
      <c r="TVJ30" s="31"/>
      <c r="TVK30" s="31"/>
      <c r="TVL30" s="31"/>
      <c r="TVM30" s="31"/>
      <c r="TVN30" s="31"/>
      <c r="TVO30" s="31"/>
      <c r="TVP30" s="31"/>
      <c r="TVQ30" s="31"/>
      <c r="TVR30" s="31"/>
      <c r="TVS30" s="31"/>
      <c r="TVT30" s="31"/>
      <c r="TVU30" s="31"/>
      <c r="TVV30" s="31"/>
      <c r="TVW30" s="31"/>
      <c r="TVX30" s="31"/>
      <c r="TVY30" s="31"/>
      <c r="TVZ30" s="31"/>
      <c r="TWA30" s="31"/>
      <c r="TWB30" s="31"/>
      <c r="TWC30" s="31"/>
      <c r="TWD30" s="31"/>
      <c r="TWE30" s="31"/>
      <c r="TWF30" s="31"/>
      <c r="TWG30" s="31"/>
      <c r="TWH30" s="31"/>
      <c r="TWI30" s="31"/>
      <c r="TWJ30" s="31"/>
      <c r="TWK30" s="31"/>
      <c r="TWL30" s="31"/>
      <c r="TWM30" s="31"/>
      <c r="TWN30" s="31"/>
      <c r="TWO30" s="31"/>
      <c r="TWP30" s="31"/>
      <c r="TWQ30" s="31"/>
      <c r="TWR30" s="31"/>
      <c r="TWS30" s="31"/>
      <c r="TWT30" s="31"/>
      <c r="TWU30" s="31"/>
      <c r="TWV30" s="31"/>
      <c r="TWW30" s="31"/>
      <c r="TWX30" s="31"/>
      <c r="TWY30" s="31"/>
      <c r="TWZ30" s="31"/>
      <c r="TXA30" s="31"/>
      <c r="TXB30" s="31"/>
      <c r="TXC30" s="31"/>
      <c r="TXD30" s="31"/>
      <c r="TXE30" s="31"/>
      <c r="TXF30" s="31"/>
      <c r="TXG30" s="31"/>
      <c r="TXH30" s="31"/>
      <c r="TXI30" s="31"/>
      <c r="TXJ30" s="31"/>
      <c r="TXK30" s="31"/>
      <c r="TXL30" s="31"/>
      <c r="TXM30" s="31"/>
      <c r="TXN30" s="31"/>
      <c r="TXO30" s="31"/>
      <c r="TXP30" s="31"/>
      <c r="TXQ30" s="31"/>
      <c r="TXR30" s="31"/>
      <c r="TXS30" s="31"/>
      <c r="TXT30" s="31"/>
      <c r="TXU30" s="31"/>
      <c r="TXV30" s="31"/>
      <c r="TXW30" s="31"/>
      <c r="TXX30" s="31"/>
      <c r="TXY30" s="31"/>
      <c r="TXZ30" s="31"/>
      <c r="TYA30" s="31"/>
      <c r="TYB30" s="31"/>
      <c r="TYC30" s="31"/>
      <c r="TYD30" s="31"/>
      <c r="TYE30" s="31"/>
      <c r="TYF30" s="31"/>
      <c r="TYG30" s="31"/>
      <c r="TYH30" s="31"/>
      <c r="TYI30" s="31"/>
      <c r="TYJ30" s="31"/>
      <c r="TYK30" s="31"/>
      <c r="TYL30" s="31"/>
      <c r="TYM30" s="31"/>
      <c r="TYN30" s="31"/>
      <c r="TYO30" s="31"/>
      <c r="TYP30" s="31"/>
      <c r="TYQ30" s="31"/>
      <c r="TYR30" s="31"/>
      <c r="TYS30" s="31"/>
      <c r="TYT30" s="31"/>
      <c r="TYU30" s="31"/>
      <c r="TYV30" s="31"/>
      <c r="TYW30" s="31"/>
      <c r="TYX30" s="31"/>
      <c r="TYY30" s="31"/>
      <c r="TYZ30" s="31"/>
      <c r="TZA30" s="31"/>
      <c r="TZB30" s="31"/>
      <c r="TZC30" s="31"/>
      <c r="TZD30" s="31"/>
      <c r="TZE30" s="31"/>
      <c r="TZF30" s="31"/>
      <c r="TZG30" s="31"/>
      <c r="TZH30" s="31"/>
      <c r="TZI30" s="31"/>
      <c r="TZJ30" s="31"/>
      <c r="TZK30" s="31"/>
      <c r="TZL30" s="31"/>
      <c r="TZM30" s="31"/>
      <c r="TZN30" s="31"/>
      <c r="TZO30" s="31"/>
      <c r="TZP30" s="31"/>
      <c r="TZQ30" s="31"/>
      <c r="TZR30" s="31"/>
      <c r="TZS30" s="31"/>
      <c r="TZT30" s="31"/>
      <c r="TZU30" s="31"/>
      <c r="TZV30" s="31"/>
      <c r="TZW30" s="31"/>
      <c r="TZX30" s="31"/>
      <c r="TZY30" s="31"/>
      <c r="TZZ30" s="31"/>
      <c r="UAA30" s="31"/>
      <c r="UAB30" s="31"/>
      <c r="UAC30" s="31"/>
      <c r="UAD30" s="31"/>
      <c r="UAE30" s="31"/>
      <c r="UAF30" s="31"/>
      <c r="UAG30" s="31"/>
      <c r="UAH30" s="31"/>
      <c r="UAI30" s="31"/>
      <c r="UAJ30" s="31"/>
      <c r="UAK30" s="31"/>
      <c r="UAL30" s="31"/>
      <c r="UAM30" s="31"/>
      <c r="UAN30" s="31"/>
      <c r="UAO30" s="31"/>
      <c r="UAP30" s="31"/>
      <c r="UAQ30" s="31"/>
      <c r="UAR30" s="31"/>
      <c r="UAS30" s="31"/>
      <c r="UAT30" s="31"/>
      <c r="UAU30" s="31"/>
      <c r="UAV30" s="31"/>
      <c r="UAW30" s="31"/>
      <c r="UAX30" s="31"/>
      <c r="UAY30" s="31"/>
      <c r="UAZ30" s="31"/>
      <c r="UBA30" s="31"/>
      <c r="UBB30" s="31"/>
      <c r="UBC30" s="31"/>
      <c r="UBD30" s="31"/>
      <c r="UBE30" s="31"/>
      <c r="UBF30" s="31"/>
      <c r="UBG30" s="31"/>
      <c r="UBH30" s="31"/>
      <c r="UBI30" s="31"/>
      <c r="UBJ30" s="31"/>
      <c r="UBK30" s="31"/>
      <c r="UBL30" s="31"/>
      <c r="UBM30" s="31"/>
      <c r="UBN30" s="31"/>
      <c r="UBO30" s="31"/>
      <c r="UBP30" s="31"/>
      <c r="UBQ30" s="31"/>
      <c r="UBR30" s="31"/>
      <c r="UBS30" s="31"/>
      <c r="UBT30" s="31"/>
      <c r="UBU30" s="31"/>
      <c r="UBV30" s="31"/>
      <c r="UBW30" s="31"/>
      <c r="UBX30" s="31"/>
      <c r="UBY30" s="31"/>
      <c r="UBZ30" s="31"/>
      <c r="UCA30" s="31"/>
      <c r="UCB30" s="31"/>
      <c r="UCC30" s="31"/>
      <c r="UCD30" s="31"/>
      <c r="UCE30" s="31"/>
      <c r="UCF30" s="31"/>
      <c r="UCG30" s="31"/>
      <c r="UCH30" s="31"/>
      <c r="UCI30" s="31"/>
      <c r="UCJ30" s="31"/>
      <c r="UCK30" s="31"/>
      <c r="UCL30" s="31"/>
      <c r="UCM30" s="31"/>
      <c r="UCN30" s="31"/>
      <c r="UCO30" s="31"/>
      <c r="UCP30" s="31"/>
      <c r="UCQ30" s="31"/>
      <c r="UCR30" s="31"/>
      <c r="UCS30" s="31"/>
      <c r="UCT30" s="31"/>
      <c r="UCU30" s="31"/>
      <c r="UCV30" s="31"/>
      <c r="UCW30" s="31"/>
      <c r="UCX30" s="31"/>
      <c r="UCY30" s="31"/>
      <c r="UCZ30" s="31"/>
      <c r="UDA30" s="31"/>
      <c r="UDB30" s="31"/>
      <c r="UDC30" s="31"/>
      <c r="UDD30" s="31"/>
      <c r="UDE30" s="31"/>
      <c r="UDF30" s="31"/>
      <c r="UDG30" s="31"/>
      <c r="UDH30" s="31"/>
      <c r="UDI30" s="31"/>
      <c r="UDJ30" s="31"/>
      <c r="UDK30" s="31"/>
      <c r="UDL30" s="31"/>
      <c r="UDM30" s="31"/>
      <c r="UDN30" s="31"/>
      <c r="UDO30" s="31"/>
      <c r="UDP30" s="31"/>
      <c r="UDQ30" s="31"/>
      <c r="UDR30" s="31"/>
      <c r="UDS30" s="31"/>
      <c r="UDT30" s="31"/>
      <c r="UDU30" s="31"/>
      <c r="UDV30" s="31"/>
      <c r="UDW30" s="31"/>
      <c r="UDX30" s="31"/>
      <c r="UDY30" s="31"/>
      <c r="UDZ30" s="31"/>
      <c r="UEA30" s="31"/>
      <c r="UEB30" s="31"/>
      <c r="UEC30" s="31"/>
      <c r="UED30" s="31"/>
      <c r="UEE30" s="31"/>
      <c r="UEF30" s="31"/>
      <c r="UEG30" s="31"/>
      <c r="UEH30" s="31"/>
      <c r="UEI30" s="31"/>
      <c r="UEJ30" s="31"/>
      <c r="UEK30" s="31"/>
      <c r="UEL30" s="31"/>
      <c r="UEM30" s="31"/>
      <c r="UEN30" s="31"/>
      <c r="UEO30" s="31"/>
      <c r="UEP30" s="31"/>
      <c r="UEQ30" s="31"/>
      <c r="UER30" s="31"/>
      <c r="UES30" s="31"/>
      <c r="UET30" s="31"/>
      <c r="UEU30" s="31"/>
      <c r="UEV30" s="31"/>
      <c r="UEW30" s="31"/>
      <c r="UEX30" s="31"/>
      <c r="UEY30" s="31"/>
      <c r="UEZ30" s="31"/>
      <c r="UFA30" s="31"/>
      <c r="UFB30" s="31"/>
      <c r="UFC30" s="31"/>
      <c r="UFD30" s="31"/>
      <c r="UFE30" s="31"/>
      <c r="UFF30" s="31"/>
      <c r="UFG30" s="31"/>
      <c r="UFH30" s="31"/>
      <c r="UFI30" s="31"/>
      <c r="UFJ30" s="31"/>
      <c r="UFK30" s="31"/>
      <c r="UFL30" s="31"/>
      <c r="UFM30" s="31"/>
      <c r="UFN30" s="31"/>
      <c r="UFO30" s="31"/>
      <c r="UFP30" s="31"/>
      <c r="UFQ30" s="31"/>
      <c r="UFR30" s="31"/>
      <c r="UFS30" s="31"/>
      <c r="UFT30" s="31"/>
      <c r="UFU30" s="31"/>
      <c r="UFV30" s="31"/>
      <c r="UFW30" s="31"/>
      <c r="UFX30" s="31"/>
      <c r="UFY30" s="31"/>
      <c r="UFZ30" s="31"/>
      <c r="UGA30" s="31"/>
      <c r="UGB30" s="31"/>
      <c r="UGC30" s="31"/>
      <c r="UGD30" s="31"/>
      <c r="UGE30" s="31"/>
      <c r="UGF30" s="31"/>
      <c r="UGG30" s="31"/>
      <c r="UGH30" s="31"/>
      <c r="UGI30" s="31"/>
      <c r="UGJ30" s="31"/>
      <c r="UGK30" s="31"/>
      <c r="UGL30" s="31"/>
      <c r="UGM30" s="31"/>
      <c r="UGN30" s="31"/>
      <c r="UGO30" s="31"/>
      <c r="UGP30" s="31"/>
      <c r="UGQ30" s="31"/>
      <c r="UGR30" s="31"/>
      <c r="UGS30" s="31"/>
      <c r="UGT30" s="31"/>
      <c r="UGU30" s="31"/>
      <c r="UGV30" s="31"/>
      <c r="UGW30" s="31"/>
      <c r="UGX30" s="31"/>
      <c r="UGY30" s="31"/>
      <c r="UGZ30" s="31"/>
      <c r="UHA30" s="31"/>
      <c r="UHB30" s="31"/>
      <c r="UHC30" s="31"/>
      <c r="UHD30" s="31"/>
      <c r="UHE30" s="31"/>
      <c r="UHF30" s="31"/>
      <c r="UHG30" s="31"/>
      <c r="UHH30" s="31"/>
      <c r="UHI30" s="31"/>
      <c r="UHJ30" s="31"/>
      <c r="UHK30" s="31"/>
      <c r="UHL30" s="31"/>
      <c r="UHM30" s="31"/>
      <c r="UHN30" s="31"/>
      <c r="UHO30" s="31"/>
      <c r="UHP30" s="31"/>
      <c r="UHQ30" s="31"/>
      <c r="UHR30" s="31"/>
      <c r="UHS30" s="31"/>
      <c r="UHT30" s="31"/>
      <c r="UHU30" s="31"/>
      <c r="UHV30" s="31"/>
      <c r="UHW30" s="31"/>
      <c r="UHX30" s="31"/>
      <c r="UHY30" s="31"/>
      <c r="UHZ30" s="31"/>
      <c r="UIA30" s="31"/>
      <c r="UIB30" s="31"/>
      <c r="UIC30" s="31"/>
      <c r="UID30" s="31"/>
      <c r="UIE30" s="31"/>
      <c r="UIF30" s="31"/>
      <c r="UIG30" s="31"/>
      <c r="UIH30" s="31"/>
      <c r="UII30" s="31"/>
      <c r="UIJ30" s="31"/>
      <c r="UIK30" s="31"/>
      <c r="UIL30" s="31"/>
      <c r="UIM30" s="31"/>
      <c r="UIN30" s="31"/>
      <c r="UIO30" s="31"/>
      <c r="UIP30" s="31"/>
      <c r="UIQ30" s="31"/>
      <c r="UIR30" s="31"/>
      <c r="UIS30" s="31"/>
      <c r="UIT30" s="31"/>
      <c r="UIU30" s="31"/>
      <c r="UIV30" s="31"/>
      <c r="UIW30" s="31"/>
      <c r="UIX30" s="31"/>
      <c r="UIY30" s="31"/>
      <c r="UIZ30" s="31"/>
      <c r="UJA30" s="31"/>
      <c r="UJB30" s="31"/>
      <c r="UJC30" s="31"/>
      <c r="UJD30" s="31"/>
      <c r="UJE30" s="31"/>
      <c r="UJF30" s="31"/>
      <c r="UJG30" s="31"/>
      <c r="UJH30" s="31"/>
      <c r="UJI30" s="31"/>
      <c r="UJJ30" s="31"/>
      <c r="UJK30" s="31"/>
      <c r="UJL30" s="31"/>
      <c r="UJM30" s="31"/>
      <c r="UJN30" s="31"/>
      <c r="UJO30" s="31"/>
      <c r="UJP30" s="31"/>
      <c r="UJQ30" s="31"/>
      <c r="UJR30" s="31"/>
      <c r="UJS30" s="31"/>
      <c r="UJT30" s="31"/>
      <c r="UJU30" s="31"/>
      <c r="UJV30" s="31"/>
      <c r="UJW30" s="31"/>
      <c r="UJX30" s="31"/>
      <c r="UJY30" s="31"/>
      <c r="UJZ30" s="31"/>
      <c r="UKA30" s="31"/>
      <c r="UKB30" s="31"/>
      <c r="UKC30" s="31"/>
      <c r="UKD30" s="31"/>
      <c r="UKE30" s="31"/>
      <c r="UKF30" s="31"/>
      <c r="UKG30" s="31"/>
      <c r="UKH30" s="31"/>
      <c r="UKI30" s="31"/>
      <c r="UKJ30" s="31"/>
      <c r="UKK30" s="31"/>
      <c r="UKL30" s="31"/>
      <c r="UKM30" s="31"/>
      <c r="UKN30" s="31"/>
      <c r="UKO30" s="31"/>
      <c r="UKP30" s="31"/>
      <c r="UKQ30" s="31"/>
      <c r="UKR30" s="31"/>
      <c r="UKS30" s="31"/>
      <c r="UKT30" s="31"/>
      <c r="UKU30" s="31"/>
      <c r="UKV30" s="31"/>
      <c r="UKW30" s="31"/>
      <c r="UKX30" s="31"/>
      <c r="UKY30" s="31"/>
      <c r="UKZ30" s="31"/>
      <c r="ULA30" s="31"/>
      <c r="ULB30" s="31"/>
      <c r="ULC30" s="31"/>
      <c r="ULD30" s="31"/>
      <c r="ULE30" s="31"/>
      <c r="ULF30" s="31"/>
      <c r="ULG30" s="31"/>
      <c r="ULH30" s="31"/>
      <c r="ULI30" s="31"/>
      <c r="ULJ30" s="31"/>
      <c r="ULK30" s="31"/>
      <c r="ULL30" s="31"/>
      <c r="ULM30" s="31"/>
      <c r="ULN30" s="31"/>
      <c r="ULO30" s="31"/>
      <c r="ULP30" s="31"/>
      <c r="ULQ30" s="31"/>
      <c r="ULR30" s="31"/>
      <c r="ULS30" s="31"/>
      <c r="ULT30" s="31"/>
      <c r="ULU30" s="31"/>
      <c r="ULV30" s="31"/>
      <c r="ULW30" s="31"/>
      <c r="ULX30" s="31"/>
      <c r="ULY30" s="31"/>
      <c r="ULZ30" s="31"/>
      <c r="UMA30" s="31"/>
      <c r="UMB30" s="31"/>
      <c r="UMC30" s="31"/>
      <c r="UMD30" s="31"/>
      <c r="UME30" s="31"/>
      <c r="UMF30" s="31"/>
      <c r="UMG30" s="31"/>
      <c r="UMH30" s="31"/>
      <c r="UMI30" s="31"/>
      <c r="UMJ30" s="31"/>
      <c r="UMK30" s="31"/>
      <c r="UML30" s="31"/>
      <c r="UMM30" s="31"/>
      <c r="UMN30" s="31"/>
      <c r="UMO30" s="31"/>
      <c r="UMP30" s="31"/>
      <c r="UMQ30" s="31"/>
      <c r="UMR30" s="31"/>
      <c r="UMS30" s="31"/>
      <c r="UMT30" s="31"/>
      <c r="UMU30" s="31"/>
      <c r="UMV30" s="31"/>
      <c r="UMW30" s="31"/>
      <c r="UMX30" s="31"/>
      <c r="UMY30" s="31"/>
      <c r="UMZ30" s="31"/>
      <c r="UNA30" s="31"/>
      <c r="UNB30" s="31"/>
      <c r="UNC30" s="31"/>
      <c r="UND30" s="31"/>
      <c r="UNE30" s="31"/>
      <c r="UNF30" s="31"/>
      <c r="UNG30" s="31"/>
      <c r="UNH30" s="31"/>
      <c r="UNI30" s="31"/>
      <c r="UNJ30" s="31"/>
      <c r="UNK30" s="31"/>
      <c r="UNL30" s="31"/>
      <c r="UNM30" s="31"/>
      <c r="UNN30" s="31"/>
      <c r="UNO30" s="31"/>
      <c r="UNP30" s="31"/>
      <c r="UNQ30" s="31"/>
      <c r="UNR30" s="31"/>
      <c r="UNS30" s="31"/>
      <c r="UNT30" s="31"/>
      <c r="UNU30" s="31"/>
      <c r="UNV30" s="31"/>
      <c r="UNW30" s="31"/>
      <c r="UNX30" s="31"/>
      <c r="UNY30" s="31"/>
      <c r="UNZ30" s="31"/>
      <c r="UOA30" s="31"/>
      <c r="UOB30" s="31"/>
      <c r="UOC30" s="31"/>
      <c r="UOD30" s="31"/>
      <c r="UOE30" s="31"/>
      <c r="UOF30" s="31"/>
      <c r="UOG30" s="31"/>
      <c r="UOH30" s="31"/>
      <c r="UOI30" s="31"/>
      <c r="UOJ30" s="31"/>
      <c r="UOK30" s="31"/>
      <c r="UOL30" s="31"/>
      <c r="UOM30" s="31"/>
      <c r="UON30" s="31"/>
      <c r="UOO30" s="31"/>
      <c r="UOP30" s="31"/>
      <c r="UOQ30" s="31"/>
      <c r="UOR30" s="31"/>
      <c r="UOS30" s="31"/>
      <c r="UOT30" s="31"/>
      <c r="UOU30" s="31"/>
      <c r="UOV30" s="31"/>
      <c r="UOW30" s="31"/>
      <c r="UOX30" s="31"/>
      <c r="UOY30" s="31"/>
      <c r="UOZ30" s="31"/>
      <c r="UPA30" s="31"/>
      <c r="UPB30" s="31"/>
      <c r="UPC30" s="31"/>
      <c r="UPD30" s="31"/>
      <c r="UPE30" s="31"/>
      <c r="UPF30" s="31"/>
      <c r="UPG30" s="31"/>
      <c r="UPH30" s="31"/>
      <c r="UPI30" s="31"/>
      <c r="UPJ30" s="31"/>
      <c r="UPK30" s="31"/>
      <c r="UPL30" s="31"/>
      <c r="UPM30" s="31"/>
      <c r="UPN30" s="31"/>
      <c r="UPO30" s="31"/>
      <c r="UPP30" s="31"/>
      <c r="UPQ30" s="31"/>
      <c r="UPR30" s="31"/>
      <c r="UPS30" s="31"/>
      <c r="UPT30" s="31"/>
      <c r="UPU30" s="31"/>
      <c r="UPV30" s="31"/>
      <c r="UPW30" s="31"/>
      <c r="UPX30" s="31"/>
      <c r="UPY30" s="31"/>
      <c r="UPZ30" s="31"/>
      <c r="UQA30" s="31"/>
      <c r="UQB30" s="31"/>
      <c r="UQC30" s="31"/>
      <c r="UQD30" s="31"/>
      <c r="UQE30" s="31"/>
      <c r="UQF30" s="31"/>
      <c r="UQG30" s="31"/>
      <c r="UQH30" s="31"/>
      <c r="UQI30" s="31"/>
      <c r="UQJ30" s="31"/>
      <c r="UQK30" s="31"/>
      <c r="UQL30" s="31"/>
      <c r="UQM30" s="31"/>
      <c r="UQN30" s="31"/>
      <c r="UQO30" s="31"/>
      <c r="UQP30" s="31"/>
      <c r="UQQ30" s="31"/>
      <c r="UQR30" s="31"/>
      <c r="UQS30" s="31"/>
      <c r="UQT30" s="31"/>
      <c r="UQU30" s="31"/>
      <c r="UQV30" s="31"/>
      <c r="UQW30" s="31"/>
      <c r="UQX30" s="31"/>
      <c r="UQY30" s="31"/>
      <c r="UQZ30" s="31"/>
      <c r="URA30" s="31"/>
      <c r="URB30" s="31"/>
      <c r="URC30" s="31"/>
      <c r="URD30" s="31"/>
      <c r="URE30" s="31"/>
      <c r="URF30" s="31"/>
      <c r="URG30" s="31"/>
      <c r="URH30" s="31"/>
      <c r="URI30" s="31"/>
      <c r="URJ30" s="31"/>
      <c r="URK30" s="31"/>
      <c r="URL30" s="31"/>
      <c r="URM30" s="31"/>
      <c r="URN30" s="31"/>
      <c r="URO30" s="31"/>
      <c r="URP30" s="31"/>
      <c r="URQ30" s="31"/>
      <c r="URR30" s="31"/>
      <c r="URS30" s="31"/>
      <c r="URT30" s="31"/>
      <c r="URU30" s="31"/>
      <c r="URV30" s="31"/>
      <c r="URW30" s="31"/>
      <c r="URX30" s="31"/>
      <c r="URY30" s="31"/>
      <c r="URZ30" s="31"/>
      <c r="USA30" s="31"/>
      <c r="USB30" s="31"/>
      <c r="USC30" s="31"/>
      <c r="USD30" s="31"/>
      <c r="USE30" s="31"/>
      <c r="USF30" s="31"/>
      <c r="USG30" s="31"/>
      <c r="USH30" s="31"/>
      <c r="USI30" s="31"/>
      <c r="USJ30" s="31"/>
      <c r="USK30" s="31"/>
      <c r="USL30" s="31"/>
      <c r="USM30" s="31"/>
      <c r="USN30" s="31"/>
      <c r="USO30" s="31"/>
      <c r="USP30" s="31"/>
      <c r="USQ30" s="31"/>
      <c r="USR30" s="31"/>
      <c r="USS30" s="31"/>
      <c r="UST30" s="31"/>
      <c r="USU30" s="31"/>
      <c r="USV30" s="31"/>
      <c r="USW30" s="31"/>
      <c r="USX30" s="31"/>
      <c r="USY30" s="31"/>
      <c r="USZ30" s="31"/>
      <c r="UTA30" s="31"/>
      <c r="UTB30" s="31"/>
      <c r="UTC30" s="31"/>
      <c r="UTD30" s="31"/>
      <c r="UTE30" s="31"/>
      <c r="UTF30" s="31"/>
      <c r="UTG30" s="31"/>
      <c r="UTH30" s="31"/>
      <c r="UTI30" s="31"/>
      <c r="UTJ30" s="31"/>
      <c r="UTK30" s="31"/>
      <c r="UTL30" s="31"/>
      <c r="UTM30" s="31"/>
      <c r="UTN30" s="31"/>
      <c r="UTO30" s="31"/>
      <c r="UTP30" s="31"/>
      <c r="UTQ30" s="31"/>
      <c r="UTR30" s="31"/>
      <c r="UTS30" s="31"/>
      <c r="UTT30" s="31"/>
      <c r="UTU30" s="31"/>
      <c r="UTV30" s="31"/>
      <c r="UTW30" s="31"/>
      <c r="UTX30" s="31"/>
      <c r="UTY30" s="31"/>
      <c r="UTZ30" s="31"/>
      <c r="UUA30" s="31"/>
      <c r="UUB30" s="31"/>
      <c r="UUC30" s="31"/>
      <c r="UUD30" s="31"/>
      <c r="UUE30" s="31"/>
      <c r="UUF30" s="31"/>
      <c r="UUG30" s="31"/>
      <c r="UUH30" s="31"/>
      <c r="UUI30" s="31"/>
      <c r="UUJ30" s="31"/>
      <c r="UUK30" s="31"/>
      <c r="UUL30" s="31"/>
      <c r="UUM30" s="31"/>
      <c r="UUN30" s="31"/>
      <c r="UUO30" s="31"/>
      <c r="UUP30" s="31"/>
      <c r="UUQ30" s="31"/>
      <c r="UUR30" s="31"/>
      <c r="UUS30" s="31"/>
      <c r="UUT30" s="31"/>
      <c r="UUU30" s="31"/>
      <c r="UUV30" s="31"/>
      <c r="UUW30" s="31"/>
      <c r="UUX30" s="31"/>
      <c r="UUY30" s="31"/>
      <c r="UUZ30" s="31"/>
      <c r="UVA30" s="31"/>
      <c r="UVB30" s="31"/>
      <c r="UVC30" s="31"/>
      <c r="UVD30" s="31"/>
      <c r="UVE30" s="31"/>
      <c r="UVF30" s="31"/>
      <c r="UVG30" s="31"/>
      <c r="UVH30" s="31"/>
      <c r="UVI30" s="31"/>
      <c r="UVJ30" s="31"/>
      <c r="UVK30" s="31"/>
      <c r="UVL30" s="31"/>
      <c r="UVM30" s="31"/>
      <c r="UVN30" s="31"/>
      <c r="UVO30" s="31"/>
      <c r="UVP30" s="31"/>
      <c r="UVQ30" s="31"/>
      <c r="UVR30" s="31"/>
      <c r="UVS30" s="31"/>
      <c r="UVT30" s="31"/>
      <c r="UVU30" s="31"/>
      <c r="UVV30" s="31"/>
      <c r="UVW30" s="31"/>
      <c r="UVX30" s="31"/>
      <c r="UVY30" s="31"/>
      <c r="UVZ30" s="31"/>
      <c r="UWA30" s="31"/>
      <c r="UWB30" s="31"/>
      <c r="UWC30" s="31"/>
      <c r="UWD30" s="31"/>
      <c r="UWE30" s="31"/>
      <c r="UWF30" s="31"/>
      <c r="UWG30" s="31"/>
      <c r="UWH30" s="31"/>
      <c r="UWI30" s="31"/>
      <c r="UWJ30" s="31"/>
      <c r="UWK30" s="31"/>
      <c r="UWL30" s="31"/>
      <c r="UWM30" s="31"/>
      <c r="UWN30" s="31"/>
      <c r="UWO30" s="31"/>
      <c r="UWP30" s="31"/>
      <c r="UWQ30" s="31"/>
      <c r="UWR30" s="31"/>
      <c r="UWS30" s="31"/>
      <c r="UWT30" s="31"/>
      <c r="UWU30" s="31"/>
      <c r="UWV30" s="31"/>
      <c r="UWW30" s="31"/>
      <c r="UWX30" s="31"/>
      <c r="UWY30" s="31"/>
      <c r="UWZ30" s="31"/>
      <c r="UXA30" s="31"/>
      <c r="UXB30" s="31"/>
      <c r="UXC30" s="31"/>
      <c r="UXD30" s="31"/>
      <c r="UXE30" s="31"/>
      <c r="UXF30" s="31"/>
      <c r="UXG30" s="31"/>
      <c r="UXH30" s="31"/>
      <c r="UXI30" s="31"/>
      <c r="UXJ30" s="31"/>
      <c r="UXK30" s="31"/>
      <c r="UXL30" s="31"/>
      <c r="UXM30" s="31"/>
      <c r="UXN30" s="31"/>
      <c r="UXO30" s="31"/>
      <c r="UXP30" s="31"/>
      <c r="UXQ30" s="31"/>
      <c r="UXR30" s="31"/>
      <c r="UXS30" s="31"/>
      <c r="UXT30" s="31"/>
      <c r="UXU30" s="31"/>
      <c r="UXV30" s="31"/>
      <c r="UXW30" s="31"/>
      <c r="UXX30" s="31"/>
      <c r="UXY30" s="31"/>
      <c r="UXZ30" s="31"/>
      <c r="UYA30" s="31"/>
      <c r="UYB30" s="31"/>
      <c r="UYC30" s="31"/>
      <c r="UYD30" s="31"/>
      <c r="UYE30" s="31"/>
      <c r="UYF30" s="31"/>
      <c r="UYG30" s="31"/>
      <c r="UYH30" s="31"/>
      <c r="UYI30" s="31"/>
      <c r="UYJ30" s="31"/>
      <c r="UYK30" s="31"/>
      <c r="UYL30" s="31"/>
      <c r="UYM30" s="31"/>
      <c r="UYN30" s="31"/>
      <c r="UYO30" s="31"/>
      <c r="UYP30" s="31"/>
      <c r="UYQ30" s="31"/>
      <c r="UYR30" s="31"/>
      <c r="UYS30" s="31"/>
      <c r="UYT30" s="31"/>
      <c r="UYU30" s="31"/>
      <c r="UYV30" s="31"/>
      <c r="UYW30" s="31"/>
      <c r="UYX30" s="31"/>
      <c r="UYY30" s="31"/>
      <c r="UYZ30" s="31"/>
      <c r="UZA30" s="31"/>
      <c r="UZB30" s="31"/>
      <c r="UZC30" s="31"/>
      <c r="UZD30" s="31"/>
      <c r="UZE30" s="31"/>
      <c r="UZF30" s="31"/>
      <c r="UZG30" s="31"/>
      <c r="UZH30" s="31"/>
      <c r="UZI30" s="31"/>
      <c r="UZJ30" s="31"/>
      <c r="UZK30" s="31"/>
      <c r="UZL30" s="31"/>
      <c r="UZM30" s="31"/>
      <c r="UZN30" s="31"/>
      <c r="UZO30" s="31"/>
      <c r="UZP30" s="31"/>
      <c r="UZQ30" s="31"/>
      <c r="UZR30" s="31"/>
      <c r="UZS30" s="31"/>
      <c r="UZT30" s="31"/>
      <c r="UZU30" s="31"/>
      <c r="UZV30" s="31"/>
      <c r="UZW30" s="31"/>
      <c r="UZX30" s="31"/>
      <c r="UZY30" s="31"/>
      <c r="UZZ30" s="31"/>
      <c r="VAA30" s="31"/>
      <c r="VAB30" s="31"/>
      <c r="VAC30" s="31"/>
      <c r="VAD30" s="31"/>
      <c r="VAE30" s="31"/>
      <c r="VAF30" s="31"/>
      <c r="VAG30" s="31"/>
      <c r="VAH30" s="31"/>
      <c r="VAI30" s="31"/>
      <c r="VAJ30" s="31"/>
      <c r="VAK30" s="31"/>
      <c r="VAL30" s="31"/>
      <c r="VAM30" s="31"/>
      <c r="VAN30" s="31"/>
      <c r="VAO30" s="31"/>
      <c r="VAP30" s="31"/>
      <c r="VAQ30" s="31"/>
      <c r="VAR30" s="31"/>
      <c r="VAS30" s="31"/>
      <c r="VAT30" s="31"/>
      <c r="VAU30" s="31"/>
      <c r="VAV30" s="31"/>
      <c r="VAW30" s="31"/>
      <c r="VAX30" s="31"/>
      <c r="VAY30" s="31"/>
      <c r="VAZ30" s="31"/>
      <c r="VBA30" s="31"/>
      <c r="VBB30" s="31"/>
      <c r="VBC30" s="31"/>
      <c r="VBD30" s="31"/>
      <c r="VBE30" s="31"/>
      <c r="VBF30" s="31"/>
      <c r="VBG30" s="31"/>
      <c r="VBH30" s="31"/>
      <c r="VBI30" s="31"/>
      <c r="VBJ30" s="31"/>
      <c r="VBK30" s="31"/>
      <c r="VBL30" s="31"/>
      <c r="VBM30" s="31"/>
      <c r="VBN30" s="31"/>
      <c r="VBO30" s="31"/>
      <c r="VBP30" s="31"/>
      <c r="VBQ30" s="31"/>
      <c r="VBR30" s="31"/>
      <c r="VBS30" s="31"/>
      <c r="VBT30" s="31"/>
      <c r="VBU30" s="31"/>
      <c r="VBV30" s="31"/>
      <c r="VBW30" s="31"/>
      <c r="VBX30" s="31"/>
      <c r="VBY30" s="31"/>
      <c r="VBZ30" s="31"/>
      <c r="VCA30" s="31"/>
      <c r="VCB30" s="31"/>
      <c r="VCC30" s="31"/>
      <c r="VCD30" s="31"/>
      <c r="VCE30" s="31"/>
      <c r="VCF30" s="31"/>
      <c r="VCG30" s="31"/>
      <c r="VCH30" s="31"/>
      <c r="VCI30" s="31"/>
      <c r="VCJ30" s="31"/>
      <c r="VCK30" s="31"/>
      <c r="VCL30" s="31"/>
      <c r="VCM30" s="31"/>
      <c r="VCN30" s="31"/>
      <c r="VCO30" s="31"/>
      <c r="VCP30" s="31"/>
      <c r="VCQ30" s="31"/>
      <c r="VCR30" s="31"/>
      <c r="VCS30" s="31"/>
      <c r="VCT30" s="31"/>
      <c r="VCU30" s="31"/>
      <c r="VCV30" s="31"/>
      <c r="VCW30" s="31"/>
      <c r="VCX30" s="31"/>
      <c r="VCY30" s="31"/>
      <c r="VCZ30" s="31"/>
      <c r="VDA30" s="31"/>
      <c r="VDB30" s="31"/>
      <c r="VDC30" s="31"/>
      <c r="VDD30" s="31"/>
      <c r="VDE30" s="31"/>
      <c r="VDF30" s="31"/>
      <c r="VDG30" s="31"/>
      <c r="VDH30" s="31"/>
      <c r="VDI30" s="31"/>
      <c r="VDJ30" s="31"/>
      <c r="VDK30" s="31"/>
      <c r="VDL30" s="31"/>
      <c r="VDM30" s="31"/>
      <c r="VDN30" s="31"/>
      <c r="VDO30" s="31"/>
      <c r="VDP30" s="31"/>
      <c r="VDQ30" s="31"/>
      <c r="VDR30" s="31"/>
      <c r="VDS30" s="31"/>
      <c r="VDT30" s="31"/>
      <c r="VDU30" s="31"/>
      <c r="VDV30" s="31"/>
      <c r="VDW30" s="31"/>
      <c r="VDX30" s="31"/>
      <c r="VDY30" s="31"/>
      <c r="VDZ30" s="31"/>
      <c r="VEA30" s="31"/>
      <c r="VEB30" s="31"/>
      <c r="VEC30" s="31"/>
      <c r="VED30" s="31"/>
      <c r="VEE30" s="31"/>
      <c r="VEF30" s="31"/>
      <c r="VEG30" s="31"/>
      <c r="VEH30" s="31"/>
      <c r="VEI30" s="31"/>
      <c r="VEJ30" s="31"/>
      <c r="VEK30" s="31"/>
      <c r="VEL30" s="31"/>
      <c r="VEM30" s="31"/>
      <c r="VEN30" s="31"/>
      <c r="VEO30" s="31"/>
      <c r="VEP30" s="31"/>
      <c r="VEQ30" s="31"/>
      <c r="VER30" s="31"/>
      <c r="VES30" s="31"/>
      <c r="VET30" s="31"/>
      <c r="VEU30" s="31"/>
      <c r="VEV30" s="31"/>
      <c r="VEW30" s="31"/>
      <c r="VEX30" s="31"/>
      <c r="VEY30" s="31"/>
      <c r="VEZ30" s="31"/>
      <c r="VFA30" s="31"/>
      <c r="VFB30" s="31"/>
      <c r="VFC30" s="31"/>
      <c r="VFD30" s="31"/>
      <c r="VFE30" s="31"/>
      <c r="VFF30" s="31"/>
      <c r="VFG30" s="31"/>
      <c r="VFH30" s="31"/>
      <c r="VFI30" s="31"/>
      <c r="VFJ30" s="31"/>
      <c r="VFK30" s="31"/>
      <c r="VFL30" s="31"/>
      <c r="VFM30" s="31"/>
      <c r="VFN30" s="31"/>
      <c r="VFO30" s="31"/>
      <c r="VFP30" s="31"/>
      <c r="VFQ30" s="31"/>
      <c r="VFR30" s="31"/>
      <c r="VFS30" s="31"/>
      <c r="VFT30" s="31"/>
      <c r="VFU30" s="31"/>
      <c r="VFV30" s="31"/>
      <c r="VFW30" s="31"/>
      <c r="VFX30" s="31"/>
      <c r="VFY30" s="31"/>
      <c r="VFZ30" s="31"/>
      <c r="VGA30" s="31"/>
      <c r="VGB30" s="31"/>
      <c r="VGC30" s="31"/>
      <c r="VGD30" s="31"/>
      <c r="VGE30" s="31"/>
      <c r="VGF30" s="31"/>
      <c r="VGG30" s="31"/>
      <c r="VGH30" s="31"/>
      <c r="VGI30" s="31"/>
      <c r="VGJ30" s="31"/>
      <c r="VGK30" s="31"/>
      <c r="VGL30" s="31"/>
      <c r="VGM30" s="31"/>
      <c r="VGN30" s="31"/>
      <c r="VGO30" s="31"/>
      <c r="VGP30" s="31"/>
      <c r="VGQ30" s="31"/>
      <c r="VGR30" s="31"/>
      <c r="VGS30" s="31"/>
      <c r="VGT30" s="31"/>
      <c r="VGU30" s="31"/>
      <c r="VGV30" s="31"/>
      <c r="VGW30" s="31"/>
      <c r="VGX30" s="31"/>
      <c r="VGY30" s="31"/>
      <c r="VGZ30" s="31"/>
      <c r="VHA30" s="31"/>
      <c r="VHB30" s="31"/>
      <c r="VHC30" s="31"/>
      <c r="VHD30" s="31"/>
      <c r="VHE30" s="31"/>
      <c r="VHF30" s="31"/>
      <c r="VHG30" s="31"/>
      <c r="VHH30" s="31"/>
      <c r="VHI30" s="31"/>
      <c r="VHJ30" s="31"/>
      <c r="VHK30" s="31"/>
      <c r="VHL30" s="31"/>
      <c r="VHM30" s="31"/>
      <c r="VHN30" s="31"/>
      <c r="VHO30" s="31"/>
      <c r="VHP30" s="31"/>
      <c r="VHQ30" s="31"/>
      <c r="VHR30" s="31"/>
      <c r="VHS30" s="31"/>
      <c r="VHT30" s="31"/>
      <c r="VHU30" s="31"/>
      <c r="VHV30" s="31"/>
      <c r="VHW30" s="31"/>
      <c r="VHX30" s="31"/>
      <c r="VHY30" s="31"/>
      <c r="VHZ30" s="31"/>
      <c r="VIA30" s="31"/>
      <c r="VIB30" s="31"/>
      <c r="VIC30" s="31"/>
      <c r="VID30" s="31"/>
      <c r="VIE30" s="31"/>
      <c r="VIF30" s="31"/>
      <c r="VIG30" s="31"/>
      <c r="VIH30" s="31"/>
      <c r="VII30" s="31"/>
      <c r="VIJ30" s="31"/>
      <c r="VIK30" s="31"/>
      <c r="VIL30" s="31"/>
      <c r="VIM30" s="31"/>
      <c r="VIN30" s="31"/>
      <c r="VIO30" s="31"/>
      <c r="VIP30" s="31"/>
      <c r="VIQ30" s="31"/>
      <c r="VIR30" s="31"/>
      <c r="VIS30" s="31"/>
      <c r="VIT30" s="31"/>
      <c r="VIU30" s="31"/>
      <c r="VIV30" s="31"/>
      <c r="VIW30" s="31"/>
      <c r="VIX30" s="31"/>
      <c r="VIY30" s="31"/>
      <c r="VIZ30" s="31"/>
      <c r="VJA30" s="31"/>
      <c r="VJB30" s="31"/>
      <c r="VJC30" s="31"/>
      <c r="VJD30" s="31"/>
      <c r="VJE30" s="31"/>
      <c r="VJF30" s="31"/>
      <c r="VJG30" s="31"/>
      <c r="VJH30" s="31"/>
      <c r="VJI30" s="31"/>
      <c r="VJJ30" s="31"/>
      <c r="VJK30" s="31"/>
      <c r="VJL30" s="31"/>
      <c r="VJM30" s="31"/>
      <c r="VJN30" s="31"/>
      <c r="VJO30" s="31"/>
      <c r="VJP30" s="31"/>
      <c r="VJQ30" s="31"/>
      <c r="VJR30" s="31"/>
      <c r="VJS30" s="31"/>
      <c r="VJT30" s="31"/>
      <c r="VJU30" s="31"/>
      <c r="VJV30" s="31"/>
      <c r="VJW30" s="31"/>
      <c r="VJX30" s="31"/>
      <c r="VJY30" s="31"/>
      <c r="VJZ30" s="31"/>
      <c r="VKA30" s="31"/>
      <c r="VKB30" s="31"/>
      <c r="VKC30" s="31"/>
      <c r="VKD30" s="31"/>
      <c r="VKE30" s="31"/>
      <c r="VKF30" s="31"/>
      <c r="VKG30" s="31"/>
      <c r="VKH30" s="31"/>
      <c r="VKI30" s="31"/>
      <c r="VKJ30" s="31"/>
      <c r="VKK30" s="31"/>
      <c r="VKL30" s="31"/>
      <c r="VKM30" s="31"/>
      <c r="VKN30" s="31"/>
      <c r="VKO30" s="31"/>
      <c r="VKP30" s="31"/>
      <c r="VKQ30" s="31"/>
      <c r="VKR30" s="31"/>
      <c r="VKS30" s="31"/>
      <c r="VKT30" s="31"/>
      <c r="VKU30" s="31"/>
      <c r="VKV30" s="31"/>
      <c r="VKW30" s="31"/>
      <c r="VKX30" s="31"/>
      <c r="VKY30" s="31"/>
      <c r="VKZ30" s="31"/>
      <c r="VLA30" s="31"/>
      <c r="VLB30" s="31"/>
      <c r="VLC30" s="31"/>
      <c r="VLD30" s="31"/>
      <c r="VLE30" s="31"/>
      <c r="VLF30" s="31"/>
      <c r="VLG30" s="31"/>
      <c r="VLH30" s="31"/>
      <c r="VLI30" s="31"/>
      <c r="VLJ30" s="31"/>
      <c r="VLK30" s="31"/>
      <c r="VLL30" s="31"/>
      <c r="VLM30" s="31"/>
      <c r="VLN30" s="31"/>
      <c r="VLO30" s="31"/>
      <c r="VLP30" s="31"/>
      <c r="VLQ30" s="31"/>
      <c r="VLR30" s="31"/>
      <c r="VLS30" s="31"/>
      <c r="VLT30" s="31"/>
      <c r="VLU30" s="31"/>
      <c r="VLV30" s="31"/>
      <c r="VLW30" s="31"/>
      <c r="VLX30" s="31"/>
      <c r="VLY30" s="31"/>
      <c r="VLZ30" s="31"/>
      <c r="VMA30" s="31"/>
      <c r="VMB30" s="31"/>
      <c r="VMC30" s="31"/>
      <c r="VMD30" s="31"/>
      <c r="VME30" s="31"/>
      <c r="VMF30" s="31"/>
      <c r="VMG30" s="31"/>
      <c r="VMH30" s="31"/>
      <c r="VMI30" s="31"/>
      <c r="VMJ30" s="31"/>
      <c r="VMK30" s="31"/>
      <c r="VML30" s="31"/>
      <c r="VMM30" s="31"/>
      <c r="VMN30" s="31"/>
      <c r="VMO30" s="31"/>
      <c r="VMP30" s="31"/>
      <c r="VMQ30" s="31"/>
      <c r="VMR30" s="31"/>
      <c r="VMS30" s="31"/>
      <c r="VMT30" s="31"/>
      <c r="VMU30" s="31"/>
      <c r="VMV30" s="31"/>
      <c r="VMW30" s="31"/>
      <c r="VMX30" s="31"/>
      <c r="VMY30" s="31"/>
      <c r="VMZ30" s="31"/>
      <c r="VNA30" s="31"/>
      <c r="VNB30" s="31"/>
      <c r="VNC30" s="31"/>
      <c r="VND30" s="31"/>
      <c r="VNE30" s="31"/>
      <c r="VNF30" s="31"/>
      <c r="VNG30" s="31"/>
      <c r="VNH30" s="31"/>
      <c r="VNI30" s="31"/>
      <c r="VNJ30" s="31"/>
      <c r="VNK30" s="31"/>
      <c r="VNL30" s="31"/>
      <c r="VNM30" s="31"/>
      <c r="VNN30" s="31"/>
      <c r="VNO30" s="31"/>
      <c r="VNP30" s="31"/>
      <c r="VNQ30" s="31"/>
      <c r="VNR30" s="31"/>
      <c r="VNS30" s="31"/>
      <c r="VNT30" s="31"/>
      <c r="VNU30" s="31"/>
      <c r="VNV30" s="31"/>
      <c r="VNW30" s="31"/>
      <c r="VNX30" s="31"/>
      <c r="VNY30" s="31"/>
      <c r="VNZ30" s="31"/>
      <c r="VOA30" s="31"/>
      <c r="VOB30" s="31"/>
      <c r="VOC30" s="31"/>
      <c r="VOD30" s="31"/>
      <c r="VOE30" s="31"/>
      <c r="VOF30" s="31"/>
      <c r="VOG30" s="31"/>
      <c r="VOH30" s="31"/>
      <c r="VOI30" s="31"/>
      <c r="VOJ30" s="31"/>
      <c r="VOK30" s="31"/>
      <c r="VOL30" s="31"/>
      <c r="VOM30" s="31"/>
      <c r="VON30" s="31"/>
      <c r="VOO30" s="31"/>
      <c r="VOP30" s="31"/>
      <c r="VOQ30" s="31"/>
      <c r="VOR30" s="31"/>
      <c r="VOS30" s="31"/>
      <c r="VOT30" s="31"/>
      <c r="VOU30" s="31"/>
      <c r="VOV30" s="31"/>
      <c r="VOW30" s="31"/>
      <c r="VOX30" s="31"/>
      <c r="VOY30" s="31"/>
      <c r="VOZ30" s="31"/>
      <c r="VPA30" s="31"/>
      <c r="VPB30" s="31"/>
      <c r="VPC30" s="31"/>
      <c r="VPD30" s="31"/>
      <c r="VPE30" s="31"/>
      <c r="VPF30" s="31"/>
      <c r="VPG30" s="31"/>
      <c r="VPH30" s="31"/>
      <c r="VPI30" s="31"/>
      <c r="VPJ30" s="31"/>
      <c r="VPK30" s="31"/>
      <c r="VPL30" s="31"/>
      <c r="VPM30" s="31"/>
      <c r="VPN30" s="31"/>
      <c r="VPO30" s="31"/>
      <c r="VPP30" s="31"/>
      <c r="VPQ30" s="31"/>
      <c r="VPR30" s="31"/>
      <c r="VPS30" s="31"/>
      <c r="VPT30" s="31"/>
      <c r="VPU30" s="31"/>
      <c r="VPV30" s="31"/>
      <c r="VPW30" s="31"/>
      <c r="VPX30" s="31"/>
      <c r="VPY30" s="31"/>
      <c r="VPZ30" s="31"/>
      <c r="VQA30" s="31"/>
      <c r="VQB30" s="31"/>
      <c r="VQC30" s="31"/>
      <c r="VQD30" s="31"/>
      <c r="VQE30" s="31"/>
      <c r="VQF30" s="31"/>
      <c r="VQG30" s="31"/>
      <c r="VQH30" s="31"/>
      <c r="VQI30" s="31"/>
      <c r="VQJ30" s="31"/>
      <c r="VQK30" s="31"/>
      <c r="VQL30" s="31"/>
      <c r="VQM30" s="31"/>
      <c r="VQN30" s="31"/>
      <c r="VQO30" s="31"/>
      <c r="VQP30" s="31"/>
      <c r="VQQ30" s="31"/>
      <c r="VQR30" s="31"/>
      <c r="VQS30" s="31"/>
      <c r="VQT30" s="31"/>
      <c r="VQU30" s="31"/>
      <c r="VQV30" s="31"/>
      <c r="VQW30" s="31"/>
      <c r="VQX30" s="31"/>
      <c r="VQY30" s="31"/>
      <c r="VQZ30" s="31"/>
      <c r="VRA30" s="31"/>
      <c r="VRB30" s="31"/>
      <c r="VRC30" s="31"/>
      <c r="VRD30" s="31"/>
      <c r="VRE30" s="31"/>
      <c r="VRF30" s="31"/>
      <c r="VRG30" s="31"/>
      <c r="VRH30" s="31"/>
      <c r="VRI30" s="31"/>
      <c r="VRJ30" s="31"/>
      <c r="VRK30" s="31"/>
      <c r="VRL30" s="31"/>
      <c r="VRM30" s="31"/>
      <c r="VRN30" s="31"/>
      <c r="VRO30" s="31"/>
      <c r="VRP30" s="31"/>
      <c r="VRQ30" s="31"/>
      <c r="VRR30" s="31"/>
      <c r="VRS30" s="31"/>
      <c r="VRT30" s="31"/>
      <c r="VRU30" s="31"/>
      <c r="VRV30" s="31"/>
      <c r="VRW30" s="31"/>
      <c r="VRX30" s="31"/>
      <c r="VRY30" s="31"/>
      <c r="VRZ30" s="31"/>
      <c r="VSA30" s="31"/>
      <c r="VSB30" s="31"/>
      <c r="VSC30" s="31"/>
      <c r="VSD30" s="31"/>
      <c r="VSE30" s="31"/>
      <c r="VSF30" s="31"/>
      <c r="VSG30" s="31"/>
      <c r="VSH30" s="31"/>
      <c r="VSI30" s="31"/>
      <c r="VSJ30" s="31"/>
      <c r="VSK30" s="31"/>
      <c r="VSL30" s="31"/>
      <c r="VSM30" s="31"/>
      <c r="VSN30" s="31"/>
      <c r="VSO30" s="31"/>
      <c r="VSP30" s="31"/>
      <c r="VSQ30" s="31"/>
      <c r="VSR30" s="31"/>
      <c r="VSS30" s="31"/>
      <c r="VST30" s="31"/>
      <c r="VSU30" s="31"/>
      <c r="VSV30" s="31"/>
      <c r="VSW30" s="31"/>
      <c r="VSX30" s="31"/>
      <c r="VSY30" s="31"/>
      <c r="VSZ30" s="31"/>
      <c r="VTA30" s="31"/>
      <c r="VTB30" s="31"/>
      <c r="VTC30" s="31"/>
      <c r="VTD30" s="31"/>
      <c r="VTE30" s="31"/>
      <c r="VTF30" s="31"/>
      <c r="VTG30" s="31"/>
      <c r="VTH30" s="31"/>
      <c r="VTI30" s="31"/>
      <c r="VTJ30" s="31"/>
      <c r="VTK30" s="31"/>
      <c r="VTL30" s="31"/>
      <c r="VTM30" s="31"/>
      <c r="VTN30" s="31"/>
      <c r="VTO30" s="31"/>
      <c r="VTP30" s="31"/>
      <c r="VTQ30" s="31"/>
      <c r="VTR30" s="31"/>
      <c r="VTS30" s="31"/>
      <c r="VTT30" s="31"/>
      <c r="VTU30" s="31"/>
      <c r="VTV30" s="31"/>
      <c r="VTW30" s="31"/>
      <c r="VTX30" s="31"/>
      <c r="VTY30" s="31"/>
      <c r="VTZ30" s="31"/>
      <c r="VUA30" s="31"/>
      <c r="VUB30" s="31"/>
      <c r="VUC30" s="31"/>
      <c r="VUD30" s="31"/>
      <c r="VUE30" s="31"/>
      <c r="VUF30" s="31"/>
      <c r="VUG30" s="31"/>
      <c r="VUH30" s="31"/>
      <c r="VUI30" s="31"/>
      <c r="VUJ30" s="31"/>
      <c r="VUK30" s="31"/>
      <c r="VUL30" s="31"/>
      <c r="VUM30" s="31"/>
      <c r="VUN30" s="31"/>
      <c r="VUO30" s="31"/>
      <c r="VUP30" s="31"/>
      <c r="VUQ30" s="31"/>
      <c r="VUR30" s="31"/>
      <c r="VUS30" s="31"/>
      <c r="VUT30" s="31"/>
      <c r="VUU30" s="31"/>
      <c r="VUV30" s="31"/>
      <c r="VUW30" s="31"/>
      <c r="VUX30" s="31"/>
      <c r="VUY30" s="31"/>
      <c r="VUZ30" s="31"/>
      <c r="VVA30" s="31"/>
      <c r="VVB30" s="31"/>
      <c r="VVC30" s="31"/>
      <c r="VVD30" s="31"/>
      <c r="VVE30" s="31"/>
      <c r="VVF30" s="31"/>
      <c r="VVG30" s="31"/>
      <c r="VVH30" s="31"/>
      <c r="VVI30" s="31"/>
      <c r="VVJ30" s="31"/>
      <c r="VVK30" s="31"/>
      <c r="VVL30" s="31"/>
      <c r="VVM30" s="31"/>
      <c r="VVN30" s="31"/>
      <c r="VVO30" s="31"/>
      <c r="VVP30" s="31"/>
      <c r="VVQ30" s="31"/>
      <c r="VVR30" s="31"/>
      <c r="VVS30" s="31"/>
      <c r="VVT30" s="31"/>
      <c r="VVU30" s="31"/>
      <c r="VVV30" s="31"/>
      <c r="VVW30" s="31"/>
      <c r="VVX30" s="31"/>
      <c r="VVY30" s="31"/>
      <c r="VVZ30" s="31"/>
      <c r="VWA30" s="31"/>
      <c r="VWB30" s="31"/>
      <c r="VWC30" s="31"/>
      <c r="VWD30" s="31"/>
      <c r="VWE30" s="31"/>
      <c r="VWF30" s="31"/>
      <c r="VWG30" s="31"/>
      <c r="VWH30" s="31"/>
      <c r="VWI30" s="31"/>
      <c r="VWJ30" s="31"/>
      <c r="VWK30" s="31"/>
      <c r="VWL30" s="31"/>
      <c r="VWM30" s="31"/>
      <c r="VWN30" s="31"/>
      <c r="VWO30" s="31"/>
      <c r="VWP30" s="31"/>
      <c r="VWQ30" s="31"/>
      <c r="VWR30" s="31"/>
      <c r="VWS30" s="31"/>
      <c r="VWT30" s="31"/>
      <c r="VWU30" s="31"/>
      <c r="VWV30" s="31"/>
      <c r="VWW30" s="31"/>
      <c r="VWX30" s="31"/>
      <c r="VWY30" s="31"/>
      <c r="VWZ30" s="31"/>
      <c r="VXA30" s="31"/>
      <c r="VXB30" s="31"/>
      <c r="VXC30" s="31"/>
      <c r="VXD30" s="31"/>
      <c r="VXE30" s="31"/>
      <c r="VXF30" s="31"/>
      <c r="VXG30" s="31"/>
      <c r="VXH30" s="31"/>
      <c r="VXI30" s="31"/>
      <c r="VXJ30" s="31"/>
      <c r="VXK30" s="31"/>
      <c r="VXL30" s="31"/>
      <c r="VXM30" s="31"/>
      <c r="VXN30" s="31"/>
      <c r="VXO30" s="31"/>
      <c r="VXP30" s="31"/>
      <c r="VXQ30" s="31"/>
      <c r="VXR30" s="31"/>
      <c r="VXS30" s="31"/>
      <c r="VXT30" s="31"/>
      <c r="VXU30" s="31"/>
      <c r="VXV30" s="31"/>
      <c r="VXW30" s="31"/>
      <c r="VXX30" s="31"/>
      <c r="VXY30" s="31"/>
      <c r="VXZ30" s="31"/>
      <c r="VYA30" s="31"/>
      <c r="VYB30" s="31"/>
      <c r="VYC30" s="31"/>
      <c r="VYD30" s="31"/>
      <c r="VYE30" s="31"/>
      <c r="VYF30" s="31"/>
      <c r="VYG30" s="31"/>
      <c r="VYH30" s="31"/>
      <c r="VYI30" s="31"/>
      <c r="VYJ30" s="31"/>
      <c r="VYK30" s="31"/>
      <c r="VYL30" s="31"/>
      <c r="VYM30" s="31"/>
      <c r="VYN30" s="31"/>
      <c r="VYO30" s="31"/>
      <c r="VYP30" s="31"/>
      <c r="VYQ30" s="31"/>
      <c r="VYR30" s="31"/>
      <c r="VYS30" s="31"/>
      <c r="VYT30" s="31"/>
      <c r="VYU30" s="31"/>
      <c r="VYV30" s="31"/>
      <c r="VYW30" s="31"/>
      <c r="VYX30" s="31"/>
      <c r="VYY30" s="31"/>
      <c r="VYZ30" s="31"/>
      <c r="VZA30" s="31"/>
      <c r="VZB30" s="31"/>
      <c r="VZC30" s="31"/>
      <c r="VZD30" s="31"/>
      <c r="VZE30" s="31"/>
      <c r="VZF30" s="31"/>
      <c r="VZG30" s="31"/>
      <c r="VZH30" s="31"/>
      <c r="VZI30" s="31"/>
      <c r="VZJ30" s="31"/>
      <c r="VZK30" s="31"/>
      <c r="VZL30" s="31"/>
      <c r="VZM30" s="31"/>
      <c r="VZN30" s="31"/>
      <c r="VZO30" s="31"/>
      <c r="VZP30" s="31"/>
      <c r="VZQ30" s="31"/>
      <c r="VZR30" s="31"/>
      <c r="VZS30" s="31"/>
      <c r="VZT30" s="31"/>
      <c r="VZU30" s="31"/>
      <c r="VZV30" s="31"/>
      <c r="VZW30" s="31"/>
      <c r="VZX30" s="31"/>
      <c r="VZY30" s="31"/>
      <c r="VZZ30" s="31"/>
      <c r="WAA30" s="31"/>
      <c r="WAB30" s="31"/>
      <c r="WAC30" s="31"/>
      <c r="WAD30" s="31"/>
      <c r="WAE30" s="31"/>
      <c r="WAF30" s="31"/>
      <c r="WAG30" s="31"/>
      <c r="WAH30" s="31"/>
      <c r="WAI30" s="31"/>
      <c r="WAJ30" s="31"/>
      <c r="WAK30" s="31"/>
      <c r="WAL30" s="31"/>
      <c r="WAM30" s="31"/>
      <c r="WAN30" s="31"/>
      <c r="WAO30" s="31"/>
      <c r="WAP30" s="31"/>
      <c r="WAQ30" s="31"/>
      <c r="WAR30" s="31"/>
      <c r="WAS30" s="31"/>
      <c r="WAT30" s="31"/>
      <c r="WAU30" s="31"/>
      <c r="WAV30" s="31"/>
      <c r="WAW30" s="31"/>
      <c r="WAX30" s="31"/>
      <c r="WAY30" s="31"/>
      <c r="WAZ30" s="31"/>
      <c r="WBA30" s="31"/>
      <c r="WBB30" s="31"/>
      <c r="WBC30" s="31"/>
      <c r="WBD30" s="31"/>
      <c r="WBE30" s="31"/>
      <c r="WBF30" s="31"/>
      <c r="WBG30" s="31"/>
      <c r="WBH30" s="31"/>
      <c r="WBI30" s="31"/>
      <c r="WBJ30" s="31"/>
      <c r="WBK30" s="31"/>
      <c r="WBL30" s="31"/>
      <c r="WBM30" s="31"/>
      <c r="WBN30" s="31"/>
      <c r="WBO30" s="31"/>
      <c r="WBP30" s="31"/>
      <c r="WBQ30" s="31"/>
      <c r="WBR30" s="31"/>
      <c r="WBS30" s="31"/>
      <c r="WBT30" s="31"/>
      <c r="WBU30" s="31"/>
      <c r="WBV30" s="31"/>
      <c r="WBW30" s="31"/>
      <c r="WBX30" s="31"/>
      <c r="WBY30" s="31"/>
      <c r="WBZ30" s="31"/>
      <c r="WCA30" s="31"/>
      <c r="WCB30" s="31"/>
      <c r="WCC30" s="31"/>
      <c r="WCD30" s="31"/>
      <c r="WCE30" s="31"/>
      <c r="WCF30" s="31"/>
      <c r="WCG30" s="31"/>
      <c r="WCH30" s="31"/>
      <c r="WCI30" s="31"/>
      <c r="WCJ30" s="31"/>
      <c r="WCK30" s="31"/>
      <c r="WCL30" s="31"/>
      <c r="WCM30" s="31"/>
      <c r="WCN30" s="31"/>
      <c r="WCO30" s="31"/>
      <c r="WCP30" s="31"/>
      <c r="WCQ30" s="31"/>
      <c r="WCR30" s="31"/>
      <c r="WCS30" s="31"/>
      <c r="WCT30" s="31"/>
      <c r="WCU30" s="31"/>
      <c r="WCV30" s="31"/>
      <c r="WCW30" s="31"/>
      <c r="WCX30" s="31"/>
      <c r="WCY30" s="31"/>
      <c r="WCZ30" s="31"/>
      <c r="WDA30" s="31"/>
      <c r="WDB30" s="31"/>
      <c r="WDC30" s="31"/>
      <c r="WDD30" s="31"/>
      <c r="WDE30" s="31"/>
      <c r="WDF30" s="31"/>
      <c r="WDG30" s="31"/>
      <c r="WDH30" s="31"/>
      <c r="WDI30" s="31"/>
      <c r="WDJ30" s="31"/>
      <c r="WDK30" s="31"/>
      <c r="WDL30" s="31"/>
      <c r="WDM30" s="31"/>
      <c r="WDN30" s="31"/>
      <c r="WDO30" s="31"/>
      <c r="WDP30" s="31"/>
      <c r="WDQ30" s="31"/>
      <c r="WDR30" s="31"/>
      <c r="WDS30" s="31"/>
      <c r="WDT30" s="31"/>
      <c r="WDU30" s="31"/>
      <c r="WDV30" s="31"/>
      <c r="WDW30" s="31"/>
      <c r="WDX30" s="31"/>
      <c r="WDY30" s="31"/>
      <c r="WDZ30" s="31"/>
      <c r="WEA30" s="31"/>
      <c r="WEB30" s="31"/>
      <c r="WEC30" s="31"/>
      <c r="WED30" s="31"/>
      <c r="WEE30" s="31"/>
      <c r="WEF30" s="31"/>
      <c r="WEG30" s="31"/>
      <c r="WEH30" s="31"/>
      <c r="WEI30" s="31"/>
      <c r="WEJ30" s="31"/>
      <c r="WEK30" s="31"/>
      <c r="WEL30" s="31"/>
      <c r="WEM30" s="31"/>
      <c r="WEN30" s="31"/>
      <c r="WEO30" s="31"/>
      <c r="WEP30" s="31"/>
      <c r="WEQ30" s="31"/>
      <c r="WER30" s="31"/>
      <c r="WES30" s="31"/>
      <c r="WET30" s="31"/>
      <c r="WEU30" s="31"/>
      <c r="WEV30" s="31"/>
      <c r="WEW30" s="31"/>
      <c r="WEX30" s="31"/>
      <c r="WEY30" s="31"/>
      <c r="WEZ30" s="31"/>
      <c r="WFA30" s="31"/>
      <c r="WFB30" s="31"/>
      <c r="WFC30" s="31"/>
      <c r="WFD30" s="31"/>
      <c r="WFE30" s="31"/>
      <c r="WFF30" s="31"/>
      <c r="WFG30" s="31"/>
      <c r="WFH30" s="31"/>
      <c r="WFI30" s="31"/>
      <c r="WFJ30" s="31"/>
      <c r="WFK30" s="31"/>
      <c r="WFL30" s="31"/>
      <c r="WFM30" s="31"/>
      <c r="WFN30" s="31"/>
      <c r="WFO30" s="31"/>
      <c r="WFP30" s="31"/>
      <c r="WFQ30" s="31"/>
      <c r="WFR30" s="31"/>
      <c r="WFS30" s="31"/>
      <c r="WFT30" s="31"/>
      <c r="WFU30" s="31"/>
      <c r="WFV30" s="31"/>
      <c r="WFW30" s="31"/>
      <c r="WFX30" s="31"/>
      <c r="WFY30" s="31"/>
      <c r="WFZ30" s="31"/>
      <c r="WGA30" s="31"/>
      <c r="WGB30" s="31"/>
      <c r="WGC30" s="31"/>
      <c r="WGD30" s="31"/>
      <c r="WGE30" s="31"/>
      <c r="WGF30" s="31"/>
      <c r="WGG30" s="31"/>
      <c r="WGH30" s="31"/>
      <c r="WGI30" s="31"/>
      <c r="WGJ30" s="31"/>
      <c r="WGK30" s="31"/>
      <c r="WGL30" s="31"/>
      <c r="WGM30" s="31"/>
      <c r="WGN30" s="31"/>
      <c r="WGO30" s="31"/>
      <c r="WGP30" s="31"/>
      <c r="WGQ30" s="31"/>
      <c r="WGR30" s="31"/>
      <c r="WGS30" s="31"/>
      <c r="WGT30" s="31"/>
      <c r="WGU30" s="31"/>
      <c r="WGV30" s="31"/>
      <c r="WGW30" s="31"/>
      <c r="WGX30" s="31"/>
      <c r="WGY30" s="31"/>
      <c r="WGZ30" s="31"/>
      <c r="WHA30" s="31"/>
      <c r="WHB30" s="31"/>
      <c r="WHC30" s="31"/>
      <c r="WHD30" s="31"/>
      <c r="WHE30" s="31"/>
      <c r="WHF30" s="31"/>
      <c r="WHG30" s="31"/>
      <c r="WHH30" s="31"/>
      <c r="WHI30" s="31"/>
      <c r="WHJ30" s="31"/>
      <c r="WHK30" s="31"/>
      <c r="WHL30" s="31"/>
      <c r="WHM30" s="31"/>
      <c r="WHN30" s="31"/>
      <c r="WHO30" s="31"/>
      <c r="WHP30" s="31"/>
      <c r="WHQ30" s="31"/>
      <c r="WHR30" s="31"/>
      <c r="WHS30" s="31"/>
      <c r="WHT30" s="31"/>
      <c r="WHU30" s="31"/>
      <c r="WHV30" s="31"/>
      <c r="WHW30" s="31"/>
      <c r="WHX30" s="31"/>
      <c r="WHY30" s="31"/>
      <c r="WHZ30" s="31"/>
      <c r="WIA30" s="31"/>
      <c r="WIB30" s="31"/>
      <c r="WIC30" s="31"/>
      <c r="WID30" s="31"/>
      <c r="WIE30" s="31"/>
      <c r="WIF30" s="31"/>
      <c r="WIG30" s="31"/>
      <c r="WIH30" s="31"/>
      <c r="WII30" s="31"/>
      <c r="WIJ30" s="31"/>
      <c r="WIK30" s="31"/>
      <c r="WIL30" s="31"/>
      <c r="WIM30" s="31"/>
      <c r="WIN30" s="31"/>
      <c r="WIO30" s="31"/>
      <c r="WIP30" s="31"/>
      <c r="WIQ30" s="31"/>
      <c r="WIR30" s="31"/>
      <c r="WIS30" s="31"/>
      <c r="WIT30" s="31"/>
      <c r="WIU30" s="31"/>
      <c r="WIV30" s="31"/>
      <c r="WIW30" s="31"/>
      <c r="WIX30" s="31"/>
      <c r="WIY30" s="31"/>
      <c r="WIZ30" s="31"/>
      <c r="WJA30" s="31"/>
      <c r="WJB30" s="31"/>
      <c r="WJC30" s="31"/>
      <c r="WJD30" s="31"/>
      <c r="WJE30" s="31"/>
      <c r="WJF30" s="31"/>
      <c r="WJG30" s="31"/>
      <c r="WJH30" s="31"/>
      <c r="WJI30" s="31"/>
      <c r="WJJ30" s="31"/>
      <c r="WJK30" s="31"/>
      <c r="WJL30" s="31"/>
      <c r="WJM30" s="31"/>
      <c r="WJN30" s="31"/>
      <c r="WJO30" s="31"/>
      <c r="WJP30" s="31"/>
      <c r="WJQ30" s="31"/>
      <c r="WJR30" s="31"/>
      <c r="WJS30" s="31"/>
      <c r="WJT30" s="31"/>
      <c r="WJU30" s="31"/>
      <c r="WJV30" s="31"/>
      <c r="WJW30" s="31"/>
      <c r="WJX30" s="31"/>
      <c r="WJY30" s="31"/>
      <c r="WJZ30" s="31"/>
      <c r="WKA30" s="31"/>
      <c r="WKB30" s="31"/>
      <c r="WKC30" s="31"/>
      <c r="WKD30" s="31"/>
      <c r="WKE30" s="31"/>
      <c r="WKF30" s="31"/>
      <c r="WKG30" s="31"/>
      <c r="WKH30" s="31"/>
      <c r="WKI30" s="31"/>
      <c r="WKJ30" s="31"/>
      <c r="WKK30" s="31"/>
      <c r="WKL30" s="31"/>
      <c r="WKM30" s="31"/>
      <c r="WKN30" s="31"/>
      <c r="WKO30" s="31"/>
      <c r="WKP30" s="31"/>
      <c r="WKQ30" s="31"/>
      <c r="WKR30" s="31"/>
      <c r="WKS30" s="31"/>
      <c r="WKT30" s="31"/>
      <c r="WKU30" s="31"/>
      <c r="WKV30" s="31"/>
      <c r="WKW30" s="31"/>
      <c r="WKX30" s="31"/>
      <c r="WKY30" s="31"/>
      <c r="WKZ30" s="31"/>
      <c r="WLA30" s="31"/>
      <c r="WLB30" s="31"/>
      <c r="WLC30" s="31"/>
      <c r="WLD30" s="31"/>
      <c r="WLE30" s="31"/>
      <c r="WLF30" s="31"/>
      <c r="WLG30" s="31"/>
      <c r="WLH30" s="31"/>
      <c r="WLI30" s="31"/>
      <c r="WLJ30" s="31"/>
      <c r="WLK30" s="31"/>
      <c r="WLL30" s="31"/>
      <c r="WLM30" s="31"/>
      <c r="WLN30" s="31"/>
      <c r="WLO30" s="31"/>
      <c r="WLP30" s="31"/>
      <c r="WLQ30" s="31"/>
      <c r="WLR30" s="31"/>
      <c r="WLS30" s="31"/>
      <c r="WLT30" s="31"/>
      <c r="WLU30" s="31"/>
      <c r="WLV30" s="31"/>
      <c r="WLW30" s="31"/>
      <c r="WLX30" s="31"/>
      <c r="WLY30" s="31"/>
      <c r="WLZ30" s="31"/>
      <c r="WMA30" s="31"/>
      <c r="WMB30" s="31"/>
      <c r="WMC30" s="31"/>
      <c r="WMD30" s="31"/>
      <c r="WME30" s="31"/>
      <c r="WMF30" s="31"/>
      <c r="WMG30" s="31"/>
      <c r="WMH30" s="31"/>
      <c r="WMI30" s="31"/>
      <c r="WMJ30" s="31"/>
      <c r="WMK30" s="31"/>
      <c r="WML30" s="31"/>
      <c r="WMM30" s="31"/>
      <c r="WMN30" s="31"/>
      <c r="WMO30" s="31"/>
      <c r="WMP30" s="31"/>
      <c r="WMQ30" s="31"/>
      <c r="WMR30" s="31"/>
      <c r="WMS30" s="31"/>
      <c r="WMT30" s="31"/>
      <c r="WMU30" s="31"/>
      <c r="WMV30" s="31"/>
      <c r="WMW30" s="31"/>
      <c r="WMX30" s="31"/>
      <c r="WMY30" s="31"/>
      <c r="WMZ30" s="31"/>
      <c r="WNA30" s="31"/>
      <c r="WNB30" s="31"/>
      <c r="WNC30" s="31"/>
      <c r="WND30" s="31"/>
      <c r="WNE30" s="31"/>
      <c r="WNF30" s="31"/>
      <c r="WNG30" s="31"/>
      <c r="WNH30" s="31"/>
      <c r="WNI30" s="31"/>
      <c r="WNJ30" s="31"/>
      <c r="WNK30" s="31"/>
      <c r="WNL30" s="31"/>
      <c r="WNM30" s="31"/>
      <c r="WNN30" s="31"/>
      <c r="WNO30" s="31"/>
      <c r="WNP30" s="31"/>
      <c r="WNQ30" s="31"/>
      <c r="WNR30" s="31"/>
      <c r="WNS30" s="31"/>
      <c r="WNT30" s="31"/>
      <c r="WNU30" s="31"/>
      <c r="WNV30" s="31"/>
      <c r="WNW30" s="31"/>
      <c r="WNX30" s="31"/>
      <c r="WNY30" s="31"/>
      <c r="WNZ30" s="31"/>
      <c r="WOA30" s="31"/>
      <c r="WOB30" s="31"/>
      <c r="WOC30" s="31"/>
      <c r="WOD30" s="31"/>
      <c r="WOE30" s="31"/>
      <c r="WOF30" s="31"/>
      <c r="WOG30" s="31"/>
      <c r="WOH30" s="31"/>
      <c r="WOI30" s="31"/>
      <c r="WOJ30" s="31"/>
      <c r="WOK30" s="31"/>
      <c r="WOL30" s="31"/>
      <c r="WOM30" s="31"/>
      <c r="WON30" s="31"/>
      <c r="WOO30" s="31"/>
      <c r="WOP30" s="31"/>
      <c r="WOQ30" s="31"/>
      <c r="WOR30" s="31"/>
      <c r="WOS30" s="31"/>
      <c r="WOT30" s="31"/>
      <c r="WOU30" s="31"/>
      <c r="WOV30" s="31"/>
      <c r="WOW30" s="31"/>
      <c r="WOX30" s="31"/>
      <c r="WOY30" s="31"/>
      <c r="WOZ30" s="31"/>
      <c r="WPA30" s="31"/>
      <c r="WPB30" s="31"/>
      <c r="WPC30" s="31"/>
      <c r="WPD30" s="31"/>
      <c r="WPE30" s="31"/>
      <c r="WPF30" s="31"/>
      <c r="WPG30" s="31"/>
      <c r="WPH30" s="31"/>
      <c r="WPI30" s="31"/>
      <c r="WPJ30" s="31"/>
      <c r="WPK30" s="31"/>
      <c r="WPL30" s="31"/>
      <c r="WPM30" s="31"/>
      <c r="WPN30" s="31"/>
      <c r="WPO30" s="31"/>
      <c r="WPP30" s="31"/>
      <c r="WPQ30" s="31"/>
      <c r="WPR30" s="31"/>
      <c r="WPS30" s="31"/>
      <c r="WPT30" s="31"/>
      <c r="WPU30" s="31"/>
      <c r="WPV30" s="31"/>
      <c r="WPW30" s="31"/>
      <c r="WPX30" s="31"/>
      <c r="WPY30" s="31"/>
      <c r="WPZ30" s="31"/>
      <c r="WQA30" s="31"/>
      <c r="WQB30" s="31"/>
      <c r="WQC30" s="31"/>
      <c r="WQD30" s="31"/>
      <c r="WQE30" s="31"/>
      <c r="WQF30" s="31"/>
      <c r="WQG30" s="31"/>
      <c r="WQH30" s="31"/>
      <c r="WQI30" s="31"/>
      <c r="WQJ30" s="31"/>
      <c r="WQK30" s="31"/>
      <c r="WQL30" s="31"/>
      <c r="WQM30" s="31"/>
      <c r="WQN30" s="31"/>
      <c r="WQO30" s="31"/>
      <c r="WQP30" s="31"/>
      <c r="WQQ30" s="31"/>
      <c r="WQR30" s="31"/>
      <c r="WQS30" s="31"/>
      <c r="WQT30" s="31"/>
      <c r="WQU30" s="31"/>
      <c r="WQV30" s="31"/>
      <c r="WQW30" s="31"/>
      <c r="WQX30" s="31"/>
      <c r="WQY30" s="31"/>
      <c r="WQZ30" s="31"/>
      <c r="WRA30" s="31"/>
      <c r="WRB30" s="31"/>
      <c r="WRC30" s="31"/>
      <c r="WRD30" s="31"/>
      <c r="WRE30" s="31"/>
      <c r="WRF30" s="31"/>
      <c r="WRG30" s="31"/>
      <c r="WRH30" s="31"/>
      <c r="WRI30" s="31"/>
      <c r="WRJ30" s="31"/>
      <c r="WRK30" s="31"/>
      <c r="WRL30" s="31"/>
      <c r="WRM30" s="31"/>
      <c r="WRN30" s="31"/>
      <c r="WRO30" s="31"/>
      <c r="WRP30" s="31"/>
      <c r="WRQ30" s="31"/>
      <c r="WRR30" s="31"/>
      <c r="WRS30" s="31"/>
      <c r="WRT30" s="31"/>
      <c r="WRU30" s="31"/>
      <c r="WRV30" s="31"/>
      <c r="WRW30" s="31"/>
      <c r="WRX30" s="31"/>
      <c r="WRY30" s="31"/>
      <c r="WRZ30" s="31"/>
      <c r="WSA30" s="31"/>
      <c r="WSB30" s="31"/>
      <c r="WSC30" s="31"/>
      <c r="WSD30" s="31"/>
      <c r="WSE30" s="31"/>
      <c r="WSF30" s="31"/>
      <c r="WSG30" s="31"/>
      <c r="WSH30" s="31"/>
      <c r="WSI30" s="31"/>
      <c r="WSJ30" s="31"/>
      <c r="WSK30" s="31"/>
      <c r="WSL30" s="31"/>
      <c r="WSM30" s="31"/>
      <c r="WSN30" s="31"/>
      <c r="WSO30" s="31"/>
      <c r="WSP30" s="31"/>
      <c r="WSQ30" s="31"/>
      <c r="WSR30" s="31"/>
      <c r="WSS30" s="31"/>
      <c r="WST30" s="31"/>
      <c r="WSU30" s="31"/>
      <c r="WSV30" s="31"/>
      <c r="WSW30" s="31"/>
      <c r="WSX30" s="31"/>
      <c r="WSY30" s="31"/>
      <c r="WSZ30" s="31"/>
      <c r="WTA30" s="31"/>
      <c r="WTB30" s="31"/>
      <c r="WTC30" s="31"/>
      <c r="WTD30" s="31"/>
      <c r="WTE30" s="31"/>
      <c r="WTF30" s="31"/>
      <c r="WTG30" s="31"/>
      <c r="WTH30" s="31"/>
      <c r="WTI30" s="31"/>
      <c r="WTJ30" s="31"/>
      <c r="WTK30" s="31"/>
      <c r="WTL30" s="31"/>
      <c r="WTM30" s="31"/>
      <c r="WTN30" s="31"/>
      <c r="WTO30" s="31"/>
      <c r="WTP30" s="31"/>
      <c r="WTQ30" s="31"/>
      <c r="WTR30" s="31"/>
      <c r="WTS30" s="31"/>
      <c r="WTT30" s="31"/>
      <c r="WTU30" s="31"/>
      <c r="WTV30" s="31"/>
      <c r="WTW30" s="31"/>
      <c r="WTX30" s="31"/>
      <c r="WTY30" s="31"/>
      <c r="WTZ30" s="31"/>
      <c r="WUA30" s="31"/>
      <c r="WUB30" s="31"/>
      <c r="WUC30" s="31"/>
      <c r="WUD30" s="31"/>
      <c r="WUE30" s="31"/>
      <c r="WUF30" s="31"/>
      <c r="WUG30" s="31"/>
      <c r="WUH30" s="31"/>
      <c r="WUI30" s="31"/>
      <c r="WUJ30" s="31"/>
      <c r="WUK30" s="31"/>
      <c r="WUL30" s="31"/>
      <c r="WUM30" s="31"/>
      <c r="WUN30" s="31"/>
      <c r="WUO30" s="31"/>
      <c r="WUP30" s="31"/>
      <c r="WUQ30" s="31"/>
      <c r="WUR30" s="31"/>
      <c r="WUS30" s="31"/>
      <c r="WUT30" s="31"/>
      <c r="WUU30" s="31"/>
      <c r="WUV30" s="31"/>
      <c r="WUW30" s="31"/>
      <c r="WUX30" s="31"/>
      <c r="WUY30" s="31"/>
      <c r="WUZ30" s="31"/>
      <c r="WVA30" s="31"/>
      <c r="WVB30" s="31"/>
      <c r="WVC30" s="31"/>
      <c r="WVD30" s="31"/>
      <c r="WVE30" s="31"/>
      <c r="WVF30" s="31"/>
      <c r="WVG30" s="31"/>
      <c r="WVH30" s="31"/>
      <c r="WVI30" s="31"/>
      <c r="WVJ30" s="31"/>
      <c r="WVK30" s="31"/>
      <c r="WVL30" s="31"/>
      <c r="WVM30" s="31"/>
      <c r="WVN30" s="31"/>
      <c r="WVO30" s="31"/>
      <c r="WVP30" s="31"/>
      <c r="WVQ30" s="31"/>
      <c r="WVR30" s="31"/>
      <c r="WVS30" s="31"/>
      <c r="WVT30" s="31"/>
      <c r="WVU30" s="31"/>
      <c r="WVV30" s="31"/>
      <c r="WVW30" s="31"/>
      <c r="WVX30" s="31"/>
      <c r="WVY30" s="31"/>
      <c r="WVZ30" s="31"/>
      <c r="WWA30" s="31"/>
      <c r="WWB30" s="31"/>
      <c r="WWC30" s="31"/>
      <c r="WWD30" s="31"/>
      <c r="WWE30" s="31"/>
      <c r="WWF30" s="31"/>
      <c r="WWG30" s="31"/>
      <c r="WWH30" s="31"/>
      <c r="WWI30" s="31"/>
      <c r="WWJ30" s="31"/>
      <c r="WWK30" s="31"/>
      <c r="WWL30" s="31"/>
      <c r="WWM30" s="31"/>
      <c r="WWN30" s="31"/>
      <c r="WWO30" s="31"/>
      <c r="WWP30" s="31"/>
      <c r="WWQ30" s="31"/>
      <c r="WWR30" s="31"/>
      <c r="WWS30" s="31"/>
      <c r="WWT30" s="31"/>
      <c r="WWU30" s="31"/>
      <c r="WWV30" s="31"/>
      <c r="WWW30" s="31"/>
      <c r="WWX30" s="31"/>
      <c r="WWY30" s="31"/>
      <c r="WWZ30" s="31"/>
      <c r="WXA30" s="31"/>
      <c r="WXB30" s="31"/>
      <c r="WXC30" s="31"/>
      <c r="WXD30" s="31"/>
      <c r="WXE30" s="31"/>
      <c r="WXF30" s="31"/>
      <c r="WXG30" s="31"/>
      <c r="WXH30" s="31"/>
      <c r="WXI30" s="31"/>
      <c r="WXJ30" s="31"/>
      <c r="WXK30" s="31"/>
      <c r="WXL30" s="31"/>
      <c r="WXM30" s="31"/>
      <c r="WXN30" s="31"/>
      <c r="WXO30" s="31"/>
      <c r="WXP30" s="31"/>
      <c r="WXQ30" s="31"/>
      <c r="WXR30" s="31"/>
      <c r="WXS30" s="31"/>
      <c r="WXT30" s="31"/>
      <c r="WXU30" s="31"/>
      <c r="WXV30" s="31"/>
      <c r="WXW30" s="31"/>
      <c r="WXX30" s="31"/>
      <c r="WXY30" s="31"/>
      <c r="WXZ30" s="31"/>
      <c r="WYA30" s="31"/>
      <c r="WYB30" s="31"/>
      <c r="WYC30" s="31"/>
      <c r="WYD30" s="31"/>
      <c r="WYE30" s="31"/>
      <c r="WYF30" s="31"/>
      <c r="WYG30" s="31"/>
      <c r="WYH30" s="31"/>
      <c r="WYI30" s="31"/>
      <c r="WYJ30" s="31"/>
      <c r="WYK30" s="31"/>
      <c r="WYL30" s="31"/>
      <c r="WYM30" s="31"/>
      <c r="WYN30" s="31"/>
      <c r="WYO30" s="31"/>
      <c r="WYP30" s="31"/>
      <c r="WYQ30" s="31"/>
      <c r="WYR30" s="31"/>
      <c r="WYS30" s="31"/>
      <c r="WYT30" s="31"/>
      <c r="WYU30" s="31"/>
      <c r="WYV30" s="31"/>
      <c r="WYW30" s="31"/>
      <c r="WYX30" s="31"/>
      <c r="WYY30" s="31"/>
      <c r="WYZ30" s="31"/>
      <c r="WZA30" s="31"/>
      <c r="WZB30" s="31"/>
      <c r="WZC30" s="31"/>
      <c r="WZD30" s="31"/>
      <c r="WZE30" s="31"/>
      <c r="WZF30" s="31"/>
      <c r="WZG30" s="31"/>
      <c r="WZH30" s="31"/>
      <c r="WZI30" s="31"/>
      <c r="WZJ30" s="31"/>
      <c r="WZK30" s="31"/>
      <c r="WZL30" s="31"/>
      <c r="WZM30" s="31"/>
      <c r="WZN30" s="31"/>
      <c r="WZO30" s="31"/>
      <c r="WZP30" s="31"/>
      <c r="WZQ30" s="31"/>
      <c r="WZR30" s="31"/>
      <c r="WZS30" s="31"/>
      <c r="WZT30" s="31"/>
      <c r="WZU30" s="31"/>
      <c r="WZV30" s="31"/>
      <c r="WZW30" s="31"/>
      <c r="WZX30" s="31"/>
      <c r="WZY30" s="31"/>
      <c r="WZZ30" s="31"/>
      <c r="XAA30" s="31"/>
      <c r="XAB30" s="31"/>
      <c r="XAC30" s="31"/>
      <c r="XAD30" s="31"/>
      <c r="XAE30" s="31"/>
      <c r="XAF30" s="31"/>
      <c r="XAG30" s="31"/>
      <c r="XAH30" s="31"/>
      <c r="XAI30" s="31"/>
      <c r="XAJ30" s="31"/>
      <c r="XAK30" s="31"/>
      <c r="XAL30" s="31"/>
      <c r="XAM30" s="31"/>
      <c r="XAN30" s="31"/>
      <c r="XAO30" s="31"/>
      <c r="XAP30" s="31"/>
      <c r="XAQ30" s="31"/>
      <c r="XAR30" s="31"/>
      <c r="XAS30" s="31"/>
      <c r="XAT30" s="31"/>
      <c r="XAU30" s="31"/>
      <c r="XAV30" s="31"/>
      <c r="XAW30" s="31"/>
      <c r="XAX30" s="31"/>
      <c r="XAY30" s="31"/>
      <c r="XAZ30" s="31"/>
      <c r="XBA30" s="31"/>
      <c r="XBB30" s="31"/>
      <c r="XBC30" s="31"/>
      <c r="XBD30" s="31"/>
      <c r="XBE30" s="31"/>
      <c r="XBF30" s="31"/>
      <c r="XBG30" s="31"/>
      <c r="XBH30" s="31"/>
      <c r="XBI30" s="31"/>
      <c r="XBJ30" s="31"/>
      <c r="XBK30" s="31"/>
      <c r="XBL30" s="31"/>
      <c r="XBM30" s="31"/>
      <c r="XBN30" s="31"/>
      <c r="XBO30" s="31"/>
      <c r="XBP30" s="31"/>
      <c r="XBQ30" s="31"/>
      <c r="XBR30" s="31"/>
      <c r="XBS30" s="31"/>
      <c r="XBT30" s="31"/>
      <c r="XBU30" s="31"/>
      <c r="XBV30" s="31"/>
      <c r="XBW30" s="31"/>
      <c r="XBX30" s="31"/>
      <c r="XBY30" s="31"/>
      <c r="XBZ30" s="31"/>
      <c r="XCA30" s="31"/>
      <c r="XCB30" s="31"/>
      <c r="XCC30" s="31"/>
      <c r="XCD30" s="31"/>
      <c r="XCE30" s="31"/>
      <c r="XCF30" s="31"/>
      <c r="XCG30" s="31"/>
      <c r="XCH30" s="31"/>
      <c r="XCI30" s="31"/>
      <c r="XCJ30" s="31"/>
      <c r="XCK30" s="31"/>
      <c r="XCL30" s="31"/>
      <c r="XCM30" s="31"/>
      <c r="XCN30" s="31"/>
      <c r="XCO30" s="31"/>
      <c r="XCP30" s="31"/>
      <c r="XCQ30" s="31"/>
      <c r="XCR30" s="31"/>
      <c r="XCS30" s="31"/>
      <c r="XCT30" s="31"/>
      <c r="XCU30" s="31"/>
      <c r="XCV30" s="31"/>
      <c r="XCW30" s="31"/>
      <c r="XCX30" s="31"/>
      <c r="XCY30" s="31"/>
      <c r="XCZ30" s="31"/>
      <c r="XDA30" s="31"/>
      <c r="XDB30" s="31"/>
      <c r="XDC30" s="31"/>
      <c r="XDD30" s="31"/>
      <c r="XDE30" s="31"/>
      <c r="XDF30" s="31"/>
      <c r="XDG30" s="31"/>
      <c r="XDH30" s="31"/>
      <c r="XDI30" s="31"/>
      <c r="XDJ30" s="31"/>
      <c r="XDK30" s="31"/>
      <c r="XDL30" s="31"/>
      <c r="XDM30" s="31"/>
      <c r="XDN30" s="31"/>
      <c r="XDO30" s="31"/>
      <c r="XDP30" s="31"/>
      <c r="XDQ30" s="31"/>
      <c r="XDR30" s="31"/>
      <c r="XDS30" s="31"/>
      <c r="XDT30" s="31"/>
      <c r="XDU30" s="31"/>
      <c r="XDV30" s="31"/>
      <c r="XDW30" s="31"/>
      <c r="XDX30" s="31"/>
      <c r="XDY30" s="31"/>
      <c r="XDZ30" s="31"/>
      <c r="XEA30" s="31"/>
      <c r="XEB30" s="31"/>
      <c r="XEC30" s="31"/>
      <c r="XED30" s="31"/>
      <c r="XEE30" s="31"/>
      <c r="XEF30" s="31"/>
      <c r="XEG30" s="31"/>
      <c r="XEH30" s="31"/>
      <c r="XEI30" s="31"/>
      <c r="XEJ30" s="31"/>
      <c r="XEK30" s="31"/>
      <c r="XEL30" s="31"/>
      <c r="XEM30" s="31"/>
      <c r="XEN30" s="31"/>
      <c r="XEO30" s="31"/>
      <c r="XEP30" s="31"/>
      <c r="XEQ30" s="31"/>
      <c r="XER30" s="31"/>
      <c r="XES30" s="31"/>
      <c r="XET30" s="31"/>
      <c r="XEU30" s="31"/>
      <c r="XEV30" s="31"/>
      <c r="XEW30" s="31"/>
      <c r="XEX30" s="31"/>
      <c r="XEY30" s="31"/>
      <c r="XEZ30" s="31"/>
      <c r="XFA30" s="31"/>
      <c r="XFB30" s="31"/>
      <c r="XFC30" s="31"/>
      <c r="XFD30" s="31"/>
    </row>
    <row r="31" spans="1:16384">
      <c r="A31" s="55"/>
      <c r="B31" s="55"/>
      <c r="C31" s="55"/>
      <c r="D31" s="31"/>
      <c r="E31" s="31"/>
      <c r="F31" s="31"/>
      <c r="G31" s="31"/>
      <c r="H31" s="31"/>
      <c r="I31" s="28"/>
    </row>
    <row r="32" spans="1:16384">
      <c r="A32" s="30"/>
      <c r="B32" s="30"/>
      <c r="C32" s="30"/>
      <c r="D32" s="31"/>
      <c r="E32" s="31"/>
      <c r="F32" s="31"/>
      <c r="G32" s="31"/>
      <c r="H32" s="31"/>
      <c r="I32" s="28"/>
    </row>
    <row r="33" spans="1:9">
      <c r="A33" s="30"/>
      <c r="B33" s="30"/>
      <c r="C33" s="30"/>
      <c r="D33" s="31"/>
      <c r="E33" s="28"/>
      <c r="F33" s="28"/>
      <c r="G33" s="28"/>
      <c r="H33" s="28"/>
      <c r="I33" s="28"/>
    </row>
    <row r="34" spans="1:9">
      <c r="A34" s="30"/>
      <c r="B34" s="30"/>
      <c r="C34" s="30"/>
      <c r="D34" s="28"/>
      <c r="H34" s="28"/>
      <c r="I34" s="28"/>
    </row>
    <row r="35" spans="1:9">
      <c r="A35" s="30"/>
      <c r="B35" s="30"/>
      <c r="C35" s="30"/>
      <c r="D35" s="28"/>
    </row>
    <row r="36" spans="1:9">
      <c r="A36" s="30"/>
      <c r="B36" s="30"/>
      <c r="C36" s="30"/>
    </row>
    <row r="37" spans="1:9">
      <c r="A37" s="30"/>
      <c r="B37" s="30"/>
      <c r="C37" s="30"/>
    </row>
  </sheetData>
  <dataValidations count="1">
    <dataValidation type="list" allowBlank="1" showInputMessage="1" showErrorMessage="1" errorTitle="Location not found" error="Please use drop down list to select your location" prompt="Select your location from list" sqref="C2">
      <formula1>locationlist</formula1>
    </dataValidation>
  </dataValidation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V154"/>
  <sheetViews>
    <sheetView workbookViewId="0">
      <selection activeCell="C19" sqref="C19"/>
    </sheetView>
  </sheetViews>
  <sheetFormatPr baseColWidth="10" defaultColWidth="11" defaultRowHeight="15" x14ac:dyDescent="0"/>
  <cols>
    <col min="1" max="1" width="10.33203125" bestFit="1" customWidth="1"/>
    <col min="2" max="2" width="31" bestFit="1" customWidth="1"/>
    <col min="5" max="5" width="13.5" bestFit="1" customWidth="1"/>
  </cols>
  <sheetData>
    <row r="1" spans="1:6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</row>
    <row r="2" spans="1:6">
      <c r="A2" s="105" t="s">
        <v>89</v>
      </c>
      <c r="B2" s="105" t="s">
        <v>90</v>
      </c>
      <c r="C2" s="105" t="s">
        <v>54</v>
      </c>
      <c r="D2" s="106">
        <v>480.34</v>
      </c>
      <c r="E2" s="106">
        <v>538.41999999999996</v>
      </c>
      <c r="F2" s="106">
        <v>185.12</v>
      </c>
    </row>
    <row r="3" spans="1:6">
      <c r="A3" s="105" t="s">
        <v>109</v>
      </c>
      <c r="B3" s="105" t="s">
        <v>110</v>
      </c>
      <c r="C3" s="105" t="s">
        <v>54</v>
      </c>
      <c r="D3" s="106">
        <v>537.22</v>
      </c>
      <c r="E3" s="106">
        <v>601.05999999999995</v>
      </c>
      <c r="F3" s="106">
        <v>159.53</v>
      </c>
    </row>
    <row r="4" spans="1:6">
      <c r="A4" s="105" t="s">
        <v>307</v>
      </c>
      <c r="B4" s="105" t="s">
        <v>308</v>
      </c>
      <c r="C4" s="105" t="s">
        <v>292</v>
      </c>
      <c r="D4" s="106">
        <v>398.93</v>
      </c>
      <c r="E4" s="106">
        <v>399.13</v>
      </c>
      <c r="F4" s="106">
        <v>194.49</v>
      </c>
    </row>
    <row r="5" spans="1:6">
      <c r="A5" s="105" t="s">
        <v>245</v>
      </c>
      <c r="B5" s="105" t="s">
        <v>246</v>
      </c>
      <c r="C5" s="105" t="s">
        <v>230</v>
      </c>
      <c r="D5" s="106">
        <v>543.85</v>
      </c>
      <c r="E5" s="106">
        <v>751.94</v>
      </c>
      <c r="F5" s="106">
        <v>176.47</v>
      </c>
    </row>
    <row r="6" spans="1:6">
      <c r="A6" s="105" t="s">
        <v>40</v>
      </c>
      <c r="B6" s="105" t="s">
        <v>41</v>
      </c>
      <c r="C6" s="105" t="s">
        <v>31</v>
      </c>
      <c r="D6" s="106">
        <v>544.82000000000005</v>
      </c>
      <c r="E6" s="106">
        <v>545.22</v>
      </c>
      <c r="F6" s="106">
        <v>185.09</v>
      </c>
    </row>
    <row r="7" spans="1:6">
      <c r="A7" s="105" t="s">
        <v>79</v>
      </c>
      <c r="B7" s="105" t="s">
        <v>80</v>
      </c>
      <c r="C7" s="105" t="s">
        <v>54</v>
      </c>
      <c r="D7" s="106">
        <v>571.75</v>
      </c>
      <c r="E7" s="106">
        <v>604.37</v>
      </c>
      <c r="F7" s="106">
        <v>165.62</v>
      </c>
    </row>
    <row r="8" spans="1:6">
      <c r="A8" s="105" t="s">
        <v>276</v>
      </c>
      <c r="B8" s="105" t="s">
        <v>277</v>
      </c>
      <c r="C8" s="105" t="s">
        <v>263</v>
      </c>
      <c r="D8" s="106">
        <v>556.73</v>
      </c>
      <c r="E8" s="106">
        <v>571.89</v>
      </c>
      <c r="F8" s="106">
        <v>222.4</v>
      </c>
    </row>
    <row r="9" spans="1:6">
      <c r="A9" s="105" t="s">
        <v>187</v>
      </c>
      <c r="B9" s="105" t="s">
        <v>188</v>
      </c>
      <c r="C9" s="105" t="s">
        <v>144</v>
      </c>
      <c r="D9" s="106">
        <v>270.37</v>
      </c>
      <c r="E9" s="106">
        <v>411.13</v>
      </c>
      <c r="F9" s="106">
        <v>105.78</v>
      </c>
    </row>
    <row r="10" spans="1:6">
      <c r="A10" s="105" t="s">
        <v>177</v>
      </c>
      <c r="B10" s="105" t="s">
        <v>178</v>
      </c>
      <c r="C10" s="105" t="s">
        <v>144</v>
      </c>
      <c r="D10" s="106">
        <v>431.74</v>
      </c>
      <c r="E10" s="106">
        <v>434.56</v>
      </c>
      <c r="F10" s="106">
        <v>128.53</v>
      </c>
    </row>
    <row r="11" spans="1:6">
      <c r="A11" s="105" t="s">
        <v>161</v>
      </c>
      <c r="B11" s="105" t="s">
        <v>162</v>
      </c>
      <c r="C11" s="105" t="s">
        <v>144</v>
      </c>
      <c r="D11" s="106">
        <v>536.92999999999995</v>
      </c>
      <c r="E11" s="106">
        <v>496.4</v>
      </c>
      <c r="F11" s="106">
        <v>182.68</v>
      </c>
    </row>
    <row r="12" spans="1:6">
      <c r="A12" s="105" t="s">
        <v>239</v>
      </c>
      <c r="B12" s="105" t="s">
        <v>240</v>
      </c>
      <c r="C12" s="105" t="s">
        <v>230</v>
      </c>
      <c r="D12" s="106">
        <v>539.04</v>
      </c>
      <c r="E12" s="106">
        <v>494.8</v>
      </c>
      <c r="F12" s="106">
        <v>235.84</v>
      </c>
    </row>
    <row r="13" spans="1:6">
      <c r="A13" s="105" t="s">
        <v>200</v>
      </c>
      <c r="B13" s="105" t="s">
        <v>201</v>
      </c>
      <c r="C13" s="105" t="s">
        <v>191</v>
      </c>
      <c r="D13" s="106">
        <v>615.67999999999995</v>
      </c>
      <c r="E13" s="106">
        <v>590.33000000000004</v>
      </c>
      <c r="F13" s="106">
        <v>230.53</v>
      </c>
    </row>
    <row r="14" spans="1:6">
      <c r="A14" s="105" t="s">
        <v>311</v>
      </c>
      <c r="B14" s="105" t="s">
        <v>312</v>
      </c>
      <c r="C14" s="105" t="s">
        <v>292</v>
      </c>
      <c r="D14" s="106">
        <v>428.65</v>
      </c>
      <c r="E14" s="106">
        <v>552.34</v>
      </c>
      <c r="F14" s="106">
        <v>181.93</v>
      </c>
    </row>
    <row r="15" spans="1:6">
      <c r="A15" s="105" t="s">
        <v>95</v>
      </c>
      <c r="B15" s="105" t="s">
        <v>96</v>
      </c>
      <c r="C15" s="105" t="s">
        <v>54</v>
      </c>
      <c r="D15" s="106">
        <v>479.24</v>
      </c>
      <c r="E15" s="106">
        <v>581.47</v>
      </c>
      <c r="F15" s="106">
        <v>174.63</v>
      </c>
    </row>
    <row r="16" spans="1:6">
      <c r="A16" s="105" t="s">
        <v>194</v>
      </c>
      <c r="B16" s="105" t="s">
        <v>195</v>
      </c>
      <c r="C16" s="105" t="s">
        <v>191</v>
      </c>
      <c r="D16" s="106">
        <v>557.58000000000004</v>
      </c>
      <c r="E16" s="106">
        <v>628.9</v>
      </c>
      <c r="F16" s="106">
        <v>262.05</v>
      </c>
    </row>
    <row r="17" spans="1:6">
      <c r="A17" s="105" t="s">
        <v>233</v>
      </c>
      <c r="B17" s="105" t="s">
        <v>423</v>
      </c>
      <c r="C17" s="105" t="s">
        <v>230</v>
      </c>
      <c r="D17" s="106">
        <v>568.64</v>
      </c>
      <c r="E17" s="106">
        <v>764.4</v>
      </c>
      <c r="F17" s="106">
        <v>259.39999999999998</v>
      </c>
    </row>
    <row r="18" spans="1:6">
      <c r="A18" s="105" t="s">
        <v>71</v>
      </c>
      <c r="B18" s="105" t="s">
        <v>72</v>
      </c>
      <c r="C18" s="105" t="s">
        <v>54</v>
      </c>
      <c r="D18" s="106">
        <v>645.95000000000005</v>
      </c>
      <c r="E18" s="106">
        <v>606.63</v>
      </c>
      <c r="F18" s="106">
        <v>165.64</v>
      </c>
    </row>
    <row r="19" spans="1:6">
      <c r="A19" s="105" t="s">
        <v>208</v>
      </c>
      <c r="B19" s="105" t="s">
        <v>209</v>
      </c>
      <c r="C19" s="105" t="s">
        <v>191</v>
      </c>
      <c r="D19" s="106">
        <v>544.80999999999995</v>
      </c>
      <c r="E19" s="106">
        <v>617.4</v>
      </c>
      <c r="F19" s="106">
        <v>212.39</v>
      </c>
    </row>
    <row r="20" spans="1:6">
      <c r="A20" s="105" t="s">
        <v>159</v>
      </c>
      <c r="B20" s="105" t="s">
        <v>160</v>
      </c>
      <c r="C20" s="105" t="s">
        <v>144</v>
      </c>
      <c r="D20" s="106">
        <v>444.24</v>
      </c>
      <c r="E20" s="106">
        <v>491.75</v>
      </c>
      <c r="F20" s="106">
        <v>182.81</v>
      </c>
    </row>
    <row r="21" spans="1:6">
      <c r="A21" s="105" t="s">
        <v>313</v>
      </c>
      <c r="B21" s="105" t="s">
        <v>314</v>
      </c>
      <c r="C21" s="105" t="s">
        <v>292</v>
      </c>
      <c r="D21" s="106">
        <v>478.07</v>
      </c>
      <c r="E21" s="106">
        <v>454.14</v>
      </c>
      <c r="F21" s="106">
        <v>181.09</v>
      </c>
    </row>
    <row r="22" spans="1:6">
      <c r="A22" s="105" t="s">
        <v>42</v>
      </c>
      <c r="B22" s="105" t="s">
        <v>43</v>
      </c>
      <c r="C22" s="105" t="s">
        <v>31</v>
      </c>
      <c r="D22" s="106">
        <v>556.14</v>
      </c>
      <c r="E22" s="106">
        <v>446.78</v>
      </c>
      <c r="F22" s="106">
        <v>231.85</v>
      </c>
    </row>
    <row r="23" spans="1:6">
      <c r="A23" s="105" t="s">
        <v>107</v>
      </c>
      <c r="B23" s="105" t="s">
        <v>108</v>
      </c>
      <c r="C23" s="105" t="s">
        <v>54</v>
      </c>
      <c r="D23" s="106">
        <v>493.19</v>
      </c>
      <c r="E23" s="106">
        <v>714.4</v>
      </c>
      <c r="F23" s="106">
        <v>159.79</v>
      </c>
    </row>
    <row r="24" spans="1:6">
      <c r="A24" s="105" t="s">
        <v>34</v>
      </c>
      <c r="B24" s="105" t="s">
        <v>35</v>
      </c>
      <c r="C24" s="105" t="s">
        <v>31</v>
      </c>
      <c r="D24" s="106">
        <v>516.44000000000005</v>
      </c>
      <c r="E24" s="106">
        <v>537.35</v>
      </c>
      <c r="F24" s="106">
        <v>221.47</v>
      </c>
    </row>
    <row r="25" spans="1:6">
      <c r="A25" s="105" t="s">
        <v>145</v>
      </c>
      <c r="B25" s="105" t="s">
        <v>146</v>
      </c>
      <c r="C25" s="105" t="s">
        <v>144</v>
      </c>
      <c r="D25" s="106">
        <v>478.27</v>
      </c>
      <c r="E25" s="106">
        <v>502.09</v>
      </c>
      <c r="F25" s="106">
        <v>220.73</v>
      </c>
    </row>
    <row r="26" spans="1:6">
      <c r="A26" s="105" t="s">
        <v>147</v>
      </c>
      <c r="B26" s="105" t="s">
        <v>148</v>
      </c>
      <c r="C26" s="105" t="s">
        <v>144</v>
      </c>
      <c r="D26" s="106">
        <v>449.95</v>
      </c>
      <c r="E26" s="106">
        <v>463.59</v>
      </c>
      <c r="F26" s="106">
        <v>233.11</v>
      </c>
    </row>
    <row r="27" spans="1:6">
      <c r="A27" s="105" t="s">
        <v>117</v>
      </c>
      <c r="B27" s="105" t="s">
        <v>118</v>
      </c>
      <c r="C27" s="105" t="s">
        <v>54</v>
      </c>
      <c r="D27" s="106">
        <v>542.37</v>
      </c>
      <c r="E27" s="106">
        <v>529.85</v>
      </c>
      <c r="F27" s="106">
        <v>0</v>
      </c>
    </row>
    <row r="28" spans="1:6">
      <c r="A28" s="105" t="s">
        <v>241</v>
      </c>
      <c r="B28" s="105" t="s">
        <v>242</v>
      </c>
      <c r="C28" s="105" t="s">
        <v>230</v>
      </c>
      <c r="D28" s="106">
        <v>497.9</v>
      </c>
      <c r="E28" s="106">
        <v>438.63</v>
      </c>
      <c r="F28" s="106">
        <v>216.43</v>
      </c>
    </row>
    <row r="29" spans="1:6">
      <c r="A29" s="105" t="s">
        <v>264</v>
      </c>
      <c r="B29" s="105" t="s">
        <v>265</v>
      </c>
      <c r="C29" s="105" t="s">
        <v>263</v>
      </c>
      <c r="D29" s="106">
        <v>743.5</v>
      </c>
      <c r="E29" s="106">
        <v>537.49</v>
      </c>
      <c r="F29" s="106">
        <v>288.89999999999998</v>
      </c>
    </row>
    <row r="30" spans="1:6">
      <c r="A30" s="105" t="s">
        <v>115</v>
      </c>
      <c r="B30" s="105" t="s">
        <v>116</v>
      </c>
      <c r="C30" s="105" t="s">
        <v>54</v>
      </c>
      <c r="D30" s="106">
        <v>510.11</v>
      </c>
      <c r="E30" s="106">
        <v>887.62</v>
      </c>
      <c r="F30" s="106">
        <v>149.22</v>
      </c>
    </row>
    <row r="31" spans="1:6">
      <c r="A31" s="105" t="s">
        <v>167</v>
      </c>
      <c r="B31" s="105" t="s">
        <v>168</v>
      </c>
      <c r="C31" s="105" t="s">
        <v>144</v>
      </c>
      <c r="D31" s="106">
        <v>519.87</v>
      </c>
      <c r="E31" s="106">
        <v>558.16</v>
      </c>
      <c r="F31" s="106">
        <v>170.53</v>
      </c>
    </row>
    <row r="32" spans="1:6">
      <c r="A32" s="105" t="s">
        <v>128</v>
      </c>
      <c r="B32" s="105" t="s">
        <v>129</v>
      </c>
      <c r="C32" s="105" t="s">
        <v>120</v>
      </c>
      <c r="D32" s="106">
        <v>470.97</v>
      </c>
      <c r="E32" s="106">
        <v>447.87</v>
      </c>
      <c r="F32" s="106">
        <v>159.96</v>
      </c>
    </row>
    <row r="33" spans="1:6">
      <c r="A33" s="105" t="s">
        <v>13</v>
      </c>
      <c r="B33" s="105" t="s">
        <v>14</v>
      </c>
      <c r="C33" s="105" t="s">
        <v>12</v>
      </c>
      <c r="D33" s="106">
        <v>435.7</v>
      </c>
      <c r="E33" s="106">
        <v>509.38</v>
      </c>
      <c r="F33" s="106">
        <v>232.68</v>
      </c>
    </row>
    <row r="34" spans="1:6">
      <c r="A34" s="105" t="s">
        <v>21</v>
      </c>
      <c r="B34" s="105" t="s">
        <v>22</v>
      </c>
      <c r="C34" s="105" t="s">
        <v>12</v>
      </c>
      <c r="D34" s="106">
        <v>452.18</v>
      </c>
      <c r="E34" s="106">
        <v>545.9</v>
      </c>
      <c r="F34" s="106">
        <v>181.4</v>
      </c>
    </row>
    <row r="35" spans="1:6">
      <c r="A35" s="105" t="s">
        <v>253</v>
      </c>
      <c r="B35" s="105" t="s">
        <v>254</v>
      </c>
      <c r="C35" s="105" t="s">
        <v>230</v>
      </c>
      <c r="D35" s="106">
        <v>536.98</v>
      </c>
      <c r="E35" s="106">
        <v>653.9</v>
      </c>
      <c r="F35" s="106">
        <v>147.05000000000001</v>
      </c>
    </row>
    <row r="36" spans="1:6">
      <c r="A36" s="105" t="s">
        <v>319</v>
      </c>
      <c r="B36" s="105" t="s">
        <v>320</v>
      </c>
      <c r="C36" s="105" t="s">
        <v>292</v>
      </c>
      <c r="D36" s="106">
        <v>454.52</v>
      </c>
      <c r="E36" s="106">
        <v>515.16999999999996</v>
      </c>
      <c r="F36" s="106">
        <v>129.03</v>
      </c>
    </row>
    <row r="37" spans="1:6">
      <c r="A37" s="105" t="s">
        <v>237</v>
      </c>
      <c r="B37" s="105" t="s">
        <v>238</v>
      </c>
      <c r="C37" s="105" t="s">
        <v>230</v>
      </c>
      <c r="D37" s="106">
        <v>570.1</v>
      </c>
      <c r="E37" s="106">
        <v>696.29</v>
      </c>
      <c r="F37" s="106">
        <v>222.17</v>
      </c>
    </row>
    <row r="38" spans="1:6">
      <c r="A38" s="105" t="s">
        <v>280</v>
      </c>
      <c r="B38" s="105" t="s">
        <v>281</v>
      </c>
      <c r="C38" s="105" t="s">
        <v>263</v>
      </c>
      <c r="D38" s="106">
        <v>482.25</v>
      </c>
      <c r="E38" s="106">
        <v>573.1</v>
      </c>
      <c r="F38" s="106">
        <v>200.79</v>
      </c>
    </row>
    <row r="39" spans="1:6">
      <c r="A39" s="105" t="s">
        <v>134</v>
      </c>
      <c r="B39" s="105" t="s">
        <v>135</v>
      </c>
      <c r="C39" s="105" t="s">
        <v>120</v>
      </c>
      <c r="D39" s="106">
        <v>500.75</v>
      </c>
      <c r="E39" s="106">
        <v>530.69000000000005</v>
      </c>
      <c r="F39" s="106">
        <v>143.43</v>
      </c>
    </row>
    <row r="40" spans="1:6">
      <c r="A40" s="105" t="s">
        <v>87</v>
      </c>
      <c r="B40" s="105" t="s">
        <v>88</v>
      </c>
      <c r="C40" s="105" t="s">
        <v>54</v>
      </c>
      <c r="D40" s="106">
        <v>698.39</v>
      </c>
      <c r="E40" s="106">
        <v>658.84</v>
      </c>
      <c r="F40" s="106">
        <v>188.07</v>
      </c>
    </row>
    <row r="41" spans="1:6">
      <c r="A41" s="105" t="s">
        <v>315</v>
      </c>
      <c r="B41" s="105" t="s">
        <v>316</v>
      </c>
      <c r="C41" s="105" t="s">
        <v>292</v>
      </c>
      <c r="D41" s="106">
        <v>572.09</v>
      </c>
      <c r="E41" s="106">
        <v>452.59</v>
      </c>
      <c r="F41" s="106">
        <v>159.56</v>
      </c>
    </row>
    <row r="42" spans="1:6">
      <c r="A42" s="105" t="s">
        <v>206</v>
      </c>
      <c r="B42" s="105" t="s">
        <v>207</v>
      </c>
      <c r="C42" s="105" t="s">
        <v>191</v>
      </c>
      <c r="D42" s="106">
        <v>557.5</v>
      </c>
      <c r="E42" s="106">
        <v>703.39</v>
      </c>
      <c r="F42" s="106">
        <v>212.57</v>
      </c>
    </row>
    <row r="43" spans="1:6">
      <c r="A43" s="105" t="s">
        <v>55</v>
      </c>
      <c r="B43" s="105" t="s">
        <v>56</v>
      </c>
      <c r="C43" s="105" t="s">
        <v>54</v>
      </c>
      <c r="D43" s="106">
        <v>635.23</v>
      </c>
      <c r="E43" s="106">
        <v>659.1</v>
      </c>
      <c r="F43" s="106">
        <v>266.76</v>
      </c>
    </row>
    <row r="44" spans="1:6">
      <c r="A44" s="105" t="s">
        <v>38</v>
      </c>
      <c r="B44" s="105" t="s">
        <v>39</v>
      </c>
      <c r="C44" s="105" t="s">
        <v>31</v>
      </c>
      <c r="D44" s="106">
        <v>565.87</v>
      </c>
      <c r="E44" s="106">
        <v>533.70000000000005</v>
      </c>
      <c r="F44" s="106">
        <v>218.83</v>
      </c>
    </row>
    <row r="45" spans="1:6">
      <c r="A45" s="105" t="s">
        <v>420</v>
      </c>
      <c r="B45" s="105" t="s">
        <v>119</v>
      </c>
      <c r="C45" s="105" t="s">
        <v>120</v>
      </c>
      <c r="D45" s="106">
        <v>460.38</v>
      </c>
      <c r="E45" s="106">
        <v>573.45000000000005</v>
      </c>
      <c r="F45" s="106">
        <v>260.12</v>
      </c>
    </row>
    <row r="46" spans="1:6">
      <c r="A46" s="105" t="s">
        <v>231</v>
      </c>
      <c r="B46" s="105" t="s">
        <v>232</v>
      </c>
      <c r="C46" s="105" t="s">
        <v>230</v>
      </c>
      <c r="D46" s="106">
        <v>571.85</v>
      </c>
      <c r="E46" s="106">
        <v>583.23</v>
      </c>
      <c r="F46" s="106">
        <v>267.2</v>
      </c>
    </row>
    <row r="47" spans="1:6">
      <c r="A47" s="105" t="s">
        <v>73</v>
      </c>
      <c r="B47" s="105" t="s">
        <v>74</v>
      </c>
      <c r="C47" s="105" t="s">
        <v>54</v>
      </c>
      <c r="D47" s="106">
        <v>569.66</v>
      </c>
      <c r="E47" s="106">
        <v>695.35</v>
      </c>
      <c r="F47" s="106">
        <v>222.78</v>
      </c>
    </row>
    <row r="48" spans="1:6">
      <c r="A48" s="105" t="s">
        <v>52</v>
      </c>
      <c r="B48" s="105" t="s">
        <v>53</v>
      </c>
      <c r="C48" s="105" t="s">
        <v>54</v>
      </c>
      <c r="D48" s="106">
        <v>622.86</v>
      </c>
      <c r="E48" s="106">
        <v>657.6</v>
      </c>
      <c r="F48" s="106">
        <v>362.03</v>
      </c>
    </row>
    <row r="49" spans="1:6">
      <c r="A49" s="105" t="s">
        <v>153</v>
      </c>
      <c r="B49" s="105" t="s">
        <v>154</v>
      </c>
      <c r="C49" s="105" t="s">
        <v>144</v>
      </c>
      <c r="D49" s="106">
        <v>490.43</v>
      </c>
      <c r="E49" s="106">
        <v>461.16</v>
      </c>
      <c r="F49" s="106">
        <v>176.91</v>
      </c>
    </row>
    <row r="50" spans="1:6">
      <c r="A50" s="105" t="s">
        <v>77</v>
      </c>
      <c r="B50" s="105" t="s">
        <v>78</v>
      </c>
      <c r="C50" s="105" t="s">
        <v>54</v>
      </c>
      <c r="D50" s="106">
        <v>701.38</v>
      </c>
      <c r="E50" s="106">
        <v>584.57000000000005</v>
      </c>
      <c r="F50" s="106">
        <v>215.55</v>
      </c>
    </row>
    <row r="51" spans="1:6">
      <c r="A51" s="105" t="s">
        <v>204</v>
      </c>
      <c r="B51" s="105" t="s">
        <v>205</v>
      </c>
      <c r="C51" s="105" t="s">
        <v>191</v>
      </c>
      <c r="D51" s="106">
        <v>683.49</v>
      </c>
      <c r="E51" s="106">
        <v>617.5</v>
      </c>
      <c r="F51" s="106">
        <v>225.43</v>
      </c>
    </row>
    <row r="52" spans="1:6">
      <c r="A52" s="105" t="s">
        <v>75</v>
      </c>
      <c r="B52" s="105" t="s">
        <v>76</v>
      </c>
      <c r="C52" s="105" t="s">
        <v>54</v>
      </c>
      <c r="D52" s="106">
        <v>757.52</v>
      </c>
      <c r="E52" s="106">
        <v>660.5</v>
      </c>
      <c r="F52" s="106">
        <v>221.78</v>
      </c>
    </row>
    <row r="53" spans="1:6">
      <c r="A53" s="105" t="s">
        <v>103</v>
      </c>
      <c r="B53" s="105" t="s">
        <v>104</v>
      </c>
      <c r="C53" s="105" t="s">
        <v>54</v>
      </c>
      <c r="D53" s="106">
        <v>555.72</v>
      </c>
      <c r="E53" s="106">
        <v>612.16</v>
      </c>
      <c r="F53" s="106">
        <v>158.54</v>
      </c>
    </row>
    <row r="54" spans="1:6">
      <c r="A54" s="105" t="s">
        <v>138</v>
      </c>
      <c r="B54" s="105" t="s">
        <v>139</v>
      </c>
      <c r="C54" s="105" t="s">
        <v>120</v>
      </c>
      <c r="D54" s="106">
        <v>453.87</v>
      </c>
      <c r="E54" s="106">
        <v>464.66</v>
      </c>
      <c r="F54" s="106">
        <v>145.33000000000001</v>
      </c>
    </row>
    <row r="55" spans="1:6">
      <c r="A55" s="105" t="s">
        <v>97</v>
      </c>
      <c r="B55" s="105" t="s">
        <v>98</v>
      </c>
      <c r="C55" s="105" t="s">
        <v>54</v>
      </c>
      <c r="D55" s="106">
        <v>544.91</v>
      </c>
      <c r="E55" s="106">
        <v>559.01</v>
      </c>
      <c r="F55" s="106">
        <v>169.73</v>
      </c>
    </row>
    <row r="56" spans="1:6">
      <c r="A56" s="105" t="s">
        <v>282</v>
      </c>
      <c r="B56" s="105" t="s">
        <v>425</v>
      </c>
      <c r="C56" s="105" t="s">
        <v>263</v>
      </c>
      <c r="D56" s="106">
        <v>630.72</v>
      </c>
      <c r="E56" s="106">
        <v>587.5</v>
      </c>
      <c r="F56" s="106">
        <v>199.83</v>
      </c>
    </row>
    <row r="57" spans="1:6">
      <c r="A57" s="105" t="s">
        <v>48</v>
      </c>
      <c r="B57" s="105" t="s">
        <v>49</v>
      </c>
      <c r="C57" s="105" t="s">
        <v>31</v>
      </c>
      <c r="D57" s="106">
        <v>509.34</v>
      </c>
      <c r="E57" s="106">
        <v>561.52</v>
      </c>
      <c r="F57" s="106">
        <v>156.28</v>
      </c>
    </row>
    <row r="58" spans="1:6">
      <c r="A58" s="105" t="s">
        <v>101</v>
      </c>
      <c r="B58" s="105" t="s">
        <v>102</v>
      </c>
      <c r="C58" s="105" t="s">
        <v>54</v>
      </c>
      <c r="D58" s="106">
        <v>589.02</v>
      </c>
      <c r="E58" s="106">
        <v>622.28</v>
      </c>
      <c r="F58" s="106">
        <v>167.02</v>
      </c>
    </row>
    <row r="59" spans="1:6">
      <c r="A59" s="105" t="s">
        <v>85</v>
      </c>
      <c r="B59" s="105" t="s">
        <v>86</v>
      </c>
      <c r="C59" s="105" t="s">
        <v>54</v>
      </c>
      <c r="D59" s="106">
        <v>609.16999999999996</v>
      </c>
      <c r="E59" s="106">
        <v>672.06</v>
      </c>
      <c r="F59" s="106">
        <v>189.39</v>
      </c>
    </row>
    <row r="60" spans="1:6">
      <c r="A60" s="105" t="s">
        <v>220</v>
      </c>
      <c r="B60" s="105" t="s">
        <v>221</v>
      </c>
      <c r="C60" s="105" t="s">
        <v>191</v>
      </c>
      <c r="D60" s="106">
        <v>559.09</v>
      </c>
      <c r="E60" s="106">
        <v>496.08</v>
      </c>
      <c r="F60" s="106">
        <v>175.89</v>
      </c>
    </row>
    <row r="61" spans="1:6">
      <c r="A61" s="105" t="s">
        <v>259</v>
      </c>
      <c r="B61" s="105" t="s">
        <v>260</v>
      </c>
      <c r="C61" s="105" t="s">
        <v>230</v>
      </c>
      <c r="D61" s="106" t="s">
        <v>422</v>
      </c>
      <c r="E61" s="106">
        <v>954.77</v>
      </c>
      <c r="F61" s="106">
        <v>84.13</v>
      </c>
    </row>
    <row r="62" spans="1:6">
      <c r="A62" s="105" t="s">
        <v>99</v>
      </c>
      <c r="B62" s="105" t="s">
        <v>100</v>
      </c>
      <c r="C62" s="105" t="s">
        <v>54</v>
      </c>
      <c r="D62" s="106">
        <v>590.77</v>
      </c>
      <c r="E62" s="106">
        <v>622.70000000000005</v>
      </c>
      <c r="F62" s="106">
        <v>167.27</v>
      </c>
    </row>
    <row r="63" spans="1:6">
      <c r="A63" s="105" t="s">
        <v>111</v>
      </c>
      <c r="B63" s="105" t="s">
        <v>112</v>
      </c>
      <c r="C63" s="105" t="s">
        <v>54</v>
      </c>
      <c r="D63" s="106">
        <v>651.04</v>
      </c>
      <c r="E63" s="106">
        <v>1069.05</v>
      </c>
      <c r="F63" s="106">
        <v>136.97</v>
      </c>
    </row>
    <row r="64" spans="1:6">
      <c r="A64" s="105" t="s">
        <v>216</v>
      </c>
      <c r="B64" s="105" t="s">
        <v>217</v>
      </c>
      <c r="C64" s="105" t="s">
        <v>191</v>
      </c>
      <c r="D64" s="106">
        <v>524.79</v>
      </c>
      <c r="E64" s="106">
        <v>524.21</v>
      </c>
      <c r="F64" s="106">
        <v>180.7</v>
      </c>
    </row>
    <row r="65" spans="1:6">
      <c r="A65" s="105" t="s">
        <v>301</v>
      </c>
      <c r="B65" s="105" t="s">
        <v>426</v>
      </c>
      <c r="C65" s="105" t="s">
        <v>292</v>
      </c>
      <c r="D65" s="106">
        <v>145.44</v>
      </c>
      <c r="E65" s="106">
        <v>470.9</v>
      </c>
      <c r="F65" s="106">
        <v>204.99</v>
      </c>
    </row>
    <row r="66" spans="1:6">
      <c r="A66" s="105" t="s">
        <v>63</v>
      </c>
      <c r="B66" s="105" t="s">
        <v>64</v>
      </c>
      <c r="C66" s="105" t="s">
        <v>54</v>
      </c>
      <c r="D66" s="106">
        <v>476.19</v>
      </c>
      <c r="E66" s="106">
        <v>906.21</v>
      </c>
      <c r="F66" s="106">
        <v>239.41</v>
      </c>
    </row>
    <row r="67" spans="1:6">
      <c r="A67" s="105" t="s">
        <v>309</v>
      </c>
      <c r="B67" s="105" t="s">
        <v>310</v>
      </c>
      <c r="C67" s="105" t="s">
        <v>292</v>
      </c>
      <c r="D67" s="106">
        <v>437.99</v>
      </c>
      <c r="E67" s="106">
        <v>574.75</v>
      </c>
      <c r="F67" s="106">
        <v>187.71</v>
      </c>
    </row>
    <row r="68" spans="1:6">
      <c r="A68" s="105" t="s">
        <v>157</v>
      </c>
      <c r="B68" s="105" t="s">
        <v>158</v>
      </c>
      <c r="C68" s="105" t="s">
        <v>144</v>
      </c>
      <c r="D68" s="106">
        <v>538.24</v>
      </c>
      <c r="E68" s="106">
        <v>475.22</v>
      </c>
      <c r="F68" s="106">
        <v>179.94</v>
      </c>
    </row>
    <row r="69" spans="1:6">
      <c r="A69" s="105" t="s">
        <v>83</v>
      </c>
      <c r="B69" s="105" t="s">
        <v>84</v>
      </c>
      <c r="C69" s="105" t="s">
        <v>54</v>
      </c>
      <c r="D69" s="106">
        <v>669.2</v>
      </c>
      <c r="E69" s="106">
        <v>428.25</v>
      </c>
      <c r="F69" s="106">
        <v>196.48</v>
      </c>
    </row>
    <row r="70" spans="1:6">
      <c r="A70" s="105" t="s">
        <v>165</v>
      </c>
      <c r="B70" s="105" t="s">
        <v>166</v>
      </c>
      <c r="C70" s="105" t="s">
        <v>144</v>
      </c>
      <c r="D70" s="106">
        <v>474.45</v>
      </c>
      <c r="E70" s="106">
        <v>445.78</v>
      </c>
      <c r="F70" s="106">
        <v>173.53</v>
      </c>
    </row>
    <row r="71" spans="1:6">
      <c r="A71" s="105" t="s">
        <v>297</v>
      </c>
      <c r="B71" s="105" t="s">
        <v>298</v>
      </c>
      <c r="C71" s="105" t="s">
        <v>292</v>
      </c>
      <c r="D71" s="106">
        <v>484.54</v>
      </c>
      <c r="E71" s="106">
        <v>611.01</v>
      </c>
      <c r="F71" s="106">
        <v>221</v>
      </c>
    </row>
    <row r="72" spans="1:6">
      <c r="A72" s="105" t="s">
        <v>27</v>
      </c>
      <c r="B72" s="105" t="s">
        <v>28</v>
      </c>
      <c r="C72" s="105" t="s">
        <v>12</v>
      </c>
      <c r="D72" s="106">
        <v>491.85</v>
      </c>
      <c r="E72" s="106">
        <v>551.70000000000005</v>
      </c>
      <c r="F72" s="106">
        <v>113.96</v>
      </c>
    </row>
    <row r="73" spans="1:6">
      <c r="A73" s="105" t="s">
        <v>19</v>
      </c>
      <c r="B73" s="105" t="s">
        <v>20</v>
      </c>
      <c r="C73" s="105" t="s">
        <v>12</v>
      </c>
      <c r="D73" s="106">
        <v>518.59</v>
      </c>
      <c r="E73" s="106">
        <v>493.56</v>
      </c>
      <c r="F73" s="106">
        <v>187.19</v>
      </c>
    </row>
    <row r="74" spans="1:6">
      <c r="A74" s="105" t="s">
        <v>81</v>
      </c>
      <c r="B74" s="105" t="s">
        <v>82</v>
      </c>
      <c r="C74" s="105" t="s">
        <v>54</v>
      </c>
      <c r="D74" s="106">
        <v>697.88</v>
      </c>
      <c r="E74" s="106">
        <v>605.95000000000005</v>
      </c>
      <c r="F74" s="106">
        <v>197.45</v>
      </c>
    </row>
    <row r="75" spans="1:6">
      <c r="A75" s="105" t="s">
        <v>23</v>
      </c>
      <c r="B75" s="105" t="s">
        <v>24</v>
      </c>
      <c r="C75" s="105" t="s">
        <v>12</v>
      </c>
      <c r="D75" s="106">
        <v>441.59</v>
      </c>
      <c r="E75" s="106">
        <v>435.77</v>
      </c>
      <c r="F75" s="106">
        <v>171.78</v>
      </c>
    </row>
    <row r="76" spans="1:6">
      <c r="A76" s="105" t="s">
        <v>185</v>
      </c>
      <c r="B76" s="105" t="s">
        <v>186</v>
      </c>
      <c r="C76" s="105" t="s">
        <v>144</v>
      </c>
      <c r="D76" s="106">
        <v>535.04999999999995</v>
      </c>
      <c r="E76" s="106">
        <v>448.39</v>
      </c>
      <c r="F76" s="106">
        <v>108.51</v>
      </c>
    </row>
    <row r="77" spans="1:6">
      <c r="A77" s="105" t="s">
        <v>29</v>
      </c>
      <c r="B77" s="105" t="s">
        <v>30</v>
      </c>
      <c r="C77" s="105" t="s">
        <v>31</v>
      </c>
      <c r="D77" s="106">
        <v>615.49</v>
      </c>
      <c r="E77" s="106">
        <v>467.76</v>
      </c>
      <c r="F77" s="106">
        <v>296.60000000000002</v>
      </c>
    </row>
    <row r="78" spans="1:6">
      <c r="A78" s="105" t="s">
        <v>142</v>
      </c>
      <c r="B78" s="105" t="s">
        <v>143</v>
      </c>
      <c r="C78" s="105" t="s">
        <v>144</v>
      </c>
      <c r="D78" s="106">
        <v>468.37</v>
      </c>
      <c r="E78" s="106">
        <v>437.21</v>
      </c>
      <c r="F78" s="106">
        <v>251.45</v>
      </c>
    </row>
    <row r="79" spans="1:6">
      <c r="A79" s="105" t="s">
        <v>224</v>
      </c>
      <c r="B79" s="105" t="s">
        <v>225</v>
      </c>
      <c r="C79" s="105" t="s">
        <v>191</v>
      </c>
      <c r="D79" s="106">
        <v>442.23</v>
      </c>
      <c r="E79" s="106">
        <v>555.87</v>
      </c>
      <c r="F79" s="106">
        <v>134.29</v>
      </c>
    </row>
    <row r="80" spans="1:6">
      <c r="A80" s="105" t="s">
        <v>69</v>
      </c>
      <c r="B80" s="105" t="s">
        <v>70</v>
      </c>
      <c r="C80" s="105" t="s">
        <v>54</v>
      </c>
      <c r="D80" s="106">
        <v>663.47</v>
      </c>
      <c r="E80" s="106">
        <v>529.36</v>
      </c>
      <c r="F80" s="106">
        <v>228.81</v>
      </c>
    </row>
    <row r="81" spans="1:6">
      <c r="A81" s="105" t="s">
        <v>140</v>
      </c>
      <c r="B81" s="105" t="s">
        <v>141</v>
      </c>
      <c r="C81" s="105" t="s">
        <v>120</v>
      </c>
      <c r="D81" s="106">
        <v>434.7</v>
      </c>
      <c r="E81" s="106">
        <v>482.29</v>
      </c>
      <c r="F81" s="106">
        <v>95.93</v>
      </c>
    </row>
    <row r="82" spans="1:6">
      <c r="A82" s="105" t="s">
        <v>198</v>
      </c>
      <c r="B82" s="105" t="s">
        <v>199</v>
      </c>
      <c r="C82" s="105" t="s">
        <v>191</v>
      </c>
      <c r="D82" s="106">
        <v>771.06</v>
      </c>
      <c r="E82" s="106">
        <v>487.19</v>
      </c>
      <c r="F82" s="106">
        <v>231.95</v>
      </c>
    </row>
    <row r="83" spans="1:6">
      <c r="A83" s="105" t="s">
        <v>126</v>
      </c>
      <c r="B83" s="105" t="s">
        <v>127</v>
      </c>
      <c r="C83" s="105" t="s">
        <v>120</v>
      </c>
      <c r="D83" s="106">
        <v>613.33000000000004</v>
      </c>
      <c r="E83" s="106">
        <v>604.57000000000005</v>
      </c>
      <c r="F83" s="106">
        <v>180.56</v>
      </c>
    </row>
    <row r="84" spans="1:6">
      <c r="A84" s="105" t="s">
        <v>105</v>
      </c>
      <c r="B84" s="105" t="s">
        <v>106</v>
      </c>
      <c r="C84" s="105" t="s">
        <v>54</v>
      </c>
      <c r="D84" s="106">
        <v>522.91</v>
      </c>
      <c r="E84" s="106">
        <v>542.96</v>
      </c>
      <c r="F84" s="106">
        <v>142.80000000000001</v>
      </c>
    </row>
    <row r="85" spans="1:6">
      <c r="A85" s="105" t="s">
        <v>46</v>
      </c>
      <c r="B85" s="105" t="s">
        <v>47</v>
      </c>
      <c r="C85" s="105" t="s">
        <v>31</v>
      </c>
      <c r="D85" s="106">
        <v>536.47</v>
      </c>
      <c r="E85" s="106">
        <v>522.69000000000005</v>
      </c>
      <c r="F85" s="106">
        <v>161.94999999999999</v>
      </c>
    </row>
    <row r="86" spans="1:6">
      <c r="A86" s="105" t="s">
        <v>317</v>
      </c>
      <c r="B86" s="105" t="s">
        <v>318</v>
      </c>
      <c r="C86" s="105" t="s">
        <v>292</v>
      </c>
      <c r="D86" s="106">
        <v>383.37</v>
      </c>
      <c r="E86" s="106">
        <v>438.18</v>
      </c>
      <c r="F86" s="106">
        <v>155.22</v>
      </c>
    </row>
    <row r="87" spans="1:6">
      <c r="A87" s="105" t="s">
        <v>290</v>
      </c>
      <c r="B87" s="105" t="s">
        <v>291</v>
      </c>
      <c r="C87" s="105" t="s">
        <v>292</v>
      </c>
      <c r="D87" s="106">
        <v>416.7</v>
      </c>
      <c r="E87" s="106">
        <v>447.42</v>
      </c>
      <c r="F87" s="106">
        <v>275.17</v>
      </c>
    </row>
    <row r="88" spans="1:6">
      <c r="A88" s="105" t="s">
        <v>249</v>
      </c>
      <c r="B88" s="105" t="s">
        <v>250</v>
      </c>
      <c r="C88" s="105" t="s">
        <v>230</v>
      </c>
      <c r="D88" s="106">
        <v>548.1</v>
      </c>
      <c r="E88" s="106">
        <v>464.97</v>
      </c>
      <c r="F88" s="106">
        <v>154.43</v>
      </c>
    </row>
    <row r="89" spans="1:6">
      <c r="A89" s="105" t="s">
        <v>130</v>
      </c>
      <c r="B89" s="105" t="s">
        <v>131</v>
      </c>
      <c r="C89" s="105" t="s">
        <v>120</v>
      </c>
      <c r="D89" s="106">
        <v>489.01</v>
      </c>
      <c r="E89" s="106">
        <v>484.05</v>
      </c>
      <c r="F89" s="106">
        <v>147.16999999999999</v>
      </c>
    </row>
    <row r="90" spans="1:6">
      <c r="A90" s="105" t="s">
        <v>299</v>
      </c>
      <c r="B90" s="105" t="s">
        <v>300</v>
      </c>
      <c r="C90" s="105" t="s">
        <v>292</v>
      </c>
      <c r="D90" s="106">
        <v>509.63</v>
      </c>
      <c r="E90" s="106">
        <v>609.28</v>
      </c>
      <c r="F90" s="106">
        <v>212.66</v>
      </c>
    </row>
    <row r="91" spans="1:6">
      <c r="A91" s="105" t="s">
        <v>17</v>
      </c>
      <c r="B91" s="105" t="s">
        <v>18</v>
      </c>
      <c r="C91" s="105" t="s">
        <v>12</v>
      </c>
      <c r="D91" s="106">
        <v>567.29</v>
      </c>
      <c r="E91" s="106">
        <v>489.07</v>
      </c>
      <c r="F91" s="106">
        <v>204.89</v>
      </c>
    </row>
    <row r="92" spans="1:6">
      <c r="A92" s="105" t="s">
        <v>419</v>
      </c>
      <c r="B92" s="105" t="s">
        <v>123</v>
      </c>
      <c r="C92" s="105" t="s">
        <v>120</v>
      </c>
      <c r="D92" s="106">
        <v>446.65</v>
      </c>
      <c r="E92" s="106">
        <v>496.53</v>
      </c>
      <c r="F92" s="106">
        <v>217.95</v>
      </c>
    </row>
    <row r="93" spans="1:6">
      <c r="A93" s="105" t="s">
        <v>15</v>
      </c>
      <c r="B93" s="105" t="s">
        <v>16</v>
      </c>
      <c r="C93" s="105" t="s">
        <v>12</v>
      </c>
      <c r="D93" s="106">
        <v>499.65</v>
      </c>
      <c r="E93" s="106">
        <v>510.33</v>
      </c>
      <c r="F93" s="106">
        <v>212.38</v>
      </c>
    </row>
    <row r="94" spans="1:6">
      <c r="A94" s="105" t="s">
        <v>25</v>
      </c>
      <c r="B94" s="105" t="s">
        <v>26</v>
      </c>
      <c r="C94" s="105" t="s">
        <v>12</v>
      </c>
      <c r="D94" s="106">
        <v>565.82000000000005</v>
      </c>
      <c r="E94" s="106">
        <v>505.33</v>
      </c>
      <c r="F94" s="106">
        <v>130.22999999999999</v>
      </c>
    </row>
    <row r="95" spans="1:6">
      <c r="A95" s="105" t="s">
        <v>183</v>
      </c>
      <c r="B95" s="105" t="s">
        <v>184</v>
      </c>
      <c r="C95" s="105" t="s">
        <v>144</v>
      </c>
      <c r="D95" s="106">
        <v>493.55</v>
      </c>
      <c r="E95" s="106">
        <v>433.79</v>
      </c>
      <c r="F95" s="106">
        <v>117.6</v>
      </c>
    </row>
    <row r="96" spans="1:6">
      <c r="A96" s="105" t="s">
        <v>210</v>
      </c>
      <c r="B96" s="105" t="s">
        <v>211</v>
      </c>
      <c r="C96" s="105" t="s">
        <v>191</v>
      </c>
      <c r="D96" s="106">
        <v>698.63</v>
      </c>
      <c r="E96" s="106">
        <v>621.20000000000005</v>
      </c>
      <c r="F96" s="106">
        <v>205.69</v>
      </c>
    </row>
    <row r="97" spans="1:6">
      <c r="A97" s="105" t="s">
        <v>44</v>
      </c>
      <c r="B97" s="105" t="s">
        <v>45</v>
      </c>
      <c r="C97" s="105" t="s">
        <v>31</v>
      </c>
      <c r="D97" s="106">
        <v>520.83000000000004</v>
      </c>
      <c r="E97" s="106">
        <v>449.1</v>
      </c>
      <c r="F97" s="106">
        <v>164.55</v>
      </c>
    </row>
    <row r="98" spans="1:6">
      <c r="A98" s="105" t="s">
        <v>257</v>
      </c>
      <c r="B98" s="105" t="s">
        <v>258</v>
      </c>
      <c r="C98" s="105" t="s">
        <v>230</v>
      </c>
      <c r="D98" s="106">
        <v>692.56</v>
      </c>
      <c r="E98" s="106">
        <v>766.41</v>
      </c>
      <c r="F98" s="106">
        <v>177.44</v>
      </c>
    </row>
    <row r="99" spans="1:6">
      <c r="A99" s="105" t="s">
        <v>235</v>
      </c>
      <c r="B99" s="105" t="s">
        <v>236</v>
      </c>
      <c r="C99" s="105" t="s">
        <v>230</v>
      </c>
      <c r="D99" s="106">
        <v>643.97</v>
      </c>
      <c r="E99" s="106">
        <v>631.79999999999995</v>
      </c>
      <c r="F99" s="106">
        <v>253.22</v>
      </c>
    </row>
    <row r="100" spans="1:6">
      <c r="A100" s="105" t="s">
        <v>226</v>
      </c>
      <c r="B100" s="105" t="s">
        <v>227</v>
      </c>
      <c r="C100" s="105" t="s">
        <v>191</v>
      </c>
      <c r="D100" s="106">
        <v>531.55999999999995</v>
      </c>
      <c r="E100" s="106">
        <v>631.67999999999995</v>
      </c>
      <c r="F100" s="106">
        <v>110</v>
      </c>
    </row>
    <row r="101" spans="1:6">
      <c r="A101" s="105" t="s">
        <v>212</v>
      </c>
      <c r="B101" s="105" t="s">
        <v>213</v>
      </c>
      <c r="C101" s="105" t="s">
        <v>191</v>
      </c>
      <c r="D101" s="106">
        <v>725.86</v>
      </c>
      <c r="E101" s="106">
        <v>783.65</v>
      </c>
      <c r="F101" s="106">
        <v>198.51</v>
      </c>
    </row>
    <row r="102" spans="1:6">
      <c r="A102" s="105" t="s">
        <v>67</v>
      </c>
      <c r="B102" s="105" t="s">
        <v>68</v>
      </c>
      <c r="C102" s="105" t="s">
        <v>54</v>
      </c>
      <c r="D102" s="106">
        <v>550.70000000000005</v>
      </c>
      <c r="E102" s="106">
        <v>643.11</v>
      </c>
      <c r="F102" s="106">
        <v>229.03</v>
      </c>
    </row>
    <row r="103" spans="1:6">
      <c r="A103" s="105" t="s">
        <v>124</v>
      </c>
      <c r="B103" s="105" t="s">
        <v>125</v>
      </c>
      <c r="C103" s="105" t="s">
        <v>120</v>
      </c>
      <c r="D103" s="106">
        <v>414.54</v>
      </c>
      <c r="E103" s="106">
        <v>388.37</v>
      </c>
      <c r="F103" s="106">
        <v>178.67</v>
      </c>
    </row>
    <row r="104" spans="1:6">
      <c r="A104" s="105" t="s">
        <v>91</v>
      </c>
      <c r="B104" s="105" t="s">
        <v>92</v>
      </c>
      <c r="C104" s="105" t="s">
        <v>54</v>
      </c>
      <c r="D104" s="106">
        <v>636.19000000000005</v>
      </c>
      <c r="E104" s="106">
        <v>859.96</v>
      </c>
      <c r="F104" s="106">
        <v>196.26</v>
      </c>
    </row>
    <row r="105" spans="1:6">
      <c r="A105" s="105" t="s">
        <v>151</v>
      </c>
      <c r="B105" s="105" t="s">
        <v>152</v>
      </c>
      <c r="C105" s="105" t="s">
        <v>144</v>
      </c>
      <c r="D105" s="106">
        <v>406.24</v>
      </c>
      <c r="E105" s="106">
        <v>431.39</v>
      </c>
      <c r="F105" s="106">
        <v>196.93</v>
      </c>
    </row>
    <row r="106" spans="1:6">
      <c r="A106" s="105" t="s">
        <v>303</v>
      </c>
      <c r="B106" s="105" t="s">
        <v>304</v>
      </c>
      <c r="C106" s="105" t="s">
        <v>292</v>
      </c>
      <c r="D106" s="106">
        <v>477.56</v>
      </c>
      <c r="E106" s="106">
        <v>553.11</v>
      </c>
      <c r="F106" s="106">
        <v>202.71</v>
      </c>
    </row>
    <row r="107" spans="1:6">
      <c r="A107" s="105" t="s">
        <v>10</v>
      </c>
      <c r="B107" s="105" t="s">
        <v>11</v>
      </c>
      <c r="C107" s="105" t="s">
        <v>12</v>
      </c>
      <c r="D107" s="106">
        <v>468.42</v>
      </c>
      <c r="E107" s="106">
        <v>486.06</v>
      </c>
      <c r="F107" s="106">
        <v>296.11</v>
      </c>
    </row>
    <row r="108" spans="1:6">
      <c r="A108" s="105" t="s">
        <v>181</v>
      </c>
      <c r="B108" s="105" t="s">
        <v>182</v>
      </c>
      <c r="C108" s="105" t="s">
        <v>144</v>
      </c>
      <c r="D108" s="106">
        <v>448.68</v>
      </c>
      <c r="E108" s="106">
        <v>441.57</v>
      </c>
      <c r="F108" s="106">
        <v>120.76</v>
      </c>
    </row>
    <row r="109" spans="1:6">
      <c r="A109" s="105" t="s">
        <v>268</v>
      </c>
      <c r="B109" s="105" t="s">
        <v>269</v>
      </c>
      <c r="C109" s="105" t="s">
        <v>263</v>
      </c>
      <c r="D109" s="106">
        <v>420.31</v>
      </c>
      <c r="E109" s="106">
        <v>473.51</v>
      </c>
      <c r="F109" s="106">
        <v>244.18</v>
      </c>
    </row>
    <row r="110" spans="1:6">
      <c r="A110" s="105" t="s">
        <v>175</v>
      </c>
      <c r="B110" s="105" t="s">
        <v>176</v>
      </c>
      <c r="C110" s="105" t="s">
        <v>144</v>
      </c>
      <c r="D110" s="106">
        <v>495.66</v>
      </c>
      <c r="E110" s="106">
        <v>458.52</v>
      </c>
      <c r="F110" s="106">
        <v>153.51</v>
      </c>
    </row>
    <row r="111" spans="1:6">
      <c r="A111" s="105" t="s">
        <v>293</v>
      </c>
      <c r="B111" s="105" t="s">
        <v>294</v>
      </c>
      <c r="C111" s="105" t="s">
        <v>292</v>
      </c>
      <c r="D111" s="106">
        <v>549.95000000000005</v>
      </c>
      <c r="E111" s="106">
        <v>355.2</v>
      </c>
      <c r="F111" s="106">
        <v>261.62</v>
      </c>
    </row>
    <row r="112" spans="1:6">
      <c r="A112" s="105" t="s">
        <v>278</v>
      </c>
      <c r="B112" s="105" t="s">
        <v>279</v>
      </c>
      <c r="C112" s="105" t="s">
        <v>263</v>
      </c>
      <c r="D112" s="106">
        <v>520.58000000000004</v>
      </c>
      <c r="E112" s="106">
        <v>452.35</v>
      </c>
      <c r="F112" s="106">
        <v>253.14</v>
      </c>
    </row>
    <row r="113" spans="1:6">
      <c r="A113" s="105" t="s">
        <v>189</v>
      </c>
      <c r="B113" s="105" t="s">
        <v>190</v>
      </c>
      <c r="C113" s="105" t="s">
        <v>191</v>
      </c>
      <c r="D113" s="106">
        <v>696.85</v>
      </c>
      <c r="E113" s="106">
        <v>617.96</v>
      </c>
      <c r="F113" s="106">
        <v>398.55</v>
      </c>
    </row>
    <row r="114" spans="1:6">
      <c r="A114" s="105" t="s">
        <v>266</v>
      </c>
      <c r="B114" s="105" t="s">
        <v>267</v>
      </c>
      <c r="C114" s="105" t="s">
        <v>263</v>
      </c>
      <c r="D114" s="106">
        <v>542.55999999999995</v>
      </c>
      <c r="E114" s="106">
        <v>480.47</v>
      </c>
      <c r="F114" s="106">
        <v>266.24</v>
      </c>
    </row>
    <row r="115" spans="1:6">
      <c r="A115" s="105" t="s">
        <v>251</v>
      </c>
      <c r="B115" s="105" t="s">
        <v>252</v>
      </c>
      <c r="C115" s="105" t="s">
        <v>230</v>
      </c>
      <c r="D115" s="106">
        <v>508.9</v>
      </c>
      <c r="E115" s="106">
        <v>495.71</v>
      </c>
      <c r="F115" s="106">
        <v>149.68</v>
      </c>
    </row>
    <row r="116" spans="1:6">
      <c r="A116" s="105" t="s">
        <v>243</v>
      </c>
      <c r="B116" s="105" t="s">
        <v>244</v>
      </c>
      <c r="C116" s="105" t="s">
        <v>230</v>
      </c>
      <c r="D116" s="106">
        <v>510.75</v>
      </c>
      <c r="E116" s="106">
        <v>805.13</v>
      </c>
      <c r="F116" s="106">
        <v>178.64</v>
      </c>
    </row>
    <row r="117" spans="1:6">
      <c r="A117" s="105" t="s">
        <v>136</v>
      </c>
      <c r="B117" s="105" t="s">
        <v>137</v>
      </c>
      <c r="C117" s="105" t="s">
        <v>120</v>
      </c>
      <c r="D117" s="106">
        <v>567.79</v>
      </c>
      <c r="E117" s="106">
        <v>486.8</v>
      </c>
      <c r="F117" s="106">
        <v>136.22999999999999</v>
      </c>
    </row>
    <row r="118" spans="1:6">
      <c r="A118" s="105" t="s">
        <v>222</v>
      </c>
      <c r="B118" s="105" t="s">
        <v>223</v>
      </c>
      <c r="C118" s="105" t="s">
        <v>191</v>
      </c>
      <c r="D118" s="106">
        <v>511.19</v>
      </c>
      <c r="E118" s="106">
        <v>578.87</v>
      </c>
      <c r="F118" s="106">
        <v>172.61</v>
      </c>
    </row>
    <row r="119" spans="1:6">
      <c r="A119" s="105" t="s">
        <v>50</v>
      </c>
      <c r="B119" s="105" t="s">
        <v>417</v>
      </c>
      <c r="C119" s="105" t="s">
        <v>31</v>
      </c>
      <c r="D119" s="106">
        <v>583.79999999999995</v>
      </c>
      <c r="E119" s="106">
        <v>544.54999999999995</v>
      </c>
      <c r="F119" s="106">
        <v>119.45</v>
      </c>
    </row>
    <row r="120" spans="1:6">
      <c r="A120" s="105" t="s">
        <v>113</v>
      </c>
      <c r="B120" s="105" t="s">
        <v>114</v>
      </c>
      <c r="C120" s="105" t="s">
        <v>54</v>
      </c>
      <c r="D120" s="106">
        <v>517.66</v>
      </c>
      <c r="E120" s="106">
        <v>544.78</v>
      </c>
      <c r="F120" s="106">
        <v>130.63999999999999</v>
      </c>
    </row>
    <row r="121" spans="1:6">
      <c r="A121" s="105" t="s">
        <v>171</v>
      </c>
      <c r="B121" s="105" t="s">
        <v>421</v>
      </c>
      <c r="C121" s="105" t="s">
        <v>144</v>
      </c>
      <c r="D121" s="106">
        <v>416.96</v>
      </c>
      <c r="E121" s="106">
        <v>512.63</v>
      </c>
      <c r="F121" s="106">
        <v>154.97</v>
      </c>
    </row>
    <row r="122" spans="1:6">
      <c r="A122" s="105" t="s">
        <v>284</v>
      </c>
      <c r="B122" s="105" t="s">
        <v>285</v>
      </c>
      <c r="C122" s="105" t="s">
        <v>263</v>
      </c>
      <c r="D122" s="106">
        <v>420.36</v>
      </c>
      <c r="E122" s="106">
        <v>486.66</v>
      </c>
      <c r="F122" s="106">
        <v>190.67</v>
      </c>
    </row>
    <row r="123" spans="1:6">
      <c r="A123" s="105" t="s">
        <v>163</v>
      </c>
      <c r="B123" s="105" t="s">
        <v>164</v>
      </c>
      <c r="C123" s="105" t="s">
        <v>144</v>
      </c>
      <c r="D123" s="106">
        <v>498.79</v>
      </c>
      <c r="E123" s="106">
        <v>443.5</v>
      </c>
      <c r="F123" s="106">
        <v>180.18</v>
      </c>
    </row>
    <row r="124" spans="1:6">
      <c r="A124" s="105" t="s">
        <v>132</v>
      </c>
      <c r="B124" s="105" t="s">
        <v>418</v>
      </c>
      <c r="C124" s="105" t="s">
        <v>120</v>
      </c>
      <c r="D124" s="106">
        <v>470.89</v>
      </c>
      <c r="E124" s="106">
        <v>493.79</v>
      </c>
      <c r="F124" s="106">
        <v>144.43</v>
      </c>
    </row>
    <row r="125" spans="1:6">
      <c r="A125" s="105" t="s">
        <v>288</v>
      </c>
      <c r="B125" s="105" t="s">
        <v>424</v>
      </c>
      <c r="C125" s="105" t="s">
        <v>263</v>
      </c>
      <c r="D125" s="106">
        <v>594.41999999999996</v>
      </c>
      <c r="E125" s="106">
        <v>506.03</v>
      </c>
      <c r="F125" s="106">
        <v>149.38999999999999</v>
      </c>
    </row>
    <row r="126" spans="1:6">
      <c r="A126" s="105" t="s">
        <v>32</v>
      </c>
      <c r="B126" s="105" t="s">
        <v>33</v>
      </c>
      <c r="C126" s="105" t="s">
        <v>31</v>
      </c>
      <c r="D126" s="106">
        <v>522.66999999999996</v>
      </c>
      <c r="E126" s="106">
        <v>689.97</v>
      </c>
      <c r="F126" s="106">
        <v>275.05</v>
      </c>
    </row>
    <row r="127" spans="1:6">
      <c r="A127" s="105" t="s">
        <v>121</v>
      </c>
      <c r="B127" s="105" t="s">
        <v>122</v>
      </c>
      <c r="C127" s="105" t="s">
        <v>120</v>
      </c>
      <c r="D127" s="106">
        <v>485.1</v>
      </c>
      <c r="E127" s="106">
        <v>551.38</v>
      </c>
      <c r="F127" s="106">
        <v>236.64</v>
      </c>
    </row>
    <row r="128" spans="1:6">
      <c r="A128" s="105" t="s">
        <v>196</v>
      </c>
      <c r="B128" s="105" t="s">
        <v>197</v>
      </c>
      <c r="C128" s="105" t="s">
        <v>191</v>
      </c>
      <c r="D128" s="106">
        <v>520.59</v>
      </c>
      <c r="E128" s="106">
        <v>687.26</v>
      </c>
      <c r="F128" s="106">
        <v>248.28</v>
      </c>
    </row>
    <row r="129" spans="1:22" s="1" customFormat="1">
      <c r="A129" s="105" t="s">
        <v>65</v>
      </c>
      <c r="B129" s="105" t="s">
        <v>66</v>
      </c>
      <c r="C129" s="105" t="s">
        <v>54</v>
      </c>
      <c r="D129" s="106">
        <v>513.72</v>
      </c>
      <c r="E129" s="106">
        <v>553.92999999999995</v>
      </c>
      <c r="F129" s="106">
        <v>236.86</v>
      </c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</row>
    <row r="130" spans="1:22">
      <c r="A130" s="105" t="s">
        <v>228</v>
      </c>
      <c r="B130" s="105" t="s">
        <v>229</v>
      </c>
      <c r="C130" s="105" t="s">
        <v>230</v>
      </c>
      <c r="D130" s="106">
        <v>501.76</v>
      </c>
      <c r="E130" s="106">
        <v>562.04999999999995</v>
      </c>
      <c r="F130" s="106">
        <v>231.11</v>
      </c>
    </row>
    <row r="131" spans="1:22">
      <c r="A131" s="105" t="s">
        <v>169</v>
      </c>
      <c r="B131" s="105" t="s">
        <v>170</v>
      </c>
      <c r="C131" s="105" t="s">
        <v>144</v>
      </c>
      <c r="D131" s="106">
        <v>759.04</v>
      </c>
      <c r="E131" s="106">
        <v>501.08</v>
      </c>
      <c r="F131" s="106">
        <v>162.16999999999999</v>
      </c>
    </row>
    <row r="132" spans="1:22">
      <c r="A132" s="105" t="s">
        <v>270</v>
      </c>
      <c r="B132" s="105" t="s">
        <v>271</v>
      </c>
      <c r="C132" s="105" t="s">
        <v>263</v>
      </c>
      <c r="D132" s="106">
        <v>511.11</v>
      </c>
      <c r="E132" s="106">
        <v>488.04</v>
      </c>
      <c r="F132" s="106">
        <v>268.08</v>
      </c>
    </row>
    <row r="133" spans="1:22">
      <c r="A133" s="105" t="s">
        <v>36</v>
      </c>
      <c r="B133" s="105" t="s">
        <v>37</v>
      </c>
      <c r="C133" s="105" t="s">
        <v>31</v>
      </c>
      <c r="D133" s="106">
        <v>741.18</v>
      </c>
      <c r="E133" s="106">
        <v>444</v>
      </c>
      <c r="F133" s="106">
        <v>221.62</v>
      </c>
    </row>
    <row r="134" spans="1:22">
      <c r="A134" s="105" t="s">
        <v>247</v>
      </c>
      <c r="B134" s="105" t="s">
        <v>248</v>
      </c>
      <c r="C134" s="105" t="s">
        <v>230</v>
      </c>
      <c r="D134" s="106">
        <v>458.32</v>
      </c>
      <c r="E134" s="106">
        <v>422.81</v>
      </c>
      <c r="F134" s="106">
        <v>162.1</v>
      </c>
    </row>
    <row r="135" spans="1:22">
      <c r="A135" s="105" t="s">
        <v>57</v>
      </c>
      <c r="B135" s="105" t="s">
        <v>58</v>
      </c>
      <c r="C135" s="105" t="s">
        <v>54</v>
      </c>
      <c r="D135" s="106">
        <v>558.61</v>
      </c>
      <c r="E135" s="106">
        <v>487.64</v>
      </c>
      <c r="F135" s="106">
        <v>254.17</v>
      </c>
    </row>
    <row r="136" spans="1:22">
      <c r="A136" s="105" t="s">
        <v>155</v>
      </c>
      <c r="B136" s="105" t="s">
        <v>156</v>
      </c>
      <c r="C136" s="105" t="s">
        <v>144</v>
      </c>
      <c r="D136" s="106">
        <v>492.63</v>
      </c>
      <c r="E136" s="106">
        <v>575.79999999999995</v>
      </c>
      <c r="F136" s="106">
        <v>184.92</v>
      </c>
    </row>
    <row r="137" spans="1:22">
      <c r="A137" s="105" t="s">
        <v>295</v>
      </c>
      <c r="B137" s="105" t="s">
        <v>296</v>
      </c>
      <c r="C137" s="105" t="s">
        <v>292</v>
      </c>
      <c r="D137" s="106">
        <v>417.91</v>
      </c>
      <c r="E137" s="106">
        <v>462.28</v>
      </c>
      <c r="F137" s="106">
        <v>223.69</v>
      </c>
    </row>
    <row r="138" spans="1:22">
      <c r="A138" s="105" t="s">
        <v>261</v>
      </c>
      <c r="B138" s="105" t="s">
        <v>262</v>
      </c>
      <c r="C138" s="105" t="s">
        <v>263</v>
      </c>
      <c r="D138" s="106">
        <v>500.79</v>
      </c>
      <c r="E138" s="106">
        <v>505.56</v>
      </c>
      <c r="F138" s="106">
        <v>429.73</v>
      </c>
    </row>
    <row r="139" spans="1:22">
      <c r="A139" s="105" t="s">
        <v>61</v>
      </c>
      <c r="B139" s="105" t="s">
        <v>62</v>
      </c>
      <c r="C139" s="105" t="s">
        <v>54</v>
      </c>
      <c r="D139" s="106">
        <v>601.26</v>
      </c>
      <c r="E139" s="106">
        <v>821.12</v>
      </c>
      <c r="F139" s="106">
        <v>251.7</v>
      </c>
    </row>
    <row r="140" spans="1:22">
      <c r="A140" s="105" t="s">
        <v>93</v>
      </c>
      <c r="B140" s="105" t="s">
        <v>94</v>
      </c>
      <c r="C140" s="105" t="s">
        <v>54</v>
      </c>
      <c r="D140" s="106">
        <v>714.47</v>
      </c>
      <c r="E140" s="106">
        <v>648.04</v>
      </c>
      <c r="F140" s="106">
        <v>176.31</v>
      </c>
    </row>
    <row r="141" spans="1:22">
      <c r="A141" s="105" t="s">
        <v>179</v>
      </c>
      <c r="B141" s="105" t="s">
        <v>180</v>
      </c>
      <c r="C141" s="105" t="s">
        <v>144</v>
      </c>
      <c r="D141" s="106">
        <v>623.14</v>
      </c>
      <c r="E141" s="106">
        <v>485.26</v>
      </c>
      <c r="F141" s="106">
        <v>121.38</v>
      </c>
    </row>
    <row r="142" spans="1:22">
      <c r="A142" s="105" t="s">
        <v>274</v>
      </c>
      <c r="B142" s="105" t="s">
        <v>275</v>
      </c>
      <c r="C142" s="105" t="s">
        <v>263</v>
      </c>
      <c r="D142" s="106">
        <v>467.94</v>
      </c>
      <c r="E142" s="106">
        <v>550.91999999999996</v>
      </c>
      <c r="F142" s="106">
        <v>235.47</v>
      </c>
    </row>
    <row r="143" spans="1:22">
      <c r="A143" s="105" t="s">
        <v>202</v>
      </c>
      <c r="B143" s="105" t="s">
        <v>203</v>
      </c>
      <c r="C143" s="105" t="s">
        <v>191</v>
      </c>
      <c r="D143" s="106">
        <v>650.36</v>
      </c>
      <c r="E143" s="106">
        <v>685.19</v>
      </c>
      <c r="F143" s="106">
        <v>230.01</v>
      </c>
    </row>
    <row r="144" spans="1:22">
      <c r="A144" s="105" t="s">
        <v>218</v>
      </c>
      <c r="B144" s="105" t="s">
        <v>219</v>
      </c>
      <c r="C144" s="105" t="s">
        <v>191</v>
      </c>
      <c r="D144" s="106">
        <v>537.70000000000005</v>
      </c>
      <c r="E144" s="106">
        <v>537.84</v>
      </c>
      <c r="F144" s="106">
        <v>176.05</v>
      </c>
    </row>
    <row r="145" spans="1:6">
      <c r="A145" s="105" t="s">
        <v>59</v>
      </c>
      <c r="B145" s="105" t="s">
        <v>60</v>
      </c>
      <c r="C145" s="105" t="s">
        <v>54</v>
      </c>
      <c r="D145" s="106">
        <v>606.79</v>
      </c>
      <c r="E145" s="106">
        <v>871.92</v>
      </c>
      <c r="F145" s="106">
        <v>244.36</v>
      </c>
    </row>
    <row r="146" spans="1:6">
      <c r="A146" s="105" t="s">
        <v>149</v>
      </c>
      <c r="B146" s="105" t="s">
        <v>150</v>
      </c>
      <c r="C146" s="105" t="s">
        <v>144</v>
      </c>
      <c r="D146" s="106">
        <v>466.73</v>
      </c>
      <c r="E146" s="106">
        <v>451.95</v>
      </c>
      <c r="F146" s="106">
        <v>195.54</v>
      </c>
    </row>
    <row r="147" spans="1:6">
      <c r="A147" s="105" t="s">
        <v>255</v>
      </c>
      <c r="B147" s="105" t="s">
        <v>256</v>
      </c>
      <c r="C147" s="105" t="s">
        <v>230</v>
      </c>
      <c r="D147" s="106">
        <v>541.33000000000004</v>
      </c>
      <c r="E147" s="106">
        <v>587.45000000000005</v>
      </c>
      <c r="F147" s="106">
        <v>124.81</v>
      </c>
    </row>
    <row r="148" spans="1:6">
      <c r="A148" s="105" t="s">
        <v>214</v>
      </c>
      <c r="B148" s="105" t="s">
        <v>215</v>
      </c>
      <c r="C148" s="105" t="s">
        <v>191</v>
      </c>
      <c r="D148" s="106">
        <v>571.83000000000004</v>
      </c>
      <c r="E148" s="106">
        <v>525.29999999999995</v>
      </c>
      <c r="F148" s="106">
        <v>195.74</v>
      </c>
    </row>
    <row r="149" spans="1:6">
      <c r="A149" s="105" t="s">
        <v>173</v>
      </c>
      <c r="B149" s="105" t="s">
        <v>174</v>
      </c>
      <c r="C149" s="105" t="s">
        <v>144</v>
      </c>
      <c r="D149" s="106">
        <v>433.08</v>
      </c>
      <c r="E149" s="106">
        <v>431.63</v>
      </c>
      <c r="F149" s="106">
        <v>160.84</v>
      </c>
    </row>
    <row r="150" spans="1:6">
      <c r="A150" s="105" t="s">
        <v>192</v>
      </c>
      <c r="B150" s="105" t="s">
        <v>193</v>
      </c>
      <c r="C150" s="105" t="s">
        <v>191</v>
      </c>
      <c r="D150" s="106">
        <v>772.24</v>
      </c>
      <c r="E150" s="106">
        <v>702.03</v>
      </c>
      <c r="F150" s="106">
        <v>313.47000000000003</v>
      </c>
    </row>
    <row r="151" spans="1:6">
      <c r="A151" s="105" t="s">
        <v>286</v>
      </c>
      <c r="B151" s="105" t="s">
        <v>287</v>
      </c>
      <c r="C151" s="105" t="s">
        <v>263</v>
      </c>
      <c r="D151" s="106">
        <v>483.54</v>
      </c>
      <c r="E151" s="106">
        <v>585.36</v>
      </c>
      <c r="F151" s="106">
        <v>192.28</v>
      </c>
    </row>
    <row r="152" spans="1:6">
      <c r="A152" s="105" t="s">
        <v>272</v>
      </c>
      <c r="B152" s="105" t="s">
        <v>273</v>
      </c>
      <c r="C152" s="105" t="s">
        <v>263</v>
      </c>
      <c r="D152" s="106">
        <v>477.63</v>
      </c>
      <c r="E152" s="106">
        <v>489.49</v>
      </c>
      <c r="F152" s="106">
        <v>248.76</v>
      </c>
    </row>
    <row r="153" spans="1:6">
      <c r="A153" s="105" t="s">
        <v>305</v>
      </c>
      <c r="B153" s="105" t="s">
        <v>306</v>
      </c>
      <c r="C153" s="105" t="s">
        <v>292</v>
      </c>
      <c r="D153" s="106">
        <v>488.04</v>
      </c>
      <c r="E153" s="106">
        <v>537.07000000000005</v>
      </c>
      <c r="F153" s="106">
        <v>197.25</v>
      </c>
    </row>
    <row r="154" spans="1:6">
      <c r="A154">
        <f>COUNTA(A2:A153)</f>
        <v>152</v>
      </c>
    </row>
  </sheetData>
  <sortState ref="A2:F154">
    <sortCondition ref="B1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52"/>
  <sheetViews>
    <sheetView workbookViewId="0">
      <selection activeCell="C24" sqref="C24"/>
    </sheetView>
  </sheetViews>
  <sheetFormatPr baseColWidth="10" defaultColWidth="8.83203125" defaultRowHeight="15" x14ac:dyDescent="0"/>
  <cols>
    <col min="1" max="1" width="45" customWidth="1"/>
    <col min="2" max="2" width="29.1640625" style="8" customWidth="1"/>
    <col min="3" max="4" width="17.83203125" customWidth="1"/>
    <col min="5" max="5" width="12.33203125" customWidth="1"/>
    <col min="6" max="6" width="18.1640625" style="10" customWidth="1"/>
    <col min="7" max="7" width="58.33203125" customWidth="1"/>
    <col min="8" max="8" width="21.83203125" customWidth="1"/>
  </cols>
  <sheetData>
    <row r="1" spans="1:10">
      <c r="A1" s="48" t="s">
        <v>387</v>
      </c>
      <c r="B1" s="14"/>
      <c r="C1" s="10"/>
      <c r="D1" s="10"/>
      <c r="F1"/>
    </row>
    <row r="2" spans="1:10" ht="14.25" customHeight="1">
      <c r="A2" s="23" t="s">
        <v>390</v>
      </c>
      <c r="B2" s="3" t="s">
        <v>408</v>
      </c>
      <c r="C2" s="44">
        <f>IF(C3&lt;methodology!C17,C3,methodology!C17)</f>
        <v>24.4</v>
      </c>
      <c r="D2" s="4"/>
      <c r="F2" s="52" t="s">
        <v>399</v>
      </c>
      <c r="G2" s="53" t="s">
        <v>400</v>
      </c>
      <c r="H2" s="61">
        <f>C6</f>
        <v>294</v>
      </c>
      <c r="I2" s="54"/>
    </row>
    <row r="3" spans="1:10" ht="15.75" customHeight="1">
      <c r="A3" s="23"/>
      <c r="B3" s="3" t="s">
        <v>388</v>
      </c>
      <c r="C3" s="44">
        <f>methodology!C9</f>
        <v>157.65</v>
      </c>
      <c r="D3" s="4"/>
      <c r="F3" s="52"/>
      <c r="G3" s="53" t="s">
        <v>325</v>
      </c>
      <c r="H3" s="61">
        <f>C13</f>
        <v>0</v>
      </c>
      <c r="I3" s="54"/>
      <c r="J3" s="54"/>
    </row>
    <row r="4" spans="1:10" ht="14.25" customHeight="1">
      <c r="A4" s="23"/>
      <c r="B4" s="3" t="s">
        <v>389</v>
      </c>
      <c r="C4" s="44">
        <f>weeklycosts</f>
        <v>475.22</v>
      </c>
      <c r="D4" s="4"/>
      <c r="F4" s="52"/>
      <c r="G4" s="53" t="s">
        <v>326</v>
      </c>
      <c r="H4" s="61">
        <f>C17</f>
        <v>0</v>
      </c>
      <c r="I4" s="54"/>
      <c r="J4" s="54"/>
    </row>
    <row r="5" spans="1:10">
      <c r="A5" s="23"/>
      <c r="B5" s="3" t="s">
        <v>394</v>
      </c>
      <c r="C5" s="44">
        <f>methodology!C18</f>
        <v>85</v>
      </c>
      <c r="D5" s="4"/>
      <c r="F5" s="52"/>
      <c r="G5" s="53" t="s">
        <v>327</v>
      </c>
      <c r="H5" s="61">
        <f>E16</f>
        <v>0</v>
      </c>
      <c r="I5" s="54"/>
      <c r="J5" s="54"/>
    </row>
    <row r="6" spans="1:10" ht="15.75" customHeight="1">
      <c r="A6" s="23"/>
      <c r="B6" s="3" t="s">
        <v>398</v>
      </c>
      <c r="C6" s="60">
        <f>methodology!H2</f>
        <v>294</v>
      </c>
      <c r="D6" s="4"/>
      <c r="F6" s="52"/>
      <c r="G6" s="53"/>
      <c r="H6" s="53"/>
      <c r="I6" s="54"/>
      <c r="J6" s="54"/>
    </row>
    <row r="7" spans="1:10">
      <c r="A7" s="23"/>
      <c r="B7" s="3" t="s">
        <v>392</v>
      </c>
      <c r="C7" s="44">
        <f>threshold</f>
        <v>27000</v>
      </c>
      <c r="D7" s="4"/>
      <c r="F7" s="52"/>
      <c r="G7" s="53"/>
      <c r="H7" s="53"/>
      <c r="I7" s="54"/>
      <c r="J7" s="54"/>
    </row>
    <row r="8" spans="1:10">
      <c r="A8" s="23"/>
      <c r="B8" s="3" t="s">
        <v>404</v>
      </c>
      <c r="C8" s="44">
        <f>methodology!C15</f>
        <v>17000</v>
      </c>
      <c r="D8" s="4"/>
      <c r="F8" s="52"/>
      <c r="G8" s="53"/>
      <c r="H8" s="53"/>
      <c r="I8" s="54"/>
      <c r="J8" s="54"/>
    </row>
    <row r="9" spans="1:10">
      <c r="A9" s="23"/>
      <c r="B9" s="3" t="s">
        <v>391</v>
      </c>
      <c r="C9" s="44">
        <f>totalAssets</f>
        <v>13000</v>
      </c>
      <c r="D9" s="4"/>
      <c r="F9" s="52"/>
      <c r="G9" s="53" t="s">
        <v>329</v>
      </c>
      <c r="H9" s="62">
        <f>B44</f>
        <v>13000</v>
      </c>
      <c r="I9" s="54"/>
      <c r="J9" s="54"/>
    </row>
    <row r="10" spans="1:10">
      <c r="B10" s="5"/>
      <c r="F10" s="52"/>
      <c r="G10" s="53"/>
      <c r="H10" s="62"/>
      <c r="I10" s="54"/>
      <c r="J10" s="54"/>
    </row>
    <row r="11" spans="1:10">
      <c r="A11" s="24" t="s">
        <v>393</v>
      </c>
      <c r="B11" s="6" t="s">
        <v>328</v>
      </c>
      <c r="C11" s="45">
        <f>C9</f>
        <v>13000</v>
      </c>
      <c r="D11" s="7"/>
      <c r="F11" s="52"/>
      <c r="G11" s="53" t="s">
        <v>330</v>
      </c>
      <c r="H11" s="62">
        <f>C23</f>
        <v>0</v>
      </c>
      <c r="I11" s="54"/>
      <c r="J11" s="54"/>
    </row>
    <row r="12" spans="1:10">
      <c r="A12" s="24"/>
      <c r="B12" s="24" t="s">
        <v>402</v>
      </c>
      <c r="C12" s="45">
        <f>MAX(C4+C2-C3-C5,0)</f>
        <v>256.97000000000003</v>
      </c>
      <c r="D12" s="7"/>
      <c r="F12" s="52"/>
      <c r="G12" s="53" t="s">
        <v>331</v>
      </c>
      <c r="H12" s="62">
        <f>C24</f>
        <v>341.97</v>
      </c>
      <c r="I12" s="54"/>
      <c r="J12" s="54"/>
    </row>
    <row r="13" spans="1:10">
      <c r="A13" s="24"/>
      <c r="B13" s="6" t="s">
        <v>395</v>
      </c>
      <c r="C13" s="67">
        <f>IF(C9&gt;C7,IF(C12&gt;0,MIN(ROUNDUP((C11-C7)/C12,0),C6),C6),0)</f>
        <v>0</v>
      </c>
      <c r="D13" s="7"/>
      <c r="F13" s="54"/>
      <c r="G13" s="54"/>
      <c r="H13" s="54"/>
      <c r="I13" s="54"/>
      <c r="J13" s="54"/>
    </row>
    <row r="14" spans="1:10">
      <c r="A14" s="8"/>
      <c r="B14" s="9"/>
      <c r="C14" s="10"/>
      <c r="D14" s="10"/>
      <c r="E14" s="66"/>
      <c r="F14" s="54"/>
      <c r="G14" s="54"/>
      <c r="H14" s="54"/>
    </row>
    <row r="15" spans="1:10" ht="28">
      <c r="A15" s="25" t="s">
        <v>332</v>
      </c>
      <c r="B15" s="11" t="s">
        <v>409</v>
      </c>
      <c r="C15" s="70">
        <f>250*(C4-(C3-C2)-C5)+C8</f>
        <v>81242.5</v>
      </c>
      <c r="D15" s="71"/>
      <c r="E15" s="85"/>
      <c r="F15" s="68"/>
      <c r="G15" s="54"/>
      <c r="H15" s="54"/>
    </row>
    <row r="16" spans="1:10">
      <c r="A16" s="25"/>
      <c r="B16" s="25" t="s">
        <v>402</v>
      </c>
      <c r="C16" s="70">
        <f>MAX(C4+C2-C3-C5,0)</f>
        <v>256.97000000000003</v>
      </c>
      <c r="D16" s="71"/>
      <c r="E16" s="85"/>
      <c r="F16" s="69"/>
      <c r="G16" s="54"/>
      <c r="H16" s="54"/>
    </row>
    <row r="17" spans="1:8">
      <c r="A17" s="25"/>
      <c r="B17" s="11" t="s">
        <v>333</v>
      </c>
      <c r="C17" s="73">
        <f>IF(C15&lt;C8, C6-C13, IF(C16=0, IF((C9-C12*C13)&gt;C15,C6-C13,0),IF((C9-C12*C13)&gt;C15,MIN(ROUNDUP((C9-C12*C13-C15)/C16,0),C6-C13),0)))</f>
        <v>0</v>
      </c>
      <c r="D17" s="71"/>
      <c r="E17" s="86"/>
      <c r="G17" s="54"/>
      <c r="H17" s="54"/>
    </row>
    <row r="18" spans="1:8">
      <c r="A18" s="25"/>
      <c r="B18" s="25" t="s">
        <v>405</v>
      </c>
      <c r="C18" s="72">
        <f>C17*C5</f>
        <v>0</v>
      </c>
      <c r="D18" s="72"/>
      <c r="E18" s="85"/>
      <c r="F18" s="69"/>
      <c r="G18" s="54"/>
      <c r="H18" s="54"/>
    </row>
    <row r="19" spans="1:8">
      <c r="A19" s="9"/>
      <c r="B19" s="80" t="s">
        <v>407</v>
      </c>
      <c r="C19" s="81">
        <f>C18+$C$13*$C$5</f>
        <v>0</v>
      </c>
      <c r="D19" s="81"/>
      <c r="E19" s="85"/>
      <c r="F19" s="69"/>
      <c r="G19" s="54"/>
      <c r="H19" s="54"/>
    </row>
    <row r="20" spans="1:8" s="10" customFormat="1">
      <c r="A20" s="9"/>
      <c r="B20" s="9"/>
      <c r="C20" s="74"/>
      <c r="D20" s="74"/>
      <c r="E20" s="74"/>
      <c r="F20" s="75"/>
      <c r="G20" s="75"/>
      <c r="H20" s="75"/>
    </row>
    <row r="21" spans="1:8" ht="28">
      <c r="A21" s="26" t="s">
        <v>335</v>
      </c>
      <c r="B21" s="13" t="s">
        <v>334</v>
      </c>
      <c r="C21" s="49">
        <f>MIN(C9-C12*C13-C16*C17,threshold,C9)</f>
        <v>13000</v>
      </c>
      <c r="D21" s="12"/>
      <c r="E21" s="10"/>
      <c r="F21" s="54"/>
      <c r="G21" s="54"/>
      <c r="H21" s="54"/>
    </row>
    <row r="22" spans="1:8">
      <c r="A22" s="50"/>
      <c r="B22" s="13" t="s">
        <v>336</v>
      </c>
      <c r="C22" s="21">
        <f>MAX(methodology!H2-'MT calculation'!C13-'MT calculation'!C17,0)</f>
        <v>294</v>
      </c>
      <c r="D22" s="12"/>
      <c r="F22" s="54"/>
      <c r="G22" s="54"/>
      <c r="H22" s="54"/>
    </row>
    <row r="23" spans="1:8">
      <c r="A23" s="50"/>
      <c r="B23" s="13" t="s">
        <v>337</v>
      </c>
      <c r="C23" s="49">
        <f>IF(C22=0,0,(B31-B44)/C22)</f>
        <v>0</v>
      </c>
      <c r="D23" s="12"/>
      <c r="F23"/>
    </row>
    <row r="24" spans="1:8">
      <c r="A24" s="50"/>
      <c r="B24" s="13" t="s">
        <v>338</v>
      </c>
      <c r="C24" s="49">
        <f>IFERROR(MIN(SUMPRODUCT(E31:E44,F31:F44)/SUM(E31:E44),C4),0)</f>
        <v>341.97</v>
      </c>
      <c r="D24" s="12"/>
      <c r="F24"/>
    </row>
    <row r="25" spans="1:8">
      <c r="A25" s="51"/>
      <c r="B25" s="9"/>
      <c r="C25" s="66"/>
      <c r="D25" s="10"/>
      <c r="F25"/>
    </row>
    <row r="26" spans="1:8">
      <c r="A26" s="51"/>
      <c r="F26"/>
    </row>
    <row r="27" spans="1:8">
      <c r="A27" s="10"/>
      <c r="F27"/>
    </row>
    <row r="28" spans="1:8">
      <c r="A28" s="51"/>
      <c r="F28"/>
    </row>
    <row r="29" spans="1:8">
      <c r="A29" s="107" t="s">
        <v>355</v>
      </c>
      <c r="B29" s="107"/>
      <c r="C29" s="107"/>
      <c r="D29" s="107"/>
      <c r="E29" s="15"/>
      <c r="F29" s="15"/>
    </row>
    <row r="30" spans="1:8" s="10" customFormat="1">
      <c r="A30" s="15"/>
      <c r="B30" s="16" t="s">
        <v>339</v>
      </c>
      <c r="C30" s="16" t="s">
        <v>340</v>
      </c>
      <c r="D30" s="83" t="s">
        <v>410</v>
      </c>
      <c r="E30" s="16" t="s">
        <v>341</v>
      </c>
      <c r="F30" s="16" t="s">
        <v>403</v>
      </c>
      <c r="G30" s="77"/>
    </row>
    <row r="31" spans="1:8">
      <c r="A31" s="17" t="s">
        <v>342</v>
      </c>
      <c r="B31" s="82">
        <f>C21</f>
        <v>13000</v>
      </c>
      <c r="C31" s="82">
        <f>MAX((B31-17000)/250,0)</f>
        <v>0</v>
      </c>
      <c r="D31" s="84">
        <f>MAX($C$2+$C$4-$C$3-F31,0)</f>
        <v>0</v>
      </c>
      <c r="E31" s="18">
        <f>IF(C22&gt;52,52,C22)</f>
        <v>52</v>
      </c>
      <c r="F31" s="78">
        <f>MAX($C$4-C31-($C$3-$C$2),85)</f>
        <v>341.97</v>
      </c>
    </row>
    <row r="32" spans="1:8">
      <c r="A32" s="17" t="s">
        <v>343</v>
      </c>
      <c r="B32" s="82">
        <f>B31-E31*D31</f>
        <v>13000</v>
      </c>
      <c r="C32" s="82">
        <f t="shared" ref="C32:C44" si="0">MAX((B32-17000)/250,0)</f>
        <v>0</v>
      </c>
      <c r="D32" s="84">
        <f t="shared" ref="D32:D44" si="1">MAX($C$2+$C$4-$C$3-F32,0)</f>
        <v>0</v>
      </c>
      <c r="E32" s="18">
        <f>IF($C$22-SUM($E$31:E31)&gt;52,52,$C$22-SUM($E$31:E31))</f>
        <v>52</v>
      </c>
      <c r="F32" s="78">
        <f t="shared" ref="F32:F44" si="2">MAX($C$4-C32-($C$3-$C$2),85)</f>
        <v>341.97</v>
      </c>
    </row>
    <row r="33" spans="1:7">
      <c r="A33" s="17" t="s">
        <v>344</v>
      </c>
      <c r="B33" s="82">
        <f>B32-E32*D32</f>
        <v>13000</v>
      </c>
      <c r="C33" s="82">
        <f t="shared" si="0"/>
        <v>0</v>
      </c>
      <c r="D33" s="84">
        <f t="shared" si="1"/>
        <v>0</v>
      </c>
      <c r="E33" s="18">
        <f>IF($C$22-SUM($E$31:E32)&gt;52,52,$C$22-SUM($E$31:E32))</f>
        <v>52</v>
      </c>
      <c r="F33" s="78">
        <f t="shared" si="2"/>
        <v>341.97</v>
      </c>
    </row>
    <row r="34" spans="1:7">
      <c r="A34" s="17" t="s">
        <v>345</v>
      </c>
      <c r="B34" s="82">
        <f t="shared" ref="B34:B44" si="3">B33-E33*D33</f>
        <v>13000</v>
      </c>
      <c r="C34" s="82">
        <f t="shared" si="0"/>
        <v>0</v>
      </c>
      <c r="D34" s="84">
        <f t="shared" si="1"/>
        <v>0</v>
      </c>
      <c r="E34" s="18">
        <f>IF($C$22-SUM($E$31:E33)&gt;52,52,$C$22-SUM($E$31:E33))</f>
        <v>52</v>
      </c>
      <c r="F34" s="78">
        <f t="shared" si="2"/>
        <v>341.97</v>
      </c>
    </row>
    <row r="35" spans="1:7">
      <c r="A35" s="17" t="s">
        <v>356</v>
      </c>
      <c r="B35" s="82">
        <f t="shared" si="3"/>
        <v>13000</v>
      </c>
      <c r="C35" s="82">
        <f t="shared" si="0"/>
        <v>0</v>
      </c>
      <c r="D35" s="84">
        <f t="shared" si="1"/>
        <v>0</v>
      </c>
      <c r="E35" s="18">
        <f>IF($C$22-SUM($E$31:E34)&gt;52,52,$C$22-SUM($E$31:E34))</f>
        <v>52</v>
      </c>
      <c r="F35" s="78">
        <f t="shared" si="2"/>
        <v>341.97</v>
      </c>
    </row>
    <row r="36" spans="1:7">
      <c r="A36" s="17" t="s">
        <v>346</v>
      </c>
      <c r="B36" s="82">
        <f t="shared" si="3"/>
        <v>13000</v>
      </c>
      <c r="C36" s="82">
        <f t="shared" si="0"/>
        <v>0</v>
      </c>
      <c r="D36" s="84">
        <f t="shared" si="1"/>
        <v>0</v>
      </c>
      <c r="E36" s="18">
        <f>IF($C$22-SUM($E$31:E35)&gt;52,52,$C$22-SUM($E$31:E35))</f>
        <v>34</v>
      </c>
      <c r="F36" s="78">
        <f t="shared" si="2"/>
        <v>341.97</v>
      </c>
    </row>
    <row r="37" spans="1:7">
      <c r="A37" s="17" t="s">
        <v>347</v>
      </c>
      <c r="B37" s="82">
        <f t="shared" si="3"/>
        <v>13000</v>
      </c>
      <c r="C37" s="82">
        <f t="shared" si="0"/>
        <v>0</v>
      </c>
      <c r="D37" s="84">
        <f t="shared" si="1"/>
        <v>0</v>
      </c>
      <c r="E37" s="18">
        <f>IF($C$22-SUM($E$31:E36)&gt;52,52,$C$22-SUM($E$31:E36))</f>
        <v>0</v>
      </c>
      <c r="F37" s="78">
        <f t="shared" si="2"/>
        <v>341.97</v>
      </c>
    </row>
    <row r="38" spans="1:7">
      <c r="A38" s="17" t="s">
        <v>348</v>
      </c>
      <c r="B38" s="82">
        <f t="shared" si="3"/>
        <v>13000</v>
      </c>
      <c r="C38" s="82">
        <f t="shared" si="0"/>
        <v>0</v>
      </c>
      <c r="D38" s="84">
        <f t="shared" si="1"/>
        <v>0</v>
      </c>
      <c r="E38" s="18">
        <f>IF($C$22-SUM($E$31:E37)&gt;52,52,$C$22-SUM($E$31:E37))</f>
        <v>0</v>
      </c>
      <c r="F38" s="78">
        <f t="shared" si="2"/>
        <v>341.97</v>
      </c>
    </row>
    <row r="39" spans="1:7">
      <c r="A39" s="17" t="s">
        <v>349</v>
      </c>
      <c r="B39" s="82">
        <f t="shared" si="3"/>
        <v>13000</v>
      </c>
      <c r="C39" s="82">
        <f t="shared" si="0"/>
        <v>0</v>
      </c>
      <c r="D39" s="84">
        <f t="shared" si="1"/>
        <v>0</v>
      </c>
      <c r="E39" s="18">
        <f>IF($C$22-SUM($E$31:E38)&gt;52,52,$C$22-SUM($E$31:E38))</f>
        <v>0</v>
      </c>
      <c r="F39" s="78">
        <f t="shared" si="2"/>
        <v>341.97</v>
      </c>
    </row>
    <row r="40" spans="1:7">
      <c r="A40" s="17" t="s">
        <v>350</v>
      </c>
      <c r="B40" s="82">
        <f t="shared" si="3"/>
        <v>13000</v>
      </c>
      <c r="C40" s="82">
        <f t="shared" si="0"/>
        <v>0</v>
      </c>
      <c r="D40" s="84">
        <f t="shared" si="1"/>
        <v>0</v>
      </c>
      <c r="E40" s="18">
        <f>IF($C$22-SUM($E$31:E39)&gt;52,52,$C$22-SUM($E$31:E39))</f>
        <v>0</v>
      </c>
      <c r="F40" s="78">
        <f t="shared" si="2"/>
        <v>341.97</v>
      </c>
    </row>
    <row r="41" spans="1:7">
      <c r="A41" s="17" t="s">
        <v>351</v>
      </c>
      <c r="B41" s="82">
        <f t="shared" si="3"/>
        <v>13000</v>
      </c>
      <c r="C41" s="82">
        <f t="shared" si="0"/>
        <v>0</v>
      </c>
      <c r="D41" s="84">
        <f t="shared" si="1"/>
        <v>0</v>
      </c>
      <c r="E41" s="18">
        <f>IF($C$22-SUM($E$31:E40)&gt;52,52,$C$22-SUM($E$31:E40))</f>
        <v>0</v>
      </c>
      <c r="F41" s="78">
        <f t="shared" si="2"/>
        <v>341.97</v>
      </c>
    </row>
    <row r="42" spans="1:7">
      <c r="A42" s="17" t="s">
        <v>352</v>
      </c>
      <c r="B42" s="82">
        <f t="shared" si="3"/>
        <v>13000</v>
      </c>
      <c r="C42" s="82">
        <f t="shared" si="0"/>
        <v>0</v>
      </c>
      <c r="D42" s="84">
        <f t="shared" si="1"/>
        <v>0</v>
      </c>
      <c r="E42" s="18">
        <f>IF($C$22-SUM($E$31:E41)&gt;52,52,$C$22-SUM($E$31:E41))</f>
        <v>0</v>
      </c>
      <c r="F42" s="78">
        <f t="shared" si="2"/>
        <v>341.97</v>
      </c>
    </row>
    <row r="43" spans="1:7">
      <c r="A43" s="17" t="s">
        <v>353</v>
      </c>
      <c r="B43" s="82">
        <f t="shared" si="3"/>
        <v>13000</v>
      </c>
      <c r="C43" s="82">
        <f t="shared" si="0"/>
        <v>0</v>
      </c>
      <c r="D43" s="84">
        <f t="shared" si="1"/>
        <v>0</v>
      </c>
      <c r="E43" s="18">
        <f>IF($C$22-SUM($E$31:E42)&gt;52,52,$C$22-SUM($E$31:E42))</f>
        <v>0</v>
      </c>
      <c r="F43" s="78">
        <f t="shared" si="2"/>
        <v>341.97</v>
      </c>
    </row>
    <row r="44" spans="1:7">
      <c r="A44" s="17" t="s">
        <v>357</v>
      </c>
      <c r="B44" s="82">
        <f t="shared" si="3"/>
        <v>13000</v>
      </c>
      <c r="C44" s="82">
        <f t="shared" si="0"/>
        <v>0</v>
      </c>
      <c r="D44" s="84">
        <f t="shared" si="1"/>
        <v>0</v>
      </c>
      <c r="E44" s="18">
        <f>IF($C$22-SUM($E$31:E43)&gt;52,52,$C$22-SUM($E$31:E43))</f>
        <v>0</v>
      </c>
      <c r="F44" s="78">
        <f t="shared" si="2"/>
        <v>341.97</v>
      </c>
    </row>
    <row r="45" spans="1:7">
      <c r="A45" s="17" t="s">
        <v>370</v>
      </c>
      <c r="B45" s="46"/>
      <c r="C45" s="47"/>
      <c r="D45" s="84"/>
      <c r="E45" s="47"/>
      <c r="F45" s="47"/>
    </row>
    <row r="46" spans="1:7">
      <c r="A46" s="17" t="s">
        <v>1</v>
      </c>
      <c r="B46" s="46"/>
      <c r="C46" s="47"/>
      <c r="D46" s="84"/>
      <c r="E46" s="47"/>
      <c r="F46" s="47"/>
      <c r="G46" s="19"/>
    </row>
    <row r="47" spans="1:7">
      <c r="A47" s="17" t="s">
        <v>2</v>
      </c>
      <c r="B47" s="46"/>
      <c r="C47" s="47"/>
      <c r="D47" s="84"/>
      <c r="E47" s="47"/>
      <c r="F47" s="47"/>
      <c r="G47" s="19"/>
    </row>
    <row r="48" spans="1:7">
      <c r="A48" s="19"/>
      <c r="B48" s="20"/>
      <c r="C48" s="19"/>
      <c r="D48" s="19"/>
      <c r="E48" s="19"/>
      <c r="G48" s="19"/>
    </row>
    <row r="49" spans="1:7">
      <c r="A49" s="19"/>
      <c r="B49" s="20"/>
      <c r="C49" s="19"/>
      <c r="D49" s="19"/>
      <c r="E49" s="19"/>
      <c r="G49" s="19"/>
    </row>
    <row r="50" spans="1:7">
      <c r="A50" s="19"/>
      <c r="B50" s="20"/>
      <c r="C50" s="19"/>
      <c r="D50" s="19"/>
      <c r="E50" s="19"/>
      <c r="G50" s="19"/>
    </row>
    <row r="51" spans="1:7">
      <c r="A51" s="19"/>
      <c r="B51" s="20"/>
      <c r="C51" s="19"/>
      <c r="D51" s="19"/>
      <c r="E51" s="19"/>
      <c r="G51" s="19"/>
    </row>
    <row r="52" spans="1:7">
      <c r="E52" s="19"/>
      <c r="G52" s="19"/>
    </row>
  </sheetData>
  <mergeCells count="1">
    <mergeCell ref="A29:D29"/>
  </mergeCell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XFD54"/>
  <sheetViews>
    <sheetView tabSelected="1" topLeftCell="A32" workbookViewId="0">
      <pane xSplit="1" topLeftCell="O1" activePane="topRight" state="frozen"/>
      <selection activeCell="A5" sqref="A5"/>
      <selection pane="topRight" activeCell="T63" sqref="T63"/>
    </sheetView>
  </sheetViews>
  <sheetFormatPr baseColWidth="10" defaultColWidth="8.83203125" defaultRowHeight="15" x14ac:dyDescent="0"/>
  <cols>
    <col min="1" max="1" width="65.6640625" customWidth="1"/>
    <col min="2" max="104" width="16.33203125" customWidth="1"/>
    <col min="105" max="105" width="16.33203125" style="97" customWidth="1"/>
    <col min="106" max="173" width="16.33203125" customWidth="1"/>
    <col min="174" max="174" width="16.33203125" style="1" customWidth="1"/>
    <col min="175" max="260" width="16.33203125" customWidth="1"/>
  </cols>
  <sheetData>
    <row r="1" spans="1:16384" hidden="1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CY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si="1"/>
        <v>97</v>
      </c>
      <c r="CU1">
        <f t="shared" si="1"/>
        <v>98</v>
      </c>
      <c r="CV1">
        <f t="shared" si="1"/>
        <v>99</v>
      </c>
      <c r="CW1">
        <f t="shared" si="1"/>
        <v>100</v>
      </c>
      <c r="CX1">
        <f t="shared" si="1"/>
        <v>101</v>
      </c>
      <c r="CY1">
        <f t="shared" si="1"/>
        <v>102</v>
      </c>
      <c r="CZ1">
        <v>103</v>
      </c>
      <c r="DA1" s="97">
        <f>CZ1+1</f>
        <v>104</v>
      </c>
      <c r="DB1">
        <f t="shared" ref="DB1:FM1" si="2">DA1+1</f>
        <v>105</v>
      </c>
      <c r="DC1">
        <f t="shared" si="2"/>
        <v>106</v>
      </c>
      <c r="DD1">
        <f t="shared" si="2"/>
        <v>107</v>
      </c>
      <c r="DE1">
        <f t="shared" si="2"/>
        <v>108</v>
      </c>
      <c r="DF1">
        <f t="shared" si="2"/>
        <v>109</v>
      </c>
      <c r="DG1">
        <f t="shared" si="2"/>
        <v>110</v>
      </c>
      <c r="DH1">
        <f t="shared" si="2"/>
        <v>111</v>
      </c>
      <c r="DI1">
        <f t="shared" si="2"/>
        <v>112</v>
      </c>
      <c r="DJ1">
        <f t="shared" si="2"/>
        <v>113</v>
      </c>
      <c r="DK1">
        <f t="shared" si="2"/>
        <v>114</v>
      </c>
      <c r="DL1">
        <f t="shared" si="2"/>
        <v>115</v>
      </c>
      <c r="DM1">
        <f t="shared" si="2"/>
        <v>116</v>
      </c>
      <c r="DN1">
        <f t="shared" si="2"/>
        <v>117</v>
      </c>
      <c r="DO1">
        <f t="shared" si="2"/>
        <v>118</v>
      </c>
      <c r="DP1">
        <f t="shared" si="2"/>
        <v>119</v>
      </c>
      <c r="DQ1">
        <f t="shared" si="2"/>
        <v>120</v>
      </c>
      <c r="DR1">
        <f t="shared" si="2"/>
        <v>121</v>
      </c>
      <c r="DS1">
        <f t="shared" si="2"/>
        <v>122</v>
      </c>
      <c r="DT1">
        <f t="shared" si="2"/>
        <v>123</v>
      </c>
      <c r="DU1">
        <f t="shared" si="2"/>
        <v>124</v>
      </c>
      <c r="DV1">
        <f t="shared" si="2"/>
        <v>125</v>
      </c>
      <c r="DW1">
        <f t="shared" si="2"/>
        <v>126</v>
      </c>
      <c r="DX1">
        <f t="shared" si="2"/>
        <v>127</v>
      </c>
      <c r="DY1">
        <f t="shared" si="2"/>
        <v>128</v>
      </c>
      <c r="DZ1">
        <f t="shared" si="2"/>
        <v>129</v>
      </c>
      <c r="EA1">
        <f t="shared" si="2"/>
        <v>130</v>
      </c>
      <c r="EB1">
        <f t="shared" si="2"/>
        <v>131</v>
      </c>
      <c r="EC1">
        <f t="shared" si="2"/>
        <v>132</v>
      </c>
      <c r="ED1">
        <f t="shared" si="2"/>
        <v>133</v>
      </c>
      <c r="EE1">
        <f t="shared" si="2"/>
        <v>134</v>
      </c>
      <c r="EF1">
        <f t="shared" si="2"/>
        <v>135</v>
      </c>
      <c r="EG1">
        <f t="shared" si="2"/>
        <v>136</v>
      </c>
      <c r="EH1">
        <f t="shared" si="2"/>
        <v>137</v>
      </c>
      <c r="EI1">
        <f t="shared" si="2"/>
        <v>138</v>
      </c>
      <c r="EJ1">
        <f t="shared" si="2"/>
        <v>139</v>
      </c>
      <c r="EK1">
        <f t="shared" si="2"/>
        <v>140</v>
      </c>
      <c r="EL1">
        <f t="shared" si="2"/>
        <v>141</v>
      </c>
      <c r="EM1">
        <f t="shared" si="2"/>
        <v>142</v>
      </c>
      <c r="EN1">
        <f t="shared" si="2"/>
        <v>143</v>
      </c>
      <c r="EO1">
        <f t="shared" si="2"/>
        <v>144</v>
      </c>
      <c r="EP1">
        <f t="shared" si="2"/>
        <v>145</v>
      </c>
      <c r="EQ1">
        <f t="shared" si="2"/>
        <v>146</v>
      </c>
      <c r="ER1">
        <f t="shared" si="2"/>
        <v>147</v>
      </c>
      <c r="ES1">
        <f>ER1+1</f>
        <v>148</v>
      </c>
      <c r="ET1">
        <f t="shared" si="2"/>
        <v>149</v>
      </c>
      <c r="EU1">
        <f t="shared" si="2"/>
        <v>150</v>
      </c>
      <c r="EV1">
        <f t="shared" si="2"/>
        <v>151</v>
      </c>
      <c r="EW1">
        <f t="shared" si="2"/>
        <v>152</v>
      </c>
      <c r="EX1">
        <f t="shared" si="2"/>
        <v>153</v>
      </c>
      <c r="EY1">
        <f t="shared" si="2"/>
        <v>154</v>
      </c>
      <c r="EZ1">
        <f t="shared" si="2"/>
        <v>155</v>
      </c>
      <c r="FA1">
        <f t="shared" si="2"/>
        <v>156</v>
      </c>
      <c r="FB1">
        <f t="shared" si="2"/>
        <v>157</v>
      </c>
      <c r="FC1">
        <f t="shared" si="2"/>
        <v>158</v>
      </c>
      <c r="FD1">
        <f t="shared" si="2"/>
        <v>159</v>
      </c>
      <c r="FE1">
        <f t="shared" si="2"/>
        <v>160</v>
      </c>
      <c r="FF1">
        <f t="shared" si="2"/>
        <v>161</v>
      </c>
      <c r="FG1">
        <f t="shared" si="2"/>
        <v>162</v>
      </c>
      <c r="FH1">
        <f t="shared" si="2"/>
        <v>163</v>
      </c>
      <c r="FI1">
        <f t="shared" si="2"/>
        <v>164</v>
      </c>
      <c r="FJ1">
        <f t="shared" si="2"/>
        <v>165</v>
      </c>
      <c r="FK1">
        <f t="shared" si="2"/>
        <v>166</v>
      </c>
      <c r="FL1">
        <f t="shared" si="2"/>
        <v>167</v>
      </c>
      <c r="FM1">
        <f t="shared" si="2"/>
        <v>168</v>
      </c>
      <c r="FN1">
        <f t="shared" ref="FN1:HY1" si="3">FM1+1</f>
        <v>169</v>
      </c>
      <c r="FO1">
        <f t="shared" si="3"/>
        <v>170</v>
      </c>
      <c r="FP1">
        <f t="shared" si="3"/>
        <v>171</v>
      </c>
      <c r="FQ1">
        <f t="shared" si="3"/>
        <v>172</v>
      </c>
      <c r="FR1" s="1">
        <f t="shared" si="3"/>
        <v>173</v>
      </c>
      <c r="FS1">
        <f t="shared" si="3"/>
        <v>174</v>
      </c>
      <c r="FT1">
        <f t="shared" si="3"/>
        <v>175</v>
      </c>
      <c r="FU1">
        <f t="shared" si="3"/>
        <v>176</v>
      </c>
      <c r="FV1">
        <f t="shared" si="3"/>
        <v>177</v>
      </c>
      <c r="FW1">
        <f t="shared" si="3"/>
        <v>178</v>
      </c>
      <c r="FX1">
        <f t="shared" si="3"/>
        <v>179</v>
      </c>
      <c r="FY1">
        <f t="shared" si="3"/>
        <v>180</v>
      </c>
      <c r="FZ1">
        <f t="shared" si="3"/>
        <v>181</v>
      </c>
      <c r="GA1">
        <f t="shared" si="3"/>
        <v>182</v>
      </c>
      <c r="GB1">
        <f t="shared" si="3"/>
        <v>183</v>
      </c>
      <c r="GC1">
        <f t="shared" si="3"/>
        <v>184</v>
      </c>
      <c r="GD1">
        <f t="shared" si="3"/>
        <v>185</v>
      </c>
      <c r="GE1">
        <f t="shared" si="3"/>
        <v>186</v>
      </c>
      <c r="GF1">
        <f t="shared" si="3"/>
        <v>187</v>
      </c>
      <c r="GG1">
        <f t="shared" si="3"/>
        <v>188</v>
      </c>
      <c r="GH1">
        <f t="shared" si="3"/>
        <v>189</v>
      </c>
      <c r="GI1">
        <f t="shared" si="3"/>
        <v>190</v>
      </c>
      <c r="GJ1">
        <f t="shared" si="3"/>
        <v>191</v>
      </c>
      <c r="GK1">
        <f t="shared" si="3"/>
        <v>192</v>
      </c>
      <c r="GL1">
        <f t="shared" si="3"/>
        <v>193</v>
      </c>
      <c r="GM1">
        <f t="shared" si="3"/>
        <v>194</v>
      </c>
      <c r="GN1">
        <f t="shared" si="3"/>
        <v>195</v>
      </c>
      <c r="GO1">
        <f t="shared" si="3"/>
        <v>196</v>
      </c>
      <c r="GP1">
        <f t="shared" si="3"/>
        <v>197</v>
      </c>
      <c r="GQ1">
        <f t="shared" si="3"/>
        <v>198</v>
      </c>
      <c r="GR1">
        <f t="shared" si="3"/>
        <v>199</v>
      </c>
      <c r="GS1">
        <f t="shared" si="3"/>
        <v>200</v>
      </c>
      <c r="GT1">
        <f t="shared" si="3"/>
        <v>201</v>
      </c>
      <c r="GU1">
        <f t="shared" si="3"/>
        <v>202</v>
      </c>
      <c r="GV1">
        <f t="shared" si="3"/>
        <v>203</v>
      </c>
      <c r="GW1">
        <f t="shared" si="3"/>
        <v>204</v>
      </c>
      <c r="GX1">
        <f t="shared" si="3"/>
        <v>205</v>
      </c>
      <c r="GY1">
        <f t="shared" si="3"/>
        <v>206</v>
      </c>
      <c r="GZ1">
        <f t="shared" si="3"/>
        <v>207</v>
      </c>
      <c r="HA1">
        <f t="shared" si="3"/>
        <v>208</v>
      </c>
      <c r="HB1">
        <f t="shared" si="3"/>
        <v>209</v>
      </c>
      <c r="HC1">
        <f t="shared" si="3"/>
        <v>210</v>
      </c>
      <c r="HD1">
        <f t="shared" si="3"/>
        <v>211</v>
      </c>
      <c r="HE1">
        <f t="shared" si="3"/>
        <v>212</v>
      </c>
      <c r="HF1">
        <f t="shared" si="3"/>
        <v>213</v>
      </c>
      <c r="HG1">
        <f t="shared" si="3"/>
        <v>214</v>
      </c>
      <c r="HH1">
        <f t="shared" si="3"/>
        <v>215</v>
      </c>
      <c r="HI1">
        <f t="shared" si="3"/>
        <v>216</v>
      </c>
      <c r="HJ1">
        <f t="shared" si="3"/>
        <v>217</v>
      </c>
      <c r="HK1">
        <f t="shared" si="3"/>
        <v>218</v>
      </c>
      <c r="HL1">
        <f t="shared" si="3"/>
        <v>219</v>
      </c>
      <c r="HM1">
        <f t="shared" si="3"/>
        <v>220</v>
      </c>
      <c r="HN1">
        <f t="shared" si="3"/>
        <v>221</v>
      </c>
      <c r="HO1">
        <f t="shared" si="3"/>
        <v>222</v>
      </c>
      <c r="HP1">
        <f t="shared" si="3"/>
        <v>223</v>
      </c>
      <c r="HQ1">
        <f t="shared" si="3"/>
        <v>224</v>
      </c>
      <c r="HR1">
        <f t="shared" si="3"/>
        <v>225</v>
      </c>
      <c r="HS1">
        <f t="shared" si="3"/>
        <v>226</v>
      </c>
      <c r="HT1">
        <f t="shared" si="3"/>
        <v>227</v>
      </c>
      <c r="HU1">
        <f t="shared" si="3"/>
        <v>228</v>
      </c>
      <c r="HV1">
        <f t="shared" si="3"/>
        <v>229</v>
      </c>
      <c r="HW1">
        <f t="shared" si="3"/>
        <v>230</v>
      </c>
      <c r="HX1">
        <f t="shared" si="3"/>
        <v>231</v>
      </c>
      <c r="HY1">
        <f t="shared" si="3"/>
        <v>232</v>
      </c>
      <c r="HZ1">
        <f t="shared" ref="HZ1:IZ1" si="4">HY1+1</f>
        <v>233</v>
      </c>
      <c r="IA1">
        <f t="shared" si="4"/>
        <v>234</v>
      </c>
      <c r="IB1">
        <f t="shared" si="4"/>
        <v>235</v>
      </c>
      <c r="IC1">
        <f t="shared" si="4"/>
        <v>236</v>
      </c>
      <c r="ID1">
        <f t="shared" si="4"/>
        <v>237</v>
      </c>
      <c r="IE1">
        <f t="shared" si="4"/>
        <v>238</v>
      </c>
      <c r="IF1">
        <f t="shared" si="4"/>
        <v>239</v>
      </c>
      <c r="IG1">
        <f t="shared" si="4"/>
        <v>240</v>
      </c>
      <c r="IH1">
        <f t="shared" si="4"/>
        <v>241</v>
      </c>
      <c r="II1">
        <f t="shared" si="4"/>
        <v>242</v>
      </c>
      <c r="IJ1">
        <f t="shared" si="4"/>
        <v>243</v>
      </c>
      <c r="IK1">
        <f t="shared" si="4"/>
        <v>244</v>
      </c>
      <c r="IL1">
        <f t="shared" si="4"/>
        <v>245</v>
      </c>
      <c r="IM1">
        <f t="shared" si="4"/>
        <v>246</v>
      </c>
      <c r="IN1">
        <f t="shared" si="4"/>
        <v>247</v>
      </c>
      <c r="IO1">
        <f t="shared" si="4"/>
        <v>248</v>
      </c>
      <c r="IP1">
        <f t="shared" si="4"/>
        <v>249</v>
      </c>
      <c r="IQ1">
        <f t="shared" si="4"/>
        <v>250</v>
      </c>
      <c r="IR1">
        <f t="shared" si="4"/>
        <v>251</v>
      </c>
      <c r="IS1">
        <f t="shared" si="4"/>
        <v>252</v>
      </c>
      <c r="IT1">
        <f t="shared" si="4"/>
        <v>253</v>
      </c>
      <c r="IU1">
        <f t="shared" si="4"/>
        <v>254</v>
      </c>
      <c r="IV1">
        <f t="shared" si="4"/>
        <v>255</v>
      </c>
      <c r="IW1">
        <f t="shared" si="4"/>
        <v>256</v>
      </c>
      <c r="IX1">
        <f t="shared" si="4"/>
        <v>257</v>
      </c>
      <c r="IY1">
        <f t="shared" si="4"/>
        <v>258</v>
      </c>
      <c r="IZ1">
        <f t="shared" si="4"/>
        <v>259</v>
      </c>
    </row>
    <row r="2" spans="1:16384" hidden="1"/>
    <row r="3" spans="1:16384" hidden="1"/>
    <row r="4" spans="1:16384" hidden="1">
      <c r="C4">
        <v>0.49650992328906807</v>
      </c>
      <c r="D4">
        <v>0.87202075645144494</v>
      </c>
      <c r="E4">
        <v>0.46773372147065473</v>
      </c>
      <c r="F4">
        <v>0.39959922142213766</v>
      </c>
      <c r="G4">
        <v>0.12271978894442914</v>
      </c>
      <c r="H4">
        <v>0.65381834968204544</v>
      </c>
      <c r="I4">
        <v>0.32211652025685322</v>
      </c>
      <c r="J4">
        <v>0.18283470103487309</v>
      </c>
      <c r="K4">
        <v>0.57074028330603055</v>
      </c>
      <c r="L4">
        <v>0.79634726888976504</v>
      </c>
      <c r="M4">
        <v>9.8435461988812256E-2</v>
      </c>
      <c r="N4">
        <v>0.96503509176052038</v>
      </c>
      <c r="O4">
        <v>0.95235568323449737</v>
      </c>
      <c r="P4">
        <v>0.73455748699605816</v>
      </c>
      <c r="Q4">
        <v>0.36666850048190625</v>
      </c>
      <c r="R4">
        <v>0.44257711566595015</v>
      </c>
      <c r="S4">
        <v>0.69865382245862706</v>
      </c>
      <c r="T4">
        <v>0.47365905025947375</v>
      </c>
      <c r="U4">
        <v>0.99103429985852087</v>
      </c>
      <c r="V4">
        <v>0.18701201720650806</v>
      </c>
      <c r="W4">
        <v>0.35225001704752656</v>
      </c>
      <c r="X4">
        <v>0.5490031171388553</v>
      </c>
      <c r="Y4">
        <v>7.1776180760240282E-2</v>
      </c>
      <c r="Z4">
        <v>0.29833356548391532</v>
      </c>
      <c r="AA4">
        <v>0.91643689646232485</v>
      </c>
      <c r="AB4">
        <v>0.68109332301737058</v>
      </c>
      <c r="AC4">
        <v>0.87264412682130321</v>
      </c>
      <c r="AD4">
        <v>0.30284503717690536</v>
      </c>
      <c r="AE4">
        <v>0.67775210832376709</v>
      </c>
      <c r="AF4">
        <v>0.55898565367969177</v>
      </c>
      <c r="AG4">
        <v>0.34476351686999351</v>
      </c>
      <c r="AH4">
        <v>0.20093720042357988</v>
      </c>
      <c r="AI4">
        <v>0.13846531972943488</v>
      </c>
      <c r="AJ4">
        <v>0.33548616331755332</v>
      </c>
      <c r="AK4">
        <v>0.83907767070553552</v>
      </c>
      <c r="AL4">
        <v>0.89259909196862242</v>
      </c>
      <c r="AM4">
        <v>0.83359532729232422</v>
      </c>
      <c r="AN4">
        <v>0.27538497943161333</v>
      </c>
      <c r="AO4">
        <v>0.26877614855279297</v>
      </c>
      <c r="AP4">
        <v>0.94280855850987211</v>
      </c>
      <c r="AQ4">
        <v>0.64165328816269229</v>
      </c>
      <c r="AR4">
        <v>0.33281574575137884</v>
      </c>
      <c r="AS4">
        <v>0.78260099522675819</v>
      </c>
      <c r="AT4">
        <v>0.36745589223148312</v>
      </c>
      <c r="AU4">
        <v>0.12962367196256086</v>
      </c>
      <c r="AV4">
        <v>0.60062224973229794</v>
      </c>
      <c r="AW4">
        <v>0.57277210996177974</v>
      </c>
      <c r="AX4">
        <v>0.80802340440353437</v>
      </c>
      <c r="AY4">
        <v>9.5248369418269307E-3</v>
      </c>
      <c r="AZ4">
        <v>0.60219314950417346</v>
      </c>
      <c r="BA4">
        <v>0.17514233685413516</v>
      </c>
      <c r="BB4">
        <v>0.79337303146954041</v>
      </c>
      <c r="BC4">
        <v>0.76444556685155018</v>
      </c>
      <c r="BD4">
        <v>0.28403159891511764</v>
      </c>
      <c r="BE4">
        <v>0.45181973941336873</v>
      </c>
      <c r="BF4">
        <v>0.71445928300133477</v>
      </c>
      <c r="BG4">
        <v>0.84714165949259079</v>
      </c>
      <c r="BH4">
        <v>0.38630054831711891</v>
      </c>
      <c r="BI4">
        <v>0.4265024951549935</v>
      </c>
      <c r="BJ4">
        <v>0.65643066858505184</v>
      </c>
      <c r="BK4">
        <v>0.95737040772655602</v>
      </c>
      <c r="BL4">
        <v>0.95809773026007872</v>
      </c>
      <c r="BM4">
        <v>0.62219217380044245</v>
      </c>
      <c r="BN4">
        <v>0.88107411691513693</v>
      </c>
      <c r="BO4">
        <v>0.74377178458759963</v>
      </c>
      <c r="BP4">
        <v>0.45432934854974605</v>
      </c>
      <c r="BQ4">
        <v>0.38372258835537798</v>
      </c>
      <c r="BR4">
        <v>3.4732550394416806E-2</v>
      </c>
      <c r="BS4">
        <v>0.34024062776065667</v>
      </c>
      <c r="BT4">
        <v>0.64683248570177743</v>
      </c>
      <c r="BU4">
        <v>0.8265471435263374</v>
      </c>
      <c r="BV4">
        <v>0.91508826454018821</v>
      </c>
      <c r="BW4">
        <v>0.69808389725515063</v>
      </c>
      <c r="BX4">
        <v>0.77731316050354626</v>
      </c>
      <c r="BY4">
        <v>0.35589670579749011</v>
      </c>
      <c r="BZ4">
        <v>0.24900527674912176</v>
      </c>
      <c r="CA4">
        <v>0.88640241092996608</v>
      </c>
      <c r="CB4">
        <v>0.57435506705214767</v>
      </c>
      <c r="CC4">
        <v>0.77199401484735786</v>
      </c>
      <c r="CD4">
        <v>0.35840957010330454</v>
      </c>
      <c r="CE4">
        <v>0.44570203714721079</v>
      </c>
      <c r="CF4">
        <v>0.18807954688341522</v>
      </c>
      <c r="CG4">
        <v>0.30317782147993688</v>
      </c>
      <c r="CH4">
        <v>0.58464723274197483</v>
      </c>
      <c r="CI4">
        <v>0.71740616230043264</v>
      </c>
      <c r="CJ4">
        <v>0.74305076069457221</v>
      </c>
      <c r="CK4">
        <v>0.59923673532421895</v>
      </c>
      <c r="CL4">
        <v>0.66017464590776087</v>
      </c>
      <c r="CM4">
        <v>0.72735700359028299</v>
      </c>
      <c r="CN4">
        <v>0.20718589860707015</v>
      </c>
      <c r="CO4">
        <v>0.6149750103164896</v>
      </c>
      <c r="CP4">
        <v>0.97569547501746368</v>
      </c>
      <c r="CQ4">
        <v>0.43352770714303224</v>
      </c>
      <c r="CR4">
        <v>0.42293736861940601</v>
      </c>
      <c r="CS4">
        <v>0.90779587864776745</v>
      </c>
      <c r="CT4">
        <v>0.40827593736168877</v>
      </c>
      <c r="CU4">
        <v>0.6902001991262261</v>
      </c>
      <c r="CV4">
        <v>0.40417602497742333</v>
      </c>
      <c r="CW4">
        <v>9.4500254999381084E-2</v>
      </c>
      <c r="CX4">
        <v>0.92933418362392395</v>
      </c>
      <c r="CY4">
        <v>0.22411720414537384</v>
      </c>
      <c r="CZ4">
        <v>2.0523514252277497E-2</v>
      </c>
    </row>
    <row r="5" spans="1:16384" s="8" customFormat="1" ht="46.5" customHeight="1">
      <c r="B5" s="8" t="s">
        <v>401</v>
      </c>
      <c r="C5" s="8" t="str">
        <f>"Scenario "&amp;C1</f>
        <v>Scenario 2</v>
      </c>
      <c r="D5" s="8" t="str">
        <f t="shared" ref="D5:BO5" si="5">"Scenario "&amp;D1</f>
        <v>Scenario 3</v>
      </c>
      <c r="E5" s="8" t="str">
        <f t="shared" si="5"/>
        <v>Scenario 4</v>
      </c>
      <c r="F5" s="8" t="str">
        <f t="shared" si="5"/>
        <v>Scenario 5</v>
      </c>
      <c r="G5" s="8" t="str">
        <f t="shared" si="5"/>
        <v>Scenario 6</v>
      </c>
      <c r="H5" s="8" t="str">
        <f t="shared" si="5"/>
        <v>Scenario 7</v>
      </c>
      <c r="I5" s="8" t="str">
        <f t="shared" si="5"/>
        <v>Scenario 8</v>
      </c>
      <c r="J5" s="8" t="str">
        <f t="shared" si="5"/>
        <v>Scenario 9</v>
      </c>
      <c r="K5" s="8" t="str">
        <f t="shared" si="5"/>
        <v>Scenario 10</v>
      </c>
      <c r="L5" s="8" t="str">
        <f t="shared" si="5"/>
        <v>Scenario 11</v>
      </c>
      <c r="M5" s="8" t="str">
        <f t="shared" si="5"/>
        <v>Scenario 12</v>
      </c>
      <c r="N5" s="8" t="str">
        <f t="shared" si="5"/>
        <v>Scenario 13</v>
      </c>
      <c r="O5" s="8" t="str">
        <f t="shared" si="5"/>
        <v>Scenario 14</v>
      </c>
      <c r="P5" s="8" t="str">
        <f t="shared" si="5"/>
        <v>Scenario 15</v>
      </c>
      <c r="Q5" s="8" t="str">
        <f t="shared" si="5"/>
        <v>Scenario 16</v>
      </c>
      <c r="R5" s="8" t="str">
        <f t="shared" si="5"/>
        <v>Scenario 17</v>
      </c>
      <c r="S5" s="8" t="str">
        <f t="shared" si="5"/>
        <v>Scenario 18</v>
      </c>
      <c r="T5" s="8" t="str">
        <f t="shared" si="5"/>
        <v>Scenario 19</v>
      </c>
      <c r="U5" s="8" t="str">
        <f t="shared" si="5"/>
        <v>Scenario 20</v>
      </c>
      <c r="V5" s="8" t="str">
        <f t="shared" si="5"/>
        <v>Scenario 21</v>
      </c>
      <c r="W5" s="8" t="str">
        <f t="shared" si="5"/>
        <v>Scenario 22</v>
      </c>
      <c r="X5" s="8" t="str">
        <f t="shared" si="5"/>
        <v>Scenario 23</v>
      </c>
      <c r="Y5" s="8" t="str">
        <f t="shared" si="5"/>
        <v>Scenario 24</v>
      </c>
      <c r="Z5" s="8" t="str">
        <f t="shared" si="5"/>
        <v>Scenario 25</v>
      </c>
      <c r="AA5" s="8" t="str">
        <f t="shared" si="5"/>
        <v>Scenario 26</v>
      </c>
      <c r="AB5" s="8" t="str">
        <f t="shared" si="5"/>
        <v>Scenario 27</v>
      </c>
      <c r="AC5" s="8" t="str">
        <f t="shared" si="5"/>
        <v>Scenario 28</v>
      </c>
      <c r="AD5" s="8" t="str">
        <f t="shared" si="5"/>
        <v>Scenario 29</v>
      </c>
      <c r="AE5" s="8" t="str">
        <f t="shared" si="5"/>
        <v>Scenario 30</v>
      </c>
      <c r="AF5" s="8" t="str">
        <f t="shared" si="5"/>
        <v>Scenario 31</v>
      </c>
      <c r="AG5" s="8" t="str">
        <f t="shared" si="5"/>
        <v>Scenario 32</v>
      </c>
      <c r="AH5" s="8" t="str">
        <f t="shared" si="5"/>
        <v>Scenario 33</v>
      </c>
      <c r="AI5" s="8" t="str">
        <f t="shared" si="5"/>
        <v>Scenario 34</v>
      </c>
      <c r="AJ5" s="8" t="str">
        <f t="shared" si="5"/>
        <v>Scenario 35</v>
      </c>
      <c r="AK5" s="8" t="str">
        <f t="shared" si="5"/>
        <v>Scenario 36</v>
      </c>
      <c r="AL5" s="8" t="str">
        <f t="shared" si="5"/>
        <v>Scenario 37</v>
      </c>
      <c r="AM5" s="8" t="str">
        <f t="shared" si="5"/>
        <v>Scenario 38</v>
      </c>
      <c r="AN5" s="8" t="str">
        <f t="shared" si="5"/>
        <v>Scenario 39</v>
      </c>
      <c r="AO5" s="8" t="str">
        <f t="shared" si="5"/>
        <v>Scenario 40</v>
      </c>
      <c r="AP5" s="8" t="str">
        <f t="shared" si="5"/>
        <v>Scenario 41</v>
      </c>
      <c r="AQ5" s="8" t="str">
        <f t="shared" si="5"/>
        <v>Scenario 42</v>
      </c>
      <c r="AR5" s="8" t="str">
        <f t="shared" si="5"/>
        <v>Scenario 43</v>
      </c>
      <c r="AS5" s="8" t="str">
        <f t="shared" si="5"/>
        <v>Scenario 44</v>
      </c>
      <c r="AT5" s="8" t="str">
        <f t="shared" si="5"/>
        <v>Scenario 45</v>
      </c>
      <c r="AU5" s="8" t="str">
        <f t="shared" si="5"/>
        <v>Scenario 46</v>
      </c>
      <c r="AV5" s="8" t="str">
        <f t="shared" si="5"/>
        <v>Scenario 47</v>
      </c>
      <c r="AW5" s="8" t="str">
        <f t="shared" si="5"/>
        <v>Scenario 48</v>
      </c>
      <c r="AX5" s="8" t="str">
        <f t="shared" si="5"/>
        <v>Scenario 49</v>
      </c>
      <c r="AY5" s="8" t="str">
        <f t="shared" si="5"/>
        <v>Scenario 50</v>
      </c>
      <c r="AZ5" s="8" t="str">
        <f t="shared" si="5"/>
        <v>Scenario 51</v>
      </c>
      <c r="BA5" s="8" t="str">
        <f t="shared" si="5"/>
        <v>Scenario 52</v>
      </c>
      <c r="BB5" s="8" t="str">
        <f t="shared" si="5"/>
        <v>Scenario 53</v>
      </c>
      <c r="BC5" s="8" t="str">
        <f t="shared" si="5"/>
        <v>Scenario 54</v>
      </c>
      <c r="BD5" s="8" t="str">
        <f t="shared" si="5"/>
        <v>Scenario 55</v>
      </c>
      <c r="BE5" s="8" t="str">
        <f t="shared" si="5"/>
        <v>Scenario 56</v>
      </c>
      <c r="BF5" s="8" t="str">
        <f t="shared" si="5"/>
        <v>Scenario 57</v>
      </c>
      <c r="BG5" s="8" t="str">
        <f t="shared" si="5"/>
        <v>Scenario 58</v>
      </c>
      <c r="BH5" s="8" t="str">
        <f t="shared" si="5"/>
        <v>Scenario 59</v>
      </c>
      <c r="BI5" s="8" t="str">
        <f t="shared" si="5"/>
        <v>Scenario 60</v>
      </c>
      <c r="BJ5" s="8" t="str">
        <f t="shared" si="5"/>
        <v>Scenario 61</v>
      </c>
      <c r="BK5" s="8" t="str">
        <f t="shared" si="5"/>
        <v>Scenario 62</v>
      </c>
      <c r="BL5" s="8" t="str">
        <f t="shared" si="5"/>
        <v>Scenario 63</v>
      </c>
      <c r="BM5" s="8" t="str">
        <f t="shared" si="5"/>
        <v>Scenario 64</v>
      </c>
      <c r="BN5" s="8" t="str">
        <f t="shared" si="5"/>
        <v>Scenario 65</v>
      </c>
      <c r="BO5" s="8" t="str">
        <f t="shared" si="5"/>
        <v>Scenario 66</v>
      </c>
      <c r="BP5" s="8" t="str">
        <f t="shared" ref="BP5:CY5" si="6">"Scenario "&amp;BP1</f>
        <v>Scenario 67</v>
      </c>
      <c r="BQ5" s="8" t="str">
        <f t="shared" si="6"/>
        <v>Scenario 68</v>
      </c>
      <c r="BR5" s="8" t="str">
        <f t="shared" si="6"/>
        <v>Scenario 69</v>
      </c>
      <c r="BS5" s="8" t="str">
        <f t="shared" si="6"/>
        <v>Scenario 70</v>
      </c>
      <c r="BT5" s="8" t="str">
        <f t="shared" si="6"/>
        <v>Scenario 71</v>
      </c>
      <c r="BU5" s="8" t="str">
        <f t="shared" si="6"/>
        <v>Scenario 72</v>
      </c>
      <c r="BV5" s="8" t="str">
        <f t="shared" si="6"/>
        <v>Scenario 73</v>
      </c>
      <c r="BW5" s="8" t="str">
        <f t="shared" si="6"/>
        <v>Scenario 74</v>
      </c>
      <c r="BX5" s="8" t="str">
        <f t="shared" si="6"/>
        <v>Scenario 75</v>
      </c>
      <c r="BY5" s="8" t="str">
        <f t="shared" si="6"/>
        <v>Scenario 76</v>
      </c>
      <c r="BZ5" s="8" t="str">
        <f t="shared" si="6"/>
        <v>Scenario 77</v>
      </c>
      <c r="CA5" s="8" t="str">
        <f t="shared" si="6"/>
        <v>Scenario 78</v>
      </c>
      <c r="CB5" s="8" t="str">
        <f t="shared" si="6"/>
        <v>Scenario 79</v>
      </c>
      <c r="CC5" s="8" t="str">
        <f t="shared" si="6"/>
        <v>Scenario 80</v>
      </c>
      <c r="CD5" s="8" t="str">
        <f t="shared" si="6"/>
        <v>Scenario 81</v>
      </c>
      <c r="CE5" s="8" t="str">
        <f t="shared" si="6"/>
        <v>Scenario 82</v>
      </c>
      <c r="CF5" s="8" t="str">
        <f t="shared" si="6"/>
        <v>Scenario 83</v>
      </c>
      <c r="CG5" s="8" t="str">
        <f t="shared" si="6"/>
        <v>Scenario 84</v>
      </c>
      <c r="CH5" s="8" t="str">
        <f t="shared" si="6"/>
        <v>Scenario 85</v>
      </c>
      <c r="CI5" s="8" t="str">
        <f t="shared" si="6"/>
        <v>Scenario 86</v>
      </c>
      <c r="CJ5" s="8" t="str">
        <f t="shared" si="6"/>
        <v>Scenario 87</v>
      </c>
      <c r="CK5" s="8" t="str">
        <f t="shared" si="6"/>
        <v>Scenario 88</v>
      </c>
      <c r="CL5" s="8" t="str">
        <f t="shared" si="6"/>
        <v>Scenario 89</v>
      </c>
      <c r="CM5" s="8" t="str">
        <f t="shared" si="6"/>
        <v>Scenario 90</v>
      </c>
      <c r="CN5" s="8" t="str">
        <f t="shared" si="6"/>
        <v>Scenario 91</v>
      </c>
      <c r="CO5" s="8" t="str">
        <f t="shared" si="6"/>
        <v>Scenario 92</v>
      </c>
      <c r="CP5" s="8" t="str">
        <f t="shared" si="6"/>
        <v>Scenario 93</v>
      </c>
      <c r="CQ5" s="8" t="str">
        <f t="shared" si="6"/>
        <v>Scenario 94</v>
      </c>
      <c r="CR5" s="8" t="str">
        <f t="shared" si="6"/>
        <v>Scenario 95</v>
      </c>
      <c r="CS5" s="8" t="str">
        <f t="shared" si="6"/>
        <v>Scenario 96</v>
      </c>
      <c r="CT5" s="8" t="str">
        <f t="shared" si="6"/>
        <v>Scenario 97</v>
      </c>
      <c r="CU5" s="8" t="str">
        <f t="shared" si="6"/>
        <v>Scenario 98</v>
      </c>
      <c r="CV5" s="8" t="str">
        <f t="shared" si="6"/>
        <v>Scenario 99</v>
      </c>
      <c r="CW5" s="8" t="str">
        <f t="shared" si="6"/>
        <v>Scenario 100</v>
      </c>
      <c r="CX5" s="8" t="str">
        <f t="shared" si="6"/>
        <v>Scenario 101</v>
      </c>
      <c r="CY5" s="8" t="str">
        <f t="shared" si="6"/>
        <v>Scenario 102</v>
      </c>
      <c r="CZ5" s="79" t="str">
        <f>"Scenario "&amp;CZ1</f>
        <v>Scenario 103</v>
      </c>
      <c r="DA5" s="98" t="str">
        <f>"Scenario "&amp;DA1</f>
        <v>Scenario 104</v>
      </c>
      <c r="DB5" s="8" t="str">
        <f t="shared" ref="DB5:FM5" si="7">"Scenario "&amp;DB1</f>
        <v>Scenario 105</v>
      </c>
      <c r="DC5" s="8" t="str">
        <f t="shared" si="7"/>
        <v>Scenario 106</v>
      </c>
      <c r="DD5" s="8" t="str">
        <f t="shared" si="7"/>
        <v>Scenario 107</v>
      </c>
      <c r="DE5" s="8" t="str">
        <f t="shared" si="7"/>
        <v>Scenario 108</v>
      </c>
      <c r="DF5" s="79" t="str">
        <f t="shared" si="7"/>
        <v>Scenario 109</v>
      </c>
      <c r="DG5" s="8" t="str">
        <f t="shared" si="7"/>
        <v>Scenario 110</v>
      </c>
      <c r="DH5" s="8" t="str">
        <f t="shared" si="7"/>
        <v>Scenario 111</v>
      </c>
      <c r="DI5" s="8" t="str">
        <f t="shared" si="7"/>
        <v>Scenario 112</v>
      </c>
      <c r="DJ5" s="8" t="str">
        <f t="shared" si="7"/>
        <v>Scenario 113</v>
      </c>
      <c r="DK5" s="8" t="str">
        <f t="shared" si="7"/>
        <v>Scenario 114</v>
      </c>
      <c r="DL5" s="8" t="str">
        <f t="shared" si="7"/>
        <v>Scenario 115</v>
      </c>
      <c r="DM5" s="8" t="str">
        <f t="shared" si="7"/>
        <v>Scenario 116</v>
      </c>
      <c r="DN5" s="8" t="str">
        <f t="shared" si="7"/>
        <v>Scenario 117</v>
      </c>
      <c r="DO5" s="8" t="str">
        <f t="shared" si="7"/>
        <v>Scenario 118</v>
      </c>
      <c r="DP5" s="8" t="str">
        <f t="shared" si="7"/>
        <v>Scenario 119</v>
      </c>
      <c r="DQ5" s="8" t="str">
        <f t="shared" si="7"/>
        <v>Scenario 120</v>
      </c>
      <c r="DR5" s="8" t="str">
        <f t="shared" si="7"/>
        <v>Scenario 121</v>
      </c>
      <c r="DS5" s="8" t="str">
        <f t="shared" si="7"/>
        <v>Scenario 122</v>
      </c>
      <c r="DT5" s="8" t="str">
        <f t="shared" si="7"/>
        <v>Scenario 123</v>
      </c>
      <c r="DU5" s="8" t="str">
        <f t="shared" si="7"/>
        <v>Scenario 124</v>
      </c>
      <c r="DV5" s="8" t="str">
        <f t="shared" si="7"/>
        <v>Scenario 125</v>
      </c>
      <c r="DW5" s="8" t="str">
        <f t="shared" si="7"/>
        <v>Scenario 126</v>
      </c>
      <c r="DX5" s="8" t="str">
        <f t="shared" si="7"/>
        <v>Scenario 127</v>
      </c>
      <c r="DY5" s="8" t="str">
        <f t="shared" si="7"/>
        <v>Scenario 128</v>
      </c>
      <c r="DZ5" s="8" t="str">
        <f t="shared" si="7"/>
        <v>Scenario 129</v>
      </c>
      <c r="EA5" s="8" t="str">
        <f t="shared" si="7"/>
        <v>Scenario 130</v>
      </c>
      <c r="EB5" s="8" t="str">
        <f t="shared" si="7"/>
        <v>Scenario 131</v>
      </c>
      <c r="EC5" s="8" t="str">
        <f t="shared" si="7"/>
        <v>Scenario 132</v>
      </c>
      <c r="ED5" s="8" t="str">
        <f t="shared" si="7"/>
        <v>Scenario 133</v>
      </c>
      <c r="EE5" s="8" t="str">
        <f t="shared" si="7"/>
        <v>Scenario 134</v>
      </c>
      <c r="EF5" s="8" t="str">
        <f t="shared" si="7"/>
        <v>Scenario 135</v>
      </c>
      <c r="EG5" s="8" t="str">
        <f t="shared" si="7"/>
        <v>Scenario 136</v>
      </c>
      <c r="EH5" s="8" t="str">
        <f t="shared" si="7"/>
        <v>Scenario 137</v>
      </c>
      <c r="EI5" s="8" t="str">
        <f t="shared" si="7"/>
        <v>Scenario 138</v>
      </c>
      <c r="EJ5" s="8" t="str">
        <f t="shared" si="7"/>
        <v>Scenario 139</v>
      </c>
      <c r="EK5" s="8" t="str">
        <f t="shared" si="7"/>
        <v>Scenario 140</v>
      </c>
      <c r="EL5" s="8" t="str">
        <f t="shared" si="7"/>
        <v>Scenario 141</v>
      </c>
      <c r="EM5" s="8" t="str">
        <f t="shared" si="7"/>
        <v>Scenario 142</v>
      </c>
      <c r="EN5" s="8" t="str">
        <f t="shared" si="7"/>
        <v>Scenario 143</v>
      </c>
      <c r="EO5" s="8" t="str">
        <f t="shared" si="7"/>
        <v>Scenario 144</v>
      </c>
      <c r="EP5" s="8" t="str">
        <f t="shared" si="7"/>
        <v>Scenario 145</v>
      </c>
      <c r="EQ5" s="8" t="str">
        <f t="shared" si="7"/>
        <v>Scenario 146</v>
      </c>
      <c r="ER5" s="8" t="str">
        <f t="shared" si="7"/>
        <v>Scenario 147</v>
      </c>
      <c r="ES5" s="8" t="str">
        <f t="shared" si="7"/>
        <v>Scenario 148</v>
      </c>
      <c r="ET5" s="8" t="str">
        <f t="shared" si="7"/>
        <v>Scenario 149</v>
      </c>
      <c r="EU5" s="8" t="str">
        <f t="shared" si="7"/>
        <v>Scenario 150</v>
      </c>
      <c r="EV5" s="8" t="str">
        <f t="shared" si="7"/>
        <v>Scenario 151</v>
      </c>
      <c r="EW5" s="8" t="str">
        <f t="shared" si="7"/>
        <v>Scenario 152</v>
      </c>
      <c r="EX5" s="8" t="str">
        <f t="shared" si="7"/>
        <v>Scenario 153</v>
      </c>
      <c r="EY5" s="8" t="str">
        <f t="shared" si="7"/>
        <v>Scenario 154</v>
      </c>
      <c r="EZ5" s="8" t="str">
        <f t="shared" si="7"/>
        <v>Scenario 155</v>
      </c>
      <c r="FA5" s="8" t="str">
        <f t="shared" si="7"/>
        <v>Scenario 156</v>
      </c>
      <c r="FB5" s="8" t="str">
        <f t="shared" si="7"/>
        <v>Scenario 157</v>
      </c>
      <c r="FC5" s="8" t="str">
        <f t="shared" si="7"/>
        <v>Scenario 158</v>
      </c>
      <c r="FD5" s="8" t="str">
        <f t="shared" si="7"/>
        <v>Scenario 159</v>
      </c>
      <c r="FE5" s="8" t="str">
        <f t="shared" si="7"/>
        <v>Scenario 160</v>
      </c>
      <c r="FF5" s="8" t="str">
        <f t="shared" si="7"/>
        <v>Scenario 161</v>
      </c>
      <c r="FG5" s="8" t="str">
        <f t="shared" si="7"/>
        <v>Scenario 162</v>
      </c>
      <c r="FH5" s="8" t="str">
        <f t="shared" si="7"/>
        <v>Scenario 163</v>
      </c>
      <c r="FI5" s="8" t="str">
        <f t="shared" si="7"/>
        <v>Scenario 164</v>
      </c>
      <c r="FJ5" s="8" t="str">
        <f t="shared" si="7"/>
        <v>Scenario 165</v>
      </c>
      <c r="FK5" s="8" t="str">
        <f t="shared" si="7"/>
        <v>Scenario 166</v>
      </c>
      <c r="FL5" s="8" t="str">
        <f t="shared" si="7"/>
        <v>Scenario 167</v>
      </c>
      <c r="FM5" s="8" t="str">
        <f t="shared" si="7"/>
        <v>Scenario 168</v>
      </c>
      <c r="FN5" s="8" t="str">
        <f t="shared" ref="FN5:HY5" si="8">"Scenario "&amp;FN1</f>
        <v>Scenario 169</v>
      </c>
      <c r="FO5" s="8" t="str">
        <f t="shared" si="8"/>
        <v>Scenario 170</v>
      </c>
      <c r="FP5" s="8" t="str">
        <f t="shared" si="8"/>
        <v>Scenario 171</v>
      </c>
      <c r="FQ5" s="8" t="str">
        <f t="shared" si="8"/>
        <v>Scenario 172</v>
      </c>
      <c r="FR5" s="103" t="str">
        <f t="shared" si="8"/>
        <v>Scenario 173</v>
      </c>
      <c r="FS5" s="8" t="str">
        <f t="shared" si="8"/>
        <v>Scenario 174</v>
      </c>
      <c r="FT5" s="8" t="str">
        <f t="shared" si="8"/>
        <v>Scenario 175</v>
      </c>
      <c r="FU5" s="8" t="str">
        <f t="shared" si="8"/>
        <v>Scenario 176</v>
      </c>
      <c r="FV5" s="8" t="str">
        <f t="shared" si="8"/>
        <v>Scenario 177</v>
      </c>
      <c r="FW5" s="8" t="str">
        <f t="shared" si="8"/>
        <v>Scenario 178</v>
      </c>
      <c r="FX5" s="8" t="str">
        <f t="shared" si="8"/>
        <v>Scenario 179</v>
      </c>
      <c r="FY5" s="8" t="str">
        <f t="shared" si="8"/>
        <v>Scenario 180</v>
      </c>
      <c r="FZ5" s="8" t="str">
        <f t="shared" si="8"/>
        <v>Scenario 181</v>
      </c>
      <c r="GA5" s="8" t="str">
        <f t="shared" si="8"/>
        <v>Scenario 182</v>
      </c>
      <c r="GB5" s="8" t="str">
        <f t="shared" si="8"/>
        <v>Scenario 183</v>
      </c>
      <c r="GC5" s="8" t="str">
        <f t="shared" si="8"/>
        <v>Scenario 184</v>
      </c>
      <c r="GD5" s="8" t="str">
        <f t="shared" si="8"/>
        <v>Scenario 185</v>
      </c>
      <c r="GE5" s="8" t="str">
        <f t="shared" si="8"/>
        <v>Scenario 186</v>
      </c>
      <c r="GF5" s="8" t="str">
        <f t="shared" si="8"/>
        <v>Scenario 187</v>
      </c>
      <c r="GG5" s="8" t="str">
        <f t="shared" si="8"/>
        <v>Scenario 188</v>
      </c>
      <c r="GH5" s="8" t="str">
        <f t="shared" si="8"/>
        <v>Scenario 189</v>
      </c>
      <c r="GI5" s="8" t="str">
        <f t="shared" si="8"/>
        <v>Scenario 190</v>
      </c>
      <c r="GJ5" s="8" t="str">
        <f t="shared" si="8"/>
        <v>Scenario 191</v>
      </c>
      <c r="GK5" s="8" t="str">
        <f t="shared" si="8"/>
        <v>Scenario 192</v>
      </c>
      <c r="GL5" s="8" t="str">
        <f t="shared" si="8"/>
        <v>Scenario 193</v>
      </c>
      <c r="GM5" s="8" t="str">
        <f t="shared" si="8"/>
        <v>Scenario 194</v>
      </c>
      <c r="GN5" s="8" t="str">
        <f t="shared" si="8"/>
        <v>Scenario 195</v>
      </c>
      <c r="GO5" s="8" t="str">
        <f t="shared" si="8"/>
        <v>Scenario 196</v>
      </c>
      <c r="GP5" s="8" t="str">
        <f t="shared" si="8"/>
        <v>Scenario 197</v>
      </c>
      <c r="GQ5" s="8" t="str">
        <f t="shared" si="8"/>
        <v>Scenario 198</v>
      </c>
      <c r="GR5" s="8" t="str">
        <f t="shared" si="8"/>
        <v>Scenario 199</v>
      </c>
      <c r="GS5" s="8" t="str">
        <f t="shared" si="8"/>
        <v>Scenario 200</v>
      </c>
      <c r="GT5" s="8" t="str">
        <f t="shared" si="8"/>
        <v>Scenario 201</v>
      </c>
      <c r="GU5" s="8" t="str">
        <f t="shared" si="8"/>
        <v>Scenario 202</v>
      </c>
      <c r="GV5" s="8" t="str">
        <f t="shared" si="8"/>
        <v>Scenario 203</v>
      </c>
      <c r="GW5" s="8" t="str">
        <f t="shared" si="8"/>
        <v>Scenario 204</v>
      </c>
      <c r="GX5" s="8" t="str">
        <f t="shared" si="8"/>
        <v>Scenario 205</v>
      </c>
      <c r="GY5" s="8" t="str">
        <f t="shared" si="8"/>
        <v>Scenario 206</v>
      </c>
      <c r="GZ5" s="8" t="str">
        <f t="shared" si="8"/>
        <v>Scenario 207</v>
      </c>
      <c r="HA5" s="8" t="str">
        <f t="shared" si="8"/>
        <v>Scenario 208</v>
      </c>
      <c r="HB5" s="8" t="str">
        <f t="shared" si="8"/>
        <v>Scenario 209</v>
      </c>
      <c r="HC5" s="8" t="str">
        <f t="shared" si="8"/>
        <v>Scenario 210</v>
      </c>
      <c r="HD5" s="8" t="str">
        <f t="shared" si="8"/>
        <v>Scenario 211</v>
      </c>
      <c r="HE5" s="8" t="str">
        <f t="shared" si="8"/>
        <v>Scenario 212</v>
      </c>
      <c r="HF5" s="8" t="str">
        <f t="shared" si="8"/>
        <v>Scenario 213</v>
      </c>
      <c r="HG5" s="8" t="str">
        <f t="shared" si="8"/>
        <v>Scenario 214</v>
      </c>
      <c r="HH5" s="8" t="str">
        <f t="shared" si="8"/>
        <v>Scenario 215</v>
      </c>
      <c r="HI5" s="8" t="str">
        <f t="shared" si="8"/>
        <v>Scenario 216</v>
      </c>
      <c r="HJ5" s="8" t="str">
        <f t="shared" si="8"/>
        <v>Scenario 217</v>
      </c>
      <c r="HK5" s="8" t="str">
        <f t="shared" si="8"/>
        <v>Scenario 218</v>
      </c>
      <c r="HL5" s="8" t="str">
        <f t="shared" si="8"/>
        <v>Scenario 219</v>
      </c>
      <c r="HM5" s="8" t="str">
        <f t="shared" si="8"/>
        <v>Scenario 220</v>
      </c>
      <c r="HN5" s="8" t="str">
        <f t="shared" si="8"/>
        <v>Scenario 221</v>
      </c>
      <c r="HO5" s="8" t="str">
        <f t="shared" si="8"/>
        <v>Scenario 222</v>
      </c>
      <c r="HP5" s="8" t="str">
        <f t="shared" si="8"/>
        <v>Scenario 223</v>
      </c>
      <c r="HQ5" s="8" t="str">
        <f t="shared" si="8"/>
        <v>Scenario 224</v>
      </c>
      <c r="HR5" s="8" t="str">
        <f t="shared" si="8"/>
        <v>Scenario 225</v>
      </c>
      <c r="HS5" s="8" t="str">
        <f t="shared" si="8"/>
        <v>Scenario 226</v>
      </c>
      <c r="HT5" s="8" t="str">
        <f t="shared" si="8"/>
        <v>Scenario 227</v>
      </c>
      <c r="HU5" s="8" t="str">
        <f t="shared" si="8"/>
        <v>Scenario 228</v>
      </c>
      <c r="HV5" s="8" t="str">
        <f t="shared" si="8"/>
        <v>Scenario 229</v>
      </c>
      <c r="HW5" s="8" t="str">
        <f t="shared" si="8"/>
        <v>Scenario 230</v>
      </c>
      <c r="HX5" s="8" t="str">
        <f t="shared" si="8"/>
        <v>Scenario 231</v>
      </c>
      <c r="HY5" s="8" t="str">
        <f t="shared" si="8"/>
        <v>Scenario 232</v>
      </c>
      <c r="HZ5" s="8" t="str">
        <f t="shared" ref="HZ5:IZ5" si="9">"Scenario "&amp;HZ1</f>
        <v>Scenario 233</v>
      </c>
      <c r="IA5" s="8" t="str">
        <f t="shared" si="9"/>
        <v>Scenario 234</v>
      </c>
      <c r="IB5" s="8" t="str">
        <f t="shared" si="9"/>
        <v>Scenario 235</v>
      </c>
      <c r="IC5" s="8" t="str">
        <f t="shared" si="9"/>
        <v>Scenario 236</v>
      </c>
      <c r="ID5" s="8" t="str">
        <f t="shared" si="9"/>
        <v>Scenario 237</v>
      </c>
      <c r="IE5" s="8" t="str">
        <f t="shared" si="9"/>
        <v>Scenario 238</v>
      </c>
      <c r="IF5" s="8" t="str">
        <f t="shared" si="9"/>
        <v>Scenario 239</v>
      </c>
      <c r="IG5" s="8" t="str">
        <f t="shared" si="9"/>
        <v>Scenario 240</v>
      </c>
      <c r="IH5" s="8" t="str">
        <f t="shared" si="9"/>
        <v>Scenario 241</v>
      </c>
      <c r="II5" s="8" t="str">
        <f t="shared" si="9"/>
        <v>Scenario 242</v>
      </c>
      <c r="IJ5" s="8" t="str">
        <f t="shared" si="9"/>
        <v>Scenario 243</v>
      </c>
      <c r="IK5" s="8" t="str">
        <f t="shared" si="9"/>
        <v>Scenario 244</v>
      </c>
      <c r="IL5" s="8" t="str">
        <f t="shared" si="9"/>
        <v>Scenario 245</v>
      </c>
      <c r="IM5" s="8" t="str">
        <f t="shared" si="9"/>
        <v>Scenario 246</v>
      </c>
      <c r="IN5" s="8" t="str">
        <f t="shared" si="9"/>
        <v>Scenario 247</v>
      </c>
      <c r="IO5" s="8" t="str">
        <f t="shared" si="9"/>
        <v>Scenario 248</v>
      </c>
      <c r="IP5" s="8" t="str">
        <f t="shared" si="9"/>
        <v>Scenario 249</v>
      </c>
      <c r="IQ5" s="8" t="str">
        <f t="shared" si="9"/>
        <v>Scenario 250</v>
      </c>
      <c r="IR5" s="8" t="str">
        <f t="shared" si="9"/>
        <v>Scenario 251</v>
      </c>
      <c r="IS5" s="8" t="str">
        <f t="shared" si="9"/>
        <v>Scenario 252</v>
      </c>
      <c r="IT5" s="8" t="str">
        <f t="shared" si="9"/>
        <v>Scenario 253</v>
      </c>
      <c r="IU5" s="8" t="str">
        <f t="shared" si="9"/>
        <v>Scenario 254</v>
      </c>
      <c r="IV5" s="8" t="str">
        <f t="shared" si="9"/>
        <v>Scenario 255</v>
      </c>
      <c r="IW5" s="8" t="str">
        <f t="shared" si="9"/>
        <v>Scenario 256</v>
      </c>
      <c r="IX5" s="8" t="str">
        <f t="shared" si="9"/>
        <v>Scenario 257</v>
      </c>
      <c r="IY5" s="8" t="str">
        <f t="shared" si="9"/>
        <v>Scenario 258</v>
      </c>
      <c r="IZ5" s="8" t="str">
        <f t="shared" si="9"/>
        <v>Scenario 259</v>
      </c>
    </row>
    <row r="6" spans="1:16384" ht="42.75" customHeight="1">
      <c r="A6" s="63" t="s">
        <v>386</v>
      </c>
    </row>
    <row r="7" spans="1:16384" ht="20">
      <c r="A7" s="34" t="s">
        <v>360</v>
      </c>
      <c r="B7" s="91" t="s">
        <v>160</v>
      </c>
      <c r="C7" s="91" t="s">
        <v>30</v>
      </c>
      <c r="D7" s="91" t="s">
        <v>248</v>
      </c>
      <c r="E7" s="91" t="s">
        <v>20</v>
      </c>
      <c r="F7" s="91" t="s">
        <v>100</v>
      </c>
      <c r="G7" s="91" t="s">
        <v>160</v>
      </c>
      <c r="H7" s="91" t="s">
        <v>213</v>
      </c>
      <c r="I7" s="91" t="s">
        <v>78</v>
      </c>
      <c r="J7" s="91" t="s">
        <v>265</v>
      </c>
      <c r="K7" s="91" t="s">
        <v>250</v>
      </c>
      <c r="L7" s="91" t="s">
        <v>164</v>
      </c>
      <c r="M7" s="91" t="s">
        <v>195</v>
      </c>
      <c r="N7" s="91" t="s">
        <v>215</v>
      </c>
      <c r="O7" s="91" t="s">
        <v>150</v>
      </c>
      <c r="P7" s="91" t="s">
        <v>190</v>
      </c>
      <c r="Q7" s="91" t="s">
        <v>49</v>
      </c>
      <c r="R7" s="91" t="s">
        <v>84</v>
      </c>
      <c r="S7" s="91" t="s">
        <v>182</v>
      </c>
      <c r="T7" s="91" t="s">
        <v>20</v>
      </c>
      <c r="U7" s="91" t="s">
        <v>273</v>
      </c>
      <c r="V7" s="91" t="s">
        <v>116</v>
      </c>
      <c r="W7" s="91" t="s">
        <v>98</v>
      </c>
      <c r="X7" s="91" t="s">
        <v>47</v>
      </c>
      <c r="Y7" s="91" t="s">
        <v>240</v>
      </c>
      <c r="Z7" s="91" t="s">
        <v>74</v>
      </c>
      <c r="AA7" s="91" t="s">
        <v>180</v>
      </c>
      <c r="AB7" s="91" t="s">
        <v>152</v>
      </c>
      <c r="AC7" s="91" t="s">
        <v>248</v>
      </c>
      <c r="AD7" s="91" t="s">
        <v>53</v>
      </c>
      <c r="AE7" s="91" t="s">
        <v>152</v>
      </c>
      <c r="AF7" s="91" t="s">
        <v>318</v>
      </c>
      <c r="AG7" s="91" t="s">
        <v>139</v>
      </c>
      <c r="AH7" s="91" t="s">
        <v>129</v>
      </c>
      <c r="AI7" s="91" t="s">
        <v>108</v>
      </c>
      <c r="AJ7" s="91" t="s">
        <v>76</v>
      </c>
      <c r="AK7" s="91" t="s">
        <v>66</v>
      </c>
      <c r="AL7" s="91" t="s">
        <v>296</v>
      </c>
      <c r="AM7" s="91" t="s">
        <v>197</v>
      </c>
      <c r="AN7" s="91" t="s">
        <v>56</v>
      </c>
      <c r="AO7" s="91" t="s">
        <v>207</v>
      </c>
      <c r="AP7" s="91" t="s">
        <v>60</v>
      </c>
      <c r="AQ7" s="91" t="s">
        <v>236</v>
      </c>
      <c r="AR7" s="91" t="s">
        <v>76</v>
      </c>
      <c r="AS7" s="91" t="s">
        <v>114</v>
      </c>
      <c r="AT7" s="91" t="s">
        <v>49</v>
      </c>
      <c r="AU7" s="91" t="s">
        <v>314</v>
      </c>
      <c r="AV7" s="91" t="s">
        <v>16</v>
      </c>
      <c r="AW7" s="91" t="s">
        <v>131</v>
      </c>
      <c r="AX7" s="91" t="s">
        <v>133</v>
      </c>
      <c r="AY7" s="91" t="s">
        <v>110</v>
      </c>
      <c r="AZ7" s="91" t="s">
        <v>16</v>
      </c>
      <c r="BA7" s="91" t="s">
        <v>242</v>
      </c>
      <c r="BB7" s="91" t="s">
        <v>285</v>
      </c>
      <c r="BC7" s="91" t="s">
        <v>223</v>
      </c>
      <c r="BD7" s="91" t="s">
        <v>119</v>
      </c>
      <c r="BE7" s="91" t="s">
        <v>166</v>
      </c>
      <c r="BF7" s="91" t="s">
        <v>176</v>
      </c>
      <c r="BG7" s="91" t="s">
        <v>229</v>
      </c>
      <c r="BH7" s="91" t="s">
        <v>221</v>
      </c>
      <c r="BI7" s="91" t="s">
        <v>64</v>
      </c>
      <c r="BJ7" s="91" t="s">
        <v>213</v>
      </c>
      <c r="BK7" s="91" t="s">
        <v>256</v>
      </c>
      <c r="BL7" s="91" t="s">
        <v>256</v>
      </c>
      <c r="BM7" s="91" t="s">
        <v>211</v>
      </c>
      <c r="BN7" s="91" t="s">
        <v>58</v>
      </c>
      <c r="BO7" s="91" t="s">
        <v>252</v>
      </c>
      <c r="BP7" s="91" t="s">
        <v>298</v>
      </c>
      <c r="BQ7" s="91" t="s">
        <v>221</v>
      </c>
      <c r="BR7" s="91" t="s">
        <v>80</v>
      </c>
      <c r="BS7" s="91" t="s">
        <v>104</v>
      </c>
      <c r="BT7" s="91" t="s">
        <v>227</v>
      </c>
      <c r="BU7" s="91" t="s">
        <v>122</v>
      </c>
      <c r="BV7" s="91" t="s">
        <v>180</v>
      </c>
      <c r="BW7" s="91" t="s">
        <v>182</v>
      </c>
      <c r="BX7" s="91" t="s">
        <v>114</v>
      </c>
      <c r="BY7" s="91" t="s">
        <v>283</v>
      </c>
      <c r="BZ7" s="91" t="s">
        <v>135</v>
      </c>
      <c r="CA7" s="91" t="s">
        <v>156</v>
      </c>
      <c r="CB7" s="91" t="s">
        <v>131</v>
      </c>
      <c r="CC7" s="91" t="s">
        <v>51</v>
      </c>
      <c r="CD7" s="91" t="s">
        <v>283</v>
      </c>
      <c r="CE7" s="91" t="s">
        <v>84</v>
      </c>
      <c r="CF7" s="91" t="s">
        <v>116</v>
      </c>
      <c r="CG7" s="91" t="s">
        <v>53</v>
      </c>
      <c r="CH7" s="91" t="s">
        <v>300</v>
      </c>
      <c r="CI7" s="91" t="s">
        <v>294</v>
      </c>
      <c r="CJ7" s="91" t="s">
        <v>267</v>
      </c>
      <c r="CK7" s="91" t="s">
        <v>16</v>
      </c>
      <c r="CL7" s="91" t="s">
        <v>68</v>
      </c>
      <c r="CM7" s="91" t="s">
        <v>279</v>
      </c>
      <c r="CN7" s="91" t="s">
        <v>14</v>
      </c>
      <c r="CO7" s="91" t="s">
        <v>184</v>
      </c>
      <c r="CP7" s="91" t="s">
        <v>193</v>
      </c>
      <c r="CQ7" s="91" t="s">
        <v>310</v>
      </c>
      <c r="CR7" s="91" t="s">
        <v>64</v>
      </c>
      <c r="CS7" s="91" t="s">
        <v>62</v>
      </c>
      <c r="CT7" s="91" t="s">
        <v>217</v>
      </c>
      <c r="CU7" s="91" t="s">
        <v>304</v>
      </c>
      <c r="CV7" s="91" t="s">
        <v>112</v>
      </c>
      <c r="CW7" s="91" t="s">
        <v>195</v>
      </c>
      <c r="CX7" s="91" t="s">
        <v>203</v>
      </c>
      <c r="CY7" s="91" t="s">
        <v>320</v>
      </c>
      <c r="CZ7" s="91" t="s">
        <v>16</v>
      </c>
      <c r="DA7" s="99" t="s">
        <v>213</v>
      </c>
      <c r="DB7" s="92" t="s">
        <v>14</v>
      </c>
      <c r="DC7" s="92" t="s">
        <v>22</v>
      </c>
      <c r="DD7" s="92" t="s">
        <v>28</v>
      </c>
      <c r="DE7" s="92" t="s">
        <v>20</v>
      </c>
      <c r="DF7" s="92" t="s">
        <v>24</v>
      </c>
      <c r="DG7" s="92" t="s">
        <v>18</v>
      </c>
      <c r="DH7" s="92" t="s">
        <v>411</v>
      </c>
      <c r="DI7" s="92" t="s">
        <v>26</v>
      </c>
      <c r="DJ7" s="92" t="s">
        <v>11</v>
      </c>
      <c r="DK7" s="92" t="s">
        <v>41</v>
      </c>
      <c r="DL7" s="93" t="s">
        <v>41</v>
      </c>
      <c r="DM7" s="92" t="s">
        <v>412</v>
      </c>
      <c r="DN7" s="92" t="s">
        <v>35</v>
      </c>
      <c r="DO7" s="92" t="s">
        <v>39</v>
      </c>
      <c r="DP7" s="92" t="s">
        <v>49</v>
      </c>
      <c r="DQ7" s="92" t="s">
        <v>413</v>
      </c>
      <c r="DR7" s="92" t="s">
        <v>47</v>
      </c>
      <c r="DS7" s="92" t="s">
        <v>45</v>
      </c>
      <c r="DT7" s="93" t="s">
        <v>51</v>
      </c>
      <c r="DU7" s="93" t="s">
        <v>294</v>
      </c>
      <c r="DV7" s="92" t="s">
        <v>90</v>
      </c>
      <c r="DW7" s="92" t="s">
        <v>110</v>
      </c>
      <c r="DX7" s="92" t="s">
        <v>80</v>
      </c>
      <c r="DY7" s="92" t="s">
        <v>96</v>
      </c>
      <c r="DZ7" s="92" t="s">
        <v>72</v>
      </c>
      <c r="EA7" s="92" t="s">
        <v>108</v>
      </c>
      <c r="EB7" s="92" t="s">
        <v>118</v>
      </c>
      <c r="EC7" s="92" t="s">
        <v>116</v>
      </c>
      <c r="ED7" s="92" t="s">
        <v>88</v>
      </c>
      <c r="EE7" s="92" t="s">
        <v>56</v>
      </c>
      <c r="EF7" s="92" t="s">
        <v>74</v>
      </c>
      <c r="EG7" s="92" t="s">
        <v>53</v>
      </c>
      <c r="EH7" s="92" t="s">
        <v>78</v>
      </c>
      <c r="EI7" s="92" t="s">
        <v>76</v>
      </c>
      <c r="EJ7" s="92" t="s">
        <v>104</v>
      </c>
      <c r="EK7" s="92" t="s">
        <v>98</v>
      </c>
      <c r="EL7" s="92" t="s">
        <v>102</v>
      </c>
      <c r="EM7" s="92" t="s">
        <v>86</v>
      </c>
      <c r="EN7" s="92" t="s">
        <v>100</v>
      </c>
      <c r="EO7" s="92" t="s">
        <v>112</v>
      </c>
      <c r="EP7" s="92" t="s">
        <v>64</v>
      </c>
      <c r="EQ7" s="92" t="s">
        <v>84</v>
      </c>
      <c r="ER7" s="92" t="s">
        <v>82</v>
      </c>
      <c r="ES7" s="92" t="s">
        <v>70</v>
      </c>
      <c r="ET7" s="92" t="s">
        <v>106</v>
      </c>
      <c r="EU7" s="92" t="s">
        <v>300</v>
      </c>
      <c r="EV7" s="92" t="s">
        <v>306</v>
      </c>
      <c r="EW7" s="92" t="s">
        <v>296</v>
      </c>
      <c r="EX7" s="92" t="s">
        <v>294</v>
      </c>
      <c r="EY7" s="92" t="s">
        <v>304</v>
      </c>
      <c r="EZ7" s="92" t="s">
        <v>300</v>
      </c>
      <c r="FA7" s="92" t="s">
        <v>291</v>
      </c>
      <c r="FB7" s="92" t="s">
        <v>68</v>
      </c>
      <c r="FC7" s="92" t="s">
        <v>92</v>
      </c>
      <c r="FD7" s="92" t="s">
        <v>114</v>
      </c>
      <c r="FE7" s="92" t="s">
        <v>66</v>
      </c>
      <c r="FF7" s="92" t="s">
        <v>58</v>
      </c>
      <c r="FG7" s="92" t="s">
        <v>62</v>
      </c>
      <c r="FH7" s="92" t="s">
        <v>94</v>
      </c>
      <c r="FI7" s="92" t="s">
        <v>60</v>
      </c>
      <c r="FJ7" s="92" t="s">
        <v>129</v>
      </c>
      <c r="FK7" s="93" t="s">
        <v>135</v>
      </c>
      <c r="FL7" s="92" t="s">
        <v>119</v>
      </c>
      <c r="FM7" s="93" t="s">
        <v>318</v>
      </c>
      <c r="FN7" s="92" t="s">
        <v>298</v>
      </c>
      <c r="FO7" s="92" t="s">
        <v>310</v>
      </c>
      <c r="FP7" s="93" t="s">
        <v>302</v>
      </c>
      <c r="FQ7" s="93" t="s">
        <v>316</v>
      </c>
      <c r="FR7" s="104" t="s">
        <v>320</v>
      </c>
      <c r="FS7" s="92" t="s">
        <v>314</v>
      </c>
      <c r="FT7" s="92" t="s">
        <v>312</v>
      </c>
      <c r="FU7" s="92" t="s">
        <v>308</v>
      </c>
      <c r="FV7" s="92" t="s">
        <v>273</v>
      </c>
      <c r="FW7" s="92" t="s">
        <v>287</v>
      </c>
      <c r="FX7" s="92" t="s">
        <v>287</v>
      </c>
      <c r="FY7" s="92" t="s">
        <v>275</v>
      </c>
      <c r="FZ7" s="92" t="s">
        <v>262</v>
      </c>
      <c r="GA7" s="92" t="s">
        <v>139</v>
      </c>
      <c r="GB7" s="92" t="s">
        <v>141</v>
      </c>
      <c r="GC7" s="92" t="s">
        <v>127</v>
      </c>
      <c r="GD7" s="92" t="s">
        <v>131</v>
      </c>
      <c r="GE7" s="92" t="s">
        <v>123</v>
      </c>
      <c r="GF7" s="93" t="s">
        <v>271</v>
      </c>
      <c r="GG7" s="93" t="s">
        <v>289</v>
      </c>
      <c r="GH7" s="92" t="s">
        <v>285</v>
      </c>
      <c r="GI7" s="92" t="s">
        <v>267</v>
      </c>
      <c r="GJ7" s="92" t="s">
        <v>279</v>
      </c>
      <c r="GK7" s="92" t="s">
        <v>269</v>
      </c>
      <c r="GL7" s="92" t="s">
        <v>283</v>
      </c>
      <c r="GM7" s="92" t="s">
        <v>281</v>
      </c>
      <c r="GN7" s="92" t="s">
        <v>265</v>
      </c>
      <c r="GO7" s="92" t="s">
        <v>277</v>
      </c>
      <c r="GP7" s="92" t="s">
        <v>256</v>
      </c>
      <c r="GQ7" s="92" t="s">
        <v>248</v>
      </c>
      <c r="GR7" s="92" t="s">
        <v>229</v>
      </c>
      <c r="GS7" s="92" t="s">
        <v>244</v>
      </c>
      <c r="GT7" s="92" t="s">
        <v>252</v>
      </c>
      <c r="GU7" s="92" t="s">
        <v>236</v>
      </c>
      <c r="GV7" s="92" t="s">
        <v>258</v>
      </c>
      <c r="GW7" s="92" t="s">
        <v>250</v>
      </c>
      <c r="GX7" s="92" t="s">
        <v>260</v>
      </c>
      <c r="GY7" s="92" t="s">
        <v>232</v>
      </c>
      <c r="GZ7" s="92" t="s">
        <v>125</v>
      </c>
      <c r="HA7" s="92" t="s">
        <v>137</v>
      </c>
      <c r="HB7" s="93" t="s">
        <v>133</v>
      </c>
      <c r="HC7" s="92" t="s">
        <v>122</v>
      </c>
      <c r="HD7" s="92" t="s">
        <v>188</v>
      </c>
      <c r="HE7" s="92" t="s">
        <v>178</v>
      </c>
      <c r="HF7" s="92" t="s">
        <v>162</v>
      </c>
      <c r="HG7" s="92" t="s">
        <v>238</v>
      </c>
      <c r="HH7" s="92" t="s">
        <v>254</v>
      </c>
      <c r="HI7" s="92" t="s">
        <v>242</v>
      </c>
      <c r="HJ7" s="92" t="s">
        <v>234</v>
      </c>
      <c r="HK7" s="92" t="s">
        <v>240</v>
      </c>
      <c r="HL7" s="93" t="s">
        <v>246</v>
      </c>
      <c r="HM7" s="92" t="s">
        <v>193</v>
      </c>
      <c r="HN7" s="93" t="s">
        <v>215</v>
      </c>
      <c r="HO7" s="92" t="s">
        <v>219</v>
      </c>
      <c r="HP7" s="92" t="s">
        <v>203</v>
      </c>
      <c r="HQ7" s="92" t="s">
        <v>197</v>
      </c>
      <c r="HR7" s="92" t="s">
        <v>207</v>
      </c>
      <c r="HS7" s="92" t="s">
        <v>223</v>
      </c>
      <c r="HT7" s="92" t="s">
        <v>190</v>
      </c>
      <c r="HU7" s="92" t="s">
        <v>213</v>
      </c>
      <c r="HV7" s="92" t="s">
        <v>227</v>
      </c>
      <c r="HW7" s="92" t="s">
        <v>211</v>
      </c>
      <c r="HX7" s="92" t="s">
        <v>199</v>
      </c>
      <c r="HY7" s="92" t="s">
        <v>225</v>
      </c>
      <c r="HZ7" s="92" t="s">
        <v>217</v>
      </c>
      <c r="IA7" s="92" t="s">
        <v>221</v>
      </c>
      <c r="IB7" s="92" t="s">
        <v>209</v>
      </c>
      <c r="IC7" s="92" t="s">
        <v>160</v>
      </c>
      <c r="ID7" s="92" t="s">
        <v>205</v>
      </c>
      <c r="IE7" s="92" t="s">
        <v>146</v>
      </c>
      <c r="IF7" s="92" t="s">
        <v>146</v>
      </c>
      <c r="IG7" s="92" t="s">
        <v>148</v>
      </c>
      <c r="IH7" s="92" t="s">
        <v>168</v>
      </c>
      <c r="II7" s="92" t="s">
        <v>154</v>
      </c>
      <c r="IJ7" s="92" t="s">
        <v>195</v>
      </c>
      <c r="IK7" s="92" t="s">
        <v>201</v>
      </c>
      <c r="IL7" s="92" t="s">
        <v>174</v>
      </c>
      <c r="IM7" s="92" t="s">
        <v>150</v>
      </c>
      <c r="IN7" s="92" t="s">
        <v>180</v>
      </c>
      <c r="IO7" s="92" t="s">
        <v>156</v>
      </c>
      <c r="IP7" s="92" t="s">
        <v>170</v>
      </c>
      <c r="IQ7" s="92" t="s">
        <v>164</v>
      </c>
      <c r="IR7" s="92" t="s">
        <v>172</v>
      </c>
      <c r="IS7" s="92" t="s">
        <v>176</v>
      </c>
      <c r="IT7" s="92" t="s">
        <v>182</v>
      </c>
      <c r="IU7" s="92" t="s">
        <v>152</v>
      </c>
      <c r="IV7" s="92" t="s">
        <v>184</v>
      </c>
      <c r="IW7" s="92" t="s">
        <v>143</v>
      </c>
      <c r="IX7" s="92" t="s">
        <v>166</v>
      </c>
      <c r="IY7" s="92" t="s">
        <v>186</v>
      </c>
      <c r="IZ7" s="92" t="s">
        <v>158</v>
      </c>
    </row>
    <row r="8" spans="1:16384" ht="20">
      <c r="A8" s="34" t="s">
        <v>361</v>
      </c>
      <c r="B8" s="91" t="s">
        <v>1</v>
      </c>
      <c r="C8" s="91" t="s">
        <v>2</v>
      </c>
      <c r="D8" s="91" t="s">
        <v>1</v>
      </c>
      <c r="E8" s="91" t="s">
        <v>1</v>
      </c>
      <c r="F8" s="91" t="s">
        <v>2</v>
      </c>
      <c r="G8" s="91" t="s">
        <v>2</v>
      </c>
      <c r="H8" s="91" t="s">
        <v>2</v>
      </c>
      <c r="I8" s="91" t="s">
        <v>1</v>
      </c>
      <c r="J8" s="91" t="s">
        <v>1</v>
      </c>
      <c r="K8" s="91" t="s">
        <v>2</v>
      </c>
      <c r="L8" s="91" t="s">
        <v>2</v>
      </c>
      <c r="M8" s="91" t="s">
        <v>1</v>
      </c>
      <c r="N8" s="91" t="s">
        <v>1</v>
      </c>
      <c r="O8" s="91" t="s">
        <v>2</v>
      </c>
      <c r="P8" s="91" t="s">
        <v>1</v>
      </c>
      <c r="Q8" s="91" t="s">
        <v>1</v>
      </c>
      <c r="R8" s="91" t="s">
        <v>1</v>
      </c>
      <c r="S8" s="91" t="s">
        <v>1</v>
      </c>
      <c r="T8" s="91" t="s">
        <v>1</v>
      </c>
      <c r="U8" s="91" t="s">
        <v>2</v>
      </c>
      <c r="V8" s="91" t="s">
        <v>1</v>
      </c>
      <c r="W8" s="91" t="s">
        <v>1</v>
      </c>
      <c r="X8" s="91" t="s">
        <v>1</v>
      </c>
      <c r="Y8" s="91" t="s">
        <v>1</v>
      </c>
      <c r="Z8" s="91" t="s">
        <v>2</v>
      </c>
      <c r="AA8" s="91" t="s">
        <v>2</v>
      </c>
      <c r="AB8" s="91" t="s">
        <v>2</v>
      </c>
      <c r="AC8" s="91" t="s">
        <v>1</v>
      </c>
      <c r="AD8" s="91" t="s">
        <v>1</v>
      </c>
      <c r="AE8" s="91" t="s">
        <v>1</v>
      </c>
      <c r="AF8" s="91" t="s">
        <v>2</v>
      </c>
      <c r="AG8" s="91" t="s">
        <v>1</v>
      </c>
      <c r="AH8" s="91" t="s">
        <v>1</v>
      </c>
      <c r="AI8" s="91" t="s">
        <v>2</v>
      </c>
      <c r="AJ8" s="91" t="s">
        <v>2</v>
      </c>
      <c r="AK8" s="91" t="s">
        <v>2</v>
      </c>
      <c r="AL8" s="91" t="s">
        <v>1</v>
      </c>
      <c r="AM8" s="91" t="s">
        <v>2</v>
      </c>
      <c r="AN8" s="91" t="s">
        <v>2</v>
      </c>
      <c r="AO8" s="91" t="s">
        <v>2</v>
      </c>
      <c r="AP8" s="91" t="s">
        <v>2</v>
      </c>
      <c r="AQ8" s="91" t="s">
        <v>1</v>
      </c>
      <c r="AR8" s="91" t="s">
        <v>1</v>
      </c>
      <c r="AS8" s="91" t="s">
        <v>2</v>
      </c>
      <c r="AT8" s="91" t="s">
        <v>1</v>
      </c>
      <c r="AU8" s="91" t="s">
        <v>2</v>
      </c>
      <c r="AV8" s="91" t="s">
        <v>1</v>
      </c>
      <c r="AW8" s="91" t="s">
        <v>2</v>
      </c>
      <c r="AX8" s="91" t="s">
        <v>2</v>
      </c>
      <c r="AY8" s="91" t="s">
        <v>1</v>
      </c>
      <c r="AZ8" s="91" t="s">
        <v>1</v>
      </c>
      <c r="BA8" s="91" t="s">
        <v>1</v>
      </c>
      <c r="BB8" s="91" t="s">
        <v>2</v>
      </c>
      <c r="BC8" s="91" t="s">
        <v>1</v>
      </c>
      <c r="BD8" s="91" t="s">
        <v>2</v>
      </c>
      <c r="BE8" s="91" t="s">
        <v>1</v>
      </c>
      <c r="BF8" s="91" t="s">
        <v>1</v>
      </c>
      <c r="BG8" s="91" t="s">
        <v>1</v>
      </c>
      <c r="BH8" s="91" t="s">
        <v>2</v>
      </c>
      <c r="BI8" s="91" t="s">
        <v>2</v>
      </c>
      <c r="BJ8" s="91" t="s">
        <v>2</v>
      </c>
      <c r="BK8" s="91" t="s">
        <v>1</v>
      </c>
      <c r="BL8" s="91" t="s">
        <v>2</v>
      </c>
      <c r="BM8" s="91" t="s">
        <v>1</v>
      </c>
      <c r="BN8" s="91" t="s">
        <v>1</v>
      </c>
      <c r="BO8" s="91" t="s">
        <v>1</v>
      </c>
      <c r="BP8" s="91" t="s">
        <v>2</v>
      </c>
      <c r="BQ8" s="91" t="s">
        <v>2</v>
      </c>
      <c r="BR8" s="91" t="s">
        <v>1</v>
      </c>
      <c r="BS8" s="91" t="s">
        <v>1</v>
      </c>
      <c r="BT8" s="91" t="s">
        <v>2</v>
      </c>
      <c r="BU8" s="91" t="s">
        <v>1</v>
      </c>
      <c r="BV8" s="91" t="s">
        <v>1</v>
      </c>
      <c r="BW8" s="91" t="s">
        <v>2</v>
      </c>
      <c r="BX8" s="91" t="s">
        <v>1</v>
      </c>
      <c r="BY8" s="91" t="s">
        <v>2</v>
      </c>
      <c r="BZ8" s="91" t="s">
        <v>2</v>
      </c>
      <c r="CA8" s="91" t="s">
        <v>1</v>
      </c>
      <c r="CB8" s="91" t="s">
        <v>2</v>
      </c>
      <c r="CC8" s="91" t="s">
        <v>1</v>
      </c>
      <c r="CD8" s="91" t="s">
        <v>2</v>
      </c>
      <c r="CE8" s="91" t="s">
        <v>2</v>
      </c>
      <c r="CF8" s="91" t="s">
        <v>2</v>
      </c>
      <c r="CG8" s="91" t="s">
        <v>2</v>
      </c>
      <c r="CH8" s="91" t="s">
        <v>2</v>
      </c>
      <c r="CI8" s="91" t="s">
        <v>1</v>
      </c>
      <c r="CJ8" s="91" t="s">
        <v>2</v>
      </c>
      <c r="CK8" s="91" t="s">
        <v>2</v>
      </c>
      <c r="CL8" s="91" t="s">
        <v>2</v>
      </c>
      <c r="CM8" s="91" t="s">
        <v>2</v>
      </c>
      <c r="CN8" s="91" t="s">
        <v>1</v>
      </c>
      <c r="CO8" s="91" t="s">
        <v>2</v>
      </c>
      <c r="CP8" s="91" t="s">
        <v>1</v>
      </c>
      <c r="CQ8" s="91" t="s">
        <v>2</v>
      </c>
      <c r="CR8" s="91" t="s">
        <v>1</v>
      </c>
      <c r="CS8" s="91" t="s">
        <v>2</v>
      </c>
      <c r="CT8" s="91" t="s">
        <v>1</v>
      </c>
      <c r="CU8" s="91" t="s">
        <v>2</v>
      </c>
      <c r="CV8" s="91" t="s">
        <v>1</v>
      </c>
      <c r="CW8" s="91" t="s">
        <v>2</v>
      </c>
      <c r="CX8" s="91" t="s">
        <v>1</v>
      </c>
      <c r="CY8" s="91" t="s">
        <v>1</v>
      </c>
      <c r="CZ8" s="91" t="s">
        <v>1</v>
      </c>
      <c r="DA8" s="99" t="s">
        <v>1</v>
      </c>
      <c r="DB8" s="92" t="s">
        <v>1</v>
      </c>
      <c r="DC8" s="92" t="s">
        <v>1</v>
      </c>
      <c r="DD8" s="92" t="s">
        <v>1</v>
      </c>
      <c r="DE8" s="94" t="s">
        <v>1</v>
      </c>
      <c r="DF8" s="92" t="s">
        <v>1</v>
      </c>
      <c r="DG8" s="94" t="s">
        <v>1</v>
      </c>
      <c r="DH8" s="92" t="s">
        <v>1</v>
      </c>
      <c r="DI8" s="92" t="s">
        <v>1</v>
      </c>
      <c r="DJ8" s="92" t="s">
        <v>1</v>
      </c>
      <c r="DK8" s="92" t="s">
        <v>2</v>
      </c>
      <c r="DL8" s="94" t="s">
        <v>1</v>
      </c>
      <c r="DM8" s="94" t="s">
        <v>1</v>
      </c>
      <c r="DN8" s="92" t="s">
        <v>1</v>
      </c>
      <c r="DO8" s="92" t="s">
        <v>1</v>
      </c>
      <c r="DP8" s="92" t="s">
        <v>1</v>
      </c>
      <c r="DQ8" s="94" t="s">
        <v>1</v>
      </c>
      <c r="DR8" s="92" t="s">
        <v>1</v>
      </c>
      <c r="DS8" s="92" t="s">
        <v>2</v>
      </c>
      <c r="DT8" s="92" t="s">
        <v>2</v>
      </c>
      <c r="DU8" s="92" t="s">
        <v>1</v>
      </c>
      <c r="DV8" s="92" t="s">
        <v>1</v>
      </c>
      <c r="DW8" s="94" t="s">
        <v>1</v>
      </c>
      <c r="DX8" s="92" t="s">
        <v>2</v>
      </c>
      <c r="DY8" s="94" t="s">
        <v>1</v>
      </c>
      <c r="DZ8" s="92" t="s">
        <v>1</v>
      </c>
      <c r="EA8" s="92" t="s">
        <v>1</v>
      </c>
      <c r="EB8" s="92" t="s">
        <v>1</v>
      </c>
      <c r="EC8" s="94" t="s">
        <v>1</v>
      </c>
      <c r="ED8" s="94" t="s">
        <v>1</v>
      </c>
      <c r="EE8" s="94" t="s">
        <v>1</v>
      </c>
      <c r="EF8" s="94" t="s">
        <v>1</v>
      </c>
      <c r="EG8" s="92" t="s">
        <v>1</v>
      </c>
      <c r="EH8" s="94" t="s">
        <v>1</v>
      </c>
      <c r="EI8" s="94" t="s">
        <v>1</v>
      </c>
      <c r="EJ8" s="94" t="s">
        <v>1</v>
      </c>
      <c r="EK8" s="94" t="s">
        <v>1</v>
      </c>
      <c r="EL8" s="92" t="s">
        <v>1</v>
      </c>
      <c r="EM8" s="92" t="s">
        <v>2</v>
      </c>
      <c r="EN8" s="92" t="s">
        <v>1</v>
      </c>
      <c r="EO8" s="94" t="s">
        <v>1</v>
      </c>
      <c r="EP8" s="94" t="s">
        <v>1</v>
      </c>
      <c r="EQ8" s="94" t="s">
        <v>1</v>
      </c>
      <c r="ER8" s="92" t="s">
        <v>1</v>
      </c>
      <c r="ES8" s="92" t="s">
        <v>2</v>
      </c>
      <c r="ET8" s="92" t="s">
        <v>1</v>
      </c>
      <c r="EU8" s="92" t="s">
        <v>1</v>
      </c>
      <c r="EV8" s="92" t="s">
        <v>1</v>
      </c>
      <c r="EW8" s="92" t="s">
        <v>1</v>
      </c>
      <c r="EX8" s="92" t="s">
        <v>1</v>
      </c>
      <c r="EY8" s="92" t="s">
        <v>2</v>
      </c>
      <c r="EZ8" s="92" t="s">
        <v>1</v>
      </c>
      <c r="FA8" s="92" t="s">
        <v>1</v>
      </c>
      <c r="FB8" s="94" t="s">
        <v>1</v>
      </c>
      <c r="FC8" s="94" t="s">
        <v>1</v>
      </c>
      <c r="FD8" s="92" t="s">
        <v>2</v>
      </c>
      <c r="FE8" s="92" t="s">
        <v>1</v>
      </c>
      <c r="FF8" s="92" t="s">
        <v>1</v>
      </c>
      <c r="FG8" s="94" t="s">
        <v>1</v>
      </c>
      <c r="FH8" s="94" t="s">
        <v>1</v>
      </c>
      <c r="FI8" s="92" t="s">
        <v>2</v>
      </c>
      <c r="FJ8" s="92" t="s">
        <v>1</v>
      </c>
      <c r="FK8" s="92" t="s">
        <v>1</v>
      </c>
      <c r="FL8" s="92" t="s">
        <v>1</v>
      </c>
      <c r="FM8" s="92" t="s">
        <v>1</v>
      </c>
      <c r="FN8" s="92" t="s">
        <v>1</v>
      </c>
      <c r="FO8" s="92" t="s">
        <v>2</v>
      </c>
      <c r="FP8" s="92" t="s">
        <v>1</v>
      </c>
      <c r="FQ8" s="92" t="s">
        <v>1</v>
      </c>
      <c r="FR8" s="104" t="s">
        <v>1</v>
      </c>
      <c r="FS8" s="92" t="s">
        <v>2</v>
      </c>
      <c r="FT8" s="92" t="s">
        <v>1</v>
      </c>
      <c r="FU8" s="92" t="s">
        <v>2</v>
      </c>
      <c r="FV8" s="92" t="s">
        <v>1</v>
      </c>
      <c r="FW8" s="92" t="s">
        <v>1</v>
      </c>
      <c r="FX8" s="92" t="s">
        <v>1</v>
      </c>
      <c r="FY8" s="92" t="s">
        <v>1</v>
      </c>
      <c r="FZ8" s="92" t="s">
        <v>1</v>
      </c>
      <c r="GA8" s="92" t="s">
        <v>1</v>
      </c>
      <c r="GB8" s="92" t="s">
        <v>1</v>
      </c>
      <c r="GC8" s="92" t="s">
        <v>1</v>
      </c>
      <c r="GD8" s="92" t="s">
        <v>1</v>
      </c>
      <c r="GE8" s="92" t="s">
        <v>1</v>
      </c>
      <c r="GF8" s="92" t="s">
        <v>1</v>
      </c>
      <c r="GG8" s="92" t="s">
        <v>2</v>
      </c>
      <c r="GH8" s="92" t="s">
        <v>1</v>
      </c>
      <c r="GI8" s="92" t="s">
        <v>1</v>
      </c>
      <c r="GJ8" s="92" t="s">
        <v>1</v>
      </c>
      <c r="GK8" s="92" t="s">
        <v>2</v>
      </c>
      <c r="GL8" s="92" t="s">
        <v>1</v>
      </c>
      <c r="GM8" s="92" t="s">
        <v>1</v>
      </c>
      <c r="GN8" s="92" t="s">
        <v>2</v>
      </c>
      <c r="GO8" s="92" t="s">
        <v>1</v>
      </c>
      <c r="GP8" s="92" t="s">
        <v>1</v>
      </c>
      <c r="GQ8" s="92" t="s">
        <v>1</v>
      </c>
      <c r="GR8" s="92" t="s">
        <v>2</v>
      </c>
      <c r="GS8" s="92" t="s">
        <v>1</v>
      </c>
      <c r="GT8" s="92" t="s">
        <v>1</v>
      </c>
      <c r="GU8" s="92" t="s">
        <v>1</v>
      </c>
      <c r="GV8" s="92" t="s">
        <v>1</v>
      </c>
      <c r="GW8" s="92" t="s">
        <v>1</v>
      </c>
      <c r="GX8" s="92" t="s">
        <v>1</v>
      </c>
      <c r="GY8" s="92" t="s">
        <v>2</v>
      </c>
      <c r="GZ8" s="92" t="s">
        <v>1</v>
      </c>
      <c r="HA8" s="92" t="s">
        <v>1</v>
      </c>
      <c r="HB8" s="92" t="s">
        <v>1</v>
      </c>
      <c r="HC8" s="94" t="s">
        <v>1</v>
      </c>
      <c r="HD8" s="94" t="s">
        <v>1</v>
      </c>
      <c r="HE8" s="94" t="s">
        <v>1</v>
      </c>
      <c r="HF8" s="92" t="s">
        <v>1</v>
      </c>
      <c r="HG8" s="92" t="s">
        <v>1</v>
      </c>
      <c r="HH8" s="92" t="s">
        <v>1</v>
      </c>
      <c r="HI8" s="92" t="s">
        <v>1</v>
      </c>
      <c r="HJ8" s="92" t="s">
        <v>2</v>
      </c>
      <c r="HK8" s="92" t="s">
        <v>1</v>
      </c>
      <c r="HL8" s="92" t="s">
        <v>1</v>
      </c>
      <c r="HM8" s="92" t="s">
        <v>1</v>
      </c>
      <c r="HN8" s="92" t="s">
        <v>1</v>
      </c>
      <c r="HO8" s="92" t="s">
        <v>2</v>
      </c>
      <c r="HP8" s="92" t="s">
        <v>1</v>
      </c>
      <c r="HQ8" s="92" t="s">
        <v>1</v>
      </c>
      <c r="HR8" s="92" t="s">
        <v>1</v>
      </c>
      <c r="HS8" s="92" t="s">
        <v>2</v>
      </c>
      <c r="HT8" s="92" t="s">
        <v>1</v>
      </c>
      <c r="HU8" s="92" t="s">
        <v>1</v>
      </c>
      <c r="HV8" s="92" t="s">
        <v>2</v>
      </c>
      <c r="HW8" s="92" t="s">
        <v>1</v>
      </c>
      <c r="HX8" s="92" t="s">
        <v>2</v>
      </c>
      <c r="HY8" s="92" t="s">
        <v>1</v>
      </c>
      <c r="HZ8" s="92" t="s">
        <v>1</v>
      </c>
      <c r="IA8" s="92" t="s">
        <v>1</v>
      </c>
      <c r="IB8" s="92" t="s">
        <v>1</v>
      </c>
      <c r="IC8" s="92" t="s">
        <v>1</v>
      </c>
      <c r="ID8" s="92" t="s">
        <v>1</v>
      </c>
      <c r="IE8" s="94" t="s">
        <v>1</v>
      </c>
      <c r="IF8" s="94" t="s">
        <v>1</v>
      </c>
      <c r="IG8" s="94" t="s">
        <v>1</v>
      </c>
      <c r="IH8" s="92" t="s">
        <v>1</v>
      </c>
      <c r="II8" s="92" t="s">
        <v>1</v>
      </c>
      <c r="IJ8" s="92" t="s">
        <v>1</v>
      </c>
      <c r="IK8" s="92" t="s">
        <v>1</v>
      </c>
      <c r="IL8" s="92" t="s">
        <v>2</v>
      </c>
      <c r="IM8" s="92" t="s">
        <v>1</v>
      </c>
      <c r="IN8" s="92" t="s">
        <v>1</v>
      </c>
      <c r="IO8" s="92" t="s">
        <v>1</v>
      </c>
      <c r="IP8" s="92" t="s">
        <v>2</v>
      </c>
      <c r="IQ8" s="92" t="s">
        <v>1</v>
      </c>
      <c r="IR8" s="92" t="s">
        <v>1</v>
      </c>
      <c r="IS8" s="92" t="s">
        <v>1</v>
      </c>
      <c r="IT8" s="92" t="s">
        <v>2</v>
      </c>
      <c r="IU8" s="92" t="s">
        <v>1</v>
      </c>
      <c r="IV8" s="92" t="s">
        <v>1</v>
      </c>
      <c r="IW8" s="92" t="s">
        <v>1</v>
      </c>
      <c r="IX8" s="92" t="s">
        <v>1</v>
      </c>
      <c r="IY8" s="92" t="s">
        <v>2</v>
      </c>
      <c r="IZ8" s="92" t="s">
        <v>1</v>
      </c>
    </row>
    <row r="9" spans="1:16384" ht="20">
      <c r="A9" s="34" t="s">
        <v>362</v>
      </c>
      <c r="B9" s="91" t="s">
        <v>1</v>
      </c>
      <c r="C9" s="91" t="s">
        <v>2</v>
      </c>
      <c r="D9" s="91" t="s">
        <v>2</v>
      </c>
      <c r="E9" s="91" t="s">
        <v>2</v>
      </c>
      <c r="F9" s="91" t="s">
        <v>2</v>
      </c>
      <c r="G9" s="91" t="s">
        <v>1</v>
      </c>
      <c r="H9" s="91" t="s">
        <v>2</v>
      </c>
      <c r="I9" s="91" t="s">
        <v>1</v>
      </c>
      <c r="J9" s="91" t="s">
        <v>2</v>
      </c>
      <c r="K9" s="91" t="s">
        <v>2</v>
      </c>
      <c r="L9" s="91" t="s">
        <v>1</v>
      </c>
      <c r="M9" s="91" t="s">
        <v>2</v>
      </c>
      <c r="N9" s="91" t="s">
        <v>1</v>
      </c>
      <c r="O9" s="91" t="s">
        <v>1</v>
      </c>
      <c r="P9" s="91" t="s">
        <v>1</v>
      </c>
      <c r="Q9" s="91" t="s">
        <v>1</v>
      </c>
      <c r="R9" s="91" t="s">
        <v>2</v>
      </c>
      <c r="S9" s="91" t="s">
        <v>1</v>
      </c>
      <c r="T9" s="91" t="s">
        <v>1</v>
      </c>
      <c r="U9" s="91" t="s">
        <v>1</v>
      </c>
      <c r="V9" s="91" t="s">
        <v>2</v>
      </c>
      <c r="W9" s="91" t="s">
        <v>1</v>
      </c>
      <c r="X9" s="91" t="s">
        <v>1</v>
      </c>
      <c r="Y9" s="91" t="s">
        <v>1</v>
      </c>
      <c r="Z9" s="91" t="s">
        <v>1</v>
      </c>
      <c r="AA9" s="91" t="s">
        <v>1</v>
      </c>
      <c r="AB9" s="91" t="s">
        <v>1</v>
      </c>
      <c r="AC9" s="91" t="s">
        <v>2</v>
      </c>
      <c r="AD9" s="91" t="s">
        <v>2</v>
      </c>
      <c r="AE9" s="91" t="s">
        <v>2</v>
      </c>
      <c r="AF9" s="91" t="s">
        <v>2</v>
      </c>
      <c r="AG9" s="91" t="s">
        <v>1</v>
      </c>
      <c r="AH9" s="91" t="s">
        <v>2</v>
      </c>
      <c r="AI9" s="91" t="s">
        <v>2</v>
      </c>
      <c r="AJ9" s="91" t="s">
        <v>2</v>
      </c>
      <c r="AK9" s="91" t="s">
        <v>1</v>
      </c>
      <c r="AL9" s="91" t="s">
        <v>2</v>
      </c>
      <c r="AM9" s="91" t="s">
        <v>1</v>
      </c>
      <c r="AN9" s="91" t="s">
        <v>1</v>
      </c>
      <c r="AO9" s="91" t="s">
        <v>1</v>
      </c>
      <c r="AP9" s="91" t="s">
        <v>2</v>
      </c>
      <c r="AQ9" s="91" t="s">
        <v>1</v>
      </c>
      <c r="AR9" s="91" t="s">
        <v>1</v>
      </c>
      <c r="AS9" s="91" t="s">
        <v>1</v>
      </c>
      <c r="AT9" s="91" t="s">
        <v>2</v>
      </c>
      <c r="AU9" s="91" t="s">
        <v>1</v>
      </c>
      <c r="AV9" s="91" t="s">
        <v>1</v>
      </c>
      <c r="AW9" s="91" t="s">
        <v>1</v>
      </c>
      <c r="AX9" s="91" t="s">
        <v>2</v>
      </c>
      <c r="AY9" s="91" t="s">
        <v>1</v>
      </c>
      <c r="AZ9" s="91" t="s">
        <v>2</v>
      </c>
      <c r="BA9" s="91" t="s">
        <v>1</v>
      </c>
      <c r="BB9" s="91" t="s">
        <v>2</v>
      </c>
      <c r="BC9" s="91" t="s">
        <v>2</v>
      </c>
      <c r="BD9" s="91" t="s">
        <v>1</v>
      </c>
      <c r="BE9" s="91" t="s">
        <v>2</v>
      </c>
      <c r="BF9" s="91" t="s">
        <v>2</v>
      </c>
      <c r="BG9" s="91" t="s">
        <v>1</v>
      </c>
      <c r="BH9" s="91" t="s">
        <v>2</v>
      </c>
      <c r="BI9" s="91" t="s">
        <v>2</v>
      </c>
      <c r="BJ9" s="91" t="s">
        <v>1</v>
      </c>
      <c r="BK9" s="91" t="s">
        <v>1</v>
      </c>
      <c r="BL9" s="91" t="s">
        <v>2</v>
      </c>
      <c r="BM9" s="91" t="s">
        <v>1</v>
      </c>
      <c r="BN9" s="91" t="s">
        <v>1</v>
      </c>
      <c r="BO9" s="91" t="s">
        <v>1</v>
      </c>
      <c r="BP9" s="91" t="s">
        <v>2</v>
      </c>
      <c r="BQ9" s="91" t="s">
        <v>2</v>
      </c>
      <c r="BR9" s="91" t="s">
        <v>1</v>
      </c>
      <c r="BS9" s="91" t="s">
        <v>1</v>
      </c>
      <c r="BT9" s="91" t="s">
        <v>2</v>
      </c>
      <c r="BU9" s="91" t="s">
        <v>1</v>
      </c>
      <c r="BV9" s="91" t="s">
        <v>2</v>
      </c>
      <c r="BW9" s="91" t="s">
        <v>1</v>
      </c>
      <c r="BX9" s="91" t="s">
        <v>2</v>
      </c>
      <c r="BY9" s="91" t="s">
        <v>1</v>
      </c>
      <c r="BZ9" s="91" t="s">
        <v>1</v>
      </c>
      <c r="CA9" s="91" t="s">
        <v>2</v>
      </c>
      <c r="CB9" s="91" t="s">
        <v>2</v>
      </c>
      <c r="CC9" s="91" t="s">
        <v>2</v>
      </c>
      <c r="CD9" s="91" t="s">
        <v>1</v>
      </c>
      <c r="CE9" s="91" t="s">
        <v>1</v>
      </c>
      <c r="CF9" s="91" t="s">
        <v>2</v>
      </c>
      <c r="CG9" s="91" t="s">
        <v>1</v>
      </c>
      <c r="CH9" s="91" t="s">
        <v>2</v>
      </c>
      <c r="CI9" s="91" t="s">
        <v>1</v>
      </c>
      <c r="CJ9" s="91" t="s">
        <v>1</v>
      </c>
      <c r="CK9" s="91" t="s">
        <v>1</v>
      </c>
      <c r="CL9" s="91" t="s">
        <v>2</v>
      </c>
      <c r="CM9" s="91" t="s">
        <v>2</v>
      </c>
      <c r="CN9" s="91" t="s">
        <v>2</v>
      </c>
      <c r="CO9" s="91" t="s">
        <v>2</v>
      </c>
      <c r="CP9" s="91" t="s">
        <v>2</v>
      </c>
      <c r="CQ9" s="91" t="s">
        <v>1</v>
      </c>
      <c r="CR9" s="91" t="s">
        <v>2</v>
      </c>
      <c r="CS9" s="91" t="s">
        <v>2</v>
      </c>
      <c r="CT9" s="91" t="s">
        <v>2</v>
      </c>
      <c r="CU9" s="91" t="s">
        <v>1</v>
      </c>
      <c r="CV9" s="91" t="s">
        <v>2</v>
      </c>
      <c r="CW9" s="91" t="s">
        <v>2</v>
      </c>
      <c r="CX9" s="91" t="s">
        <v>2</v>
      </c>
      <c r="CY9" s="91" t="s">
        <v>2</v>
      </c>
      <c r="CZ9" s="91" t="s">
        <v>2</v>
      </c>
      <c r="DA9" s="99" t="s">
        <v>2</v>
      </c>
      <c r="DB9" s="92" t="s">
        <v>1</v>
      </c>
      <c r="DC9" s="92" t="s">
        <v>1</v>
      </c>
      <c r="DD9" s="92" t="s">
        <v>2</v>
      </c>
      <c r="DE9" s="92" t="s">
        <v>2</v>
      </c>
      <c r="DF9" s="94" t="s">
        <v>1</v>
      </c>
      <c r="DG9" s="92" t="s">
        <v>2</v>
      </c>
      <c r="DH9" s="92" t="s">
        <v>1</v>
      </c>
      <c r="DI9" s="92" t="s">
        <v>1</v>
      </c>
      <c r="DJ9" s="92" t="s">
        <v>2</v>
      </c>
      <c r="DK9" s="92" t="s">
        <v>2</v>
      </c>
      <c r="DL9" s="92" t="s">
        <v>2</v>
      </c>
      <c r="DM9" s="92" t="s">
        <v>1</v>
      </c>
      <c r="DN9" s="92" t="s">
        <v>2</v>
      </c>
      <c r="DO9" s="92" t="s">
        <v>1</v>
      </c>
      <c r="DP9" s="94" t="s">
        <v>1</v>
      </c>
      <c r="DQ9" s="92" t="s">
        <v>2</v>
      </c>
      <c r="DR9" s="94" t="s">
        <v>1</v>
      </c>
      <c r="DS9" s="94" t="s">
        <v>1</v>
      </c>
      <c r="DT9" s="92" t="s">
        <v>2</v>
      </c>
      <c r="DU9" s="92" t="s">
        <v>2</v>
      </c>
      <c r="DV9" s="92" t="s">
        <v>2</v>
      </c>
      <c r="DW9" s="94" t="s">
        <v>1</v>
      </c>
      <c r="DX9" s="94" t="s">
        <v>1</v>
      </c>
      <c r="DY9" s="92" t="s">
        <v>2</v>
      </c>
      <c r="DZ9" s="92" t="s">
        <v>1</v>
      </c>
      <c r="EA9" s="92" t="s">
        <v>1</v>
      </c>
      <c r="EB9" s="92" t="s">
        <v>2</v>
      </c>
      <c r="EC9" s="94" t="s">
        <v>1</v>
      </c>
      <c r="ED9" s="92" t="s">
        <v>2</v>
      </c>
      <c r="EE9" s="92" t="s">
        <v>2</v>
      </c>
      <c r="EF9" s="94" t="s">
        <v>1</v>
      </c>
      <c r="EG9" s="92" t="s">
        <v>1</v>
      </c>
      <c r="EH9" s="94" t="s">
        <v>1</v>
      </c>
      <c r="EI9" s="92" t="s">
        <v>2</v>
      </c>
      <c r="EJ9" s="94" t="s">
        <v>1</v>
      </c>
      <c r="EK9" s="94" t="s">
        <v>1</v>
      </c>
      <c r="EL9" s="92" t="s">
        <v>1</v>
      </c>
      <c r="EM9" s="92" t="s">
        <v>1</v>
      </c>
      <c r="EN9" s="92" t="s">
        <v>2</v>
      </c>
      <c r="EO9" s="92" t="s">
        <v>2</v>
      </c>
      <c r="EP9" s="92" t="s">
        <v>2</v>
      </c>
      <c r="EQ9" s="92" t="s">
        <v>1</v>
      </c>
      <c r="ER9" s="92" t="s">
        <v>2</v>
      </c>
      <c r="ES9" s="92" t="s">
        <v>1</v>
      </c>
      <c r="ET9" s="94" t="s">
        <v>1</v>
      </c>
      <c r="EU9" s="92" t="s">
        <v>1</v>
      </c>
      <c r="EV9" s="92" t="s">
        <v>1</v>
      </c>
      <c r="EW9" s="92" t="s">
        <v>2</v>
      </c>
      <c r="EX9" s="92" t="s">
        <v>1</v>
      </c>
      <c r="EY9" s="92" t="s">
        <v>1</v>
      </c>
      <c r="EZ9" s="92" t="s">
        <v>2</v>
      </c>
      <c r="FA9" s="92" t="s">
        <v>2</v>
      </c>
      <c r="FB9" s="94" t="s">
        <v>1</v>
      </c>
      <c r="FC9" s="92" t="s">
        <v>1</v>
      </c>
      <c r="FD9" s="92" t="s">
        <v>1</v>
      </c>
      <c r="FE9" s="92" t="s">
        <v>1</v>
      </c>
      <c r="FF9" s="92" t="s">
        <v>2</v>
      </c>
      <c r="FG9" s="94" t="s">
        <v>1</v>
      </c>
      <c r="FH9" s="92" t="s">
        <v>2</v>
      </c>
      <c r="FI9" s="92" t="s">
        <v>1</v>
      </c>
      <c r="FJ9" s="92" t="s">
        <v>1</v>
      </c>
      <c r="FK9" s="92" t="s">
        <v>2</v>
      </c>
      <c r="FL9" s="92" t="s">
        <v>2</v>
      </c>
      <c r="FM9" s="92" t="s">
        <v>1</v>
      </c>
      <c r="FN9" s="92" t="s">
        <v>2</v>
      </c>
      <c r="FO9" s="92" t="s">
        <v>1</v>
      </c>
      <c r="FP9" s="92" t="s">
        <v>1</v>
      </c>
      <c r="FQ9" s="92" t="s">
        <v>1</v>
      </c>
      <c r="FR9" s="104" t="s">
        <v>2</v>
      </c>
      <c r="FS9" s="92" t="s">
        <v>2</v>
      </c>
      <c r="FT9" s="92" t="s">
        <v>2</v>
      </c>
      <c r="FU9" s="92" t="s">
        <v>2</v>
      </c>
      <c r="FV9" s="92" t="s">
        <v>2</v>
      </c>
      <c r="FW9" s="92" t="s">
        <v>1</v>
      </c>
      <c r="FX9" s="92" t="s">
        <v>2</v>
      </c>
      <c r="FY9" s="92" t="s">
        <v>1</v>
      </c>
      <c r="FZ9" s="92" t="s">
        <v>2</v>
      </c>
      <c r="GA9" s="92" t="s">
        <v>1</v>
      </c>
      <c r="GB9" s="92" t="s">
        <v>2</v>
      </c>
      <c r="GC9" s="92" t="s">
        <v>1</v>
      </c>
      <c r="GD9" s="92" t="s">
        <v>2</v>
      </c>
      <c r="GE9" s="92" t="s">
        <v>2</v>
      </c>
      <c r="GF9" s="92" t="s">
        <v>1</v>
      </c>
      <c r="GG9" s="92" t="s">
        <v>1</v>
      </c>
      <c r="GH9" s="92" t="s">
        <v>1</v>
      </c>
      <c r="GI9" s="92" t="s">
        <v>1</v>
      </c>
      <c r="GJ9" s="92" t="s">
        <v>2</v>
      </c>
      <c r="GK9" s="92" t="s">
        <v>2</v>
      </c>
      <c r="GL9" s="92" t="s">
        <v>2</v>
      </c>
      <c r="GM9" s="92" t="s">
        <v>2</v>
      </c>
      <c r="GN9" s="92" t="s">
        <v>1</v>
      </c>
      <c r="GO9" s="92" t="s">
        <v>1</v>
      </c>
      <c r="GP9" s="92" t="s">
        <v>2</v>
      </c>
      <c r="GQ9" s="92" t="s">
        <v>2</v>
      </c>
      <c r="GR9" s="92" t="s">
        <v>2</v>
      </c>
      <c r="GS9" s="92" t="s">
        <v>1</v>
      </c>
      <c r="GT9" s="92" t="s">
        <v>1</v>
      </c>
      <c r="GU9" s="92" t="s">
        <v>1</v>
      </c>
      <c r="GV9" s="92" t="s">
        <v>2</v>
      </c>
      <c r="GW9" s="92" t="s">
        <v>2</v>
      </c>
      <c r="GX9" s="92" t="s">
        <v>2</v>
      </c>
      <c r="GY9" s="92" t="s">
        <v>1</v>
      </c>
      <c r="GZ9" s="92" t="s">
        <v>1</v>
      </c>
      <c r="HA9" s="92" t="s">
        <v>1</v>
      </c>
      <c r="HB9" s="92" t="s">
        <v>2</v>
      </c>
      <c r="HC9" s="94" t="s">
        <v>1</v>
      </c>
      <c r="HD9" s="94" t="s">
        <v>1</v>
      </c>
      <c r="HE9" s="92" t="s">
        <v>1</v>
      </c>
      <c r="HF9" s="92" t="s">
        <v>2</v>
      </c>
      <c r="HG9" s="92" t="s">
        <v>1</v>
      </c>
      <c r="HH9" s="92" t="s">
        <v>2</v>
      </c>
      <c r="HI9" s="92" t="s">
        <v>2</v>
      </c>
      <c r="HJ9" s="92" t="s">
        <v>2</v>
      </c>
      <c r="HK9" s="92" t="s">
        <v>1</v>
      </c>
      <c r="HL9" s="92" t="s">
        <v>1</v>
      </c>
      <c r="HM9" s="92" t="s">
        <v>1</v>
      </c>
      <c r="HN9" s="92" t="s">
        <v>2</v>
      </c>
      <c r="HO9" s="92" t="s">
        <v>2</v>
      </c>
      <c r="HP9" s="92" t="s">
        <v>2</v>
      </c>
      <c r="HQ9" s="92" t="s">
        <v>1</v>
      </c>
      <c r="HR9" s="92" t="s">
        <v>1</v>
      </c>
      <c r="HS9" s="92" t="s">
        <v>1</v>
      </c>
      <c r="HT9" s="92" t="s">
        <v>1</v>
      </c>
      <c r="HU9" s="92" t="s">
        <v>2</v>
      </c>
      <c r="HV9" s="92" t="s">
        <v>2</v>
      </c>
      <c r="HW9" s="92" t="s">
        <v>2</v>
      </c>
      <c r="HX9" s="92" t="s">
        <v>1</v>
      </c>
      <c r="HY9" s="92" t="s">
        <v>1</v>
      </c>
      <c r="HZ9" s="92" t="s">
        <v>1</v>
      </c>
      <c r="IA9" s="92" t="s">
        <v>2</v>
      </c>
      <c r="IB9" s="92" t="s">
        <v>1</v>
      </c>
      <c r="IC9" s="92" t="s">
        <v>2</v>
      </c>
      <c r="ID9" s="92" t="s">
        <v>2</v>
      </c>
      <c r="IE9" s="94" t="s">
        <v>1</v>
      </c>
      <c r="IF9" s="94" t="s">
        <v>1</v>
      </c>
      <c r="IG9" s="92" t="s">
        <v>2</v>
      </c>
      <c r="IH9" s="92" t="s">
        <v>1</v>
      </c>
      <c r="II9" s="92" t="s">
        <v>2</v>
      </c>
      <c r="IJ9" s="92" t="s">
        <v>2</v>
      </c>
      <c r="IK9" s="92" t="s">
        <v>1</v>
      </c>
      <c r="IL9" s="92" t="s">
        <v>2</v>
      </c>
      <c r="IM9" s="92" t="s">
        <v>2</v>
      </c>
      <c r="IN9" s="92" t="s">
        <v>1</v>
      </c>
      <c r="IO9" s="92" t="s">
        <v>2</v>
      </c>
      <c r="IP9" s="92" t="s">
        <v>1</v>
      </c>
      <c r="IQ9" s="92" t="s">
        <v>1</v>
      </c>
      <c r="IR9" s="92" t="s">
        <v>2</v>
      </c>
      <c r="IS9" s="92" t="s">
        <v>1</v>
      </c>
      <c r="IT9" s="92" t="s">
        <v>2</v>
      </c>
      <c r="IU9" s="92" t="s">
        <v>1</v>
      </c>
      <c r="IV9" s="92" t="s">
        <v>2</v>
      </c>
      <c r="IW9" s="92" t="s">
        <v>2</v>
      </c>
      <c r="IX9" s="92" t="s">
        <v>2</v>
      </c>
      <c r="IY9" s="92" t="s">
        <v>1</v>
      </c>
      <c r="IZ9" s="92" t="s">
        <v>1</v>
      </c>
    </row>
    <row r="10" spans="1:16384" ht="20">
      <c r="A10" s="34" t="s">
        <v>363</v>
      </c>
      <c r="B10" s="91" t="s">
        <v>2</v>
      </c>
      <c r="C10" s="91" t="s">
        <v>2</v>
      </c>
      <c r="D10" s="91" t="s">
        <v>1</v>
      </c>
      <c r="E10" s="91" t="s">
        <v>1</v>
      </c>
      <c r="F10" s="91" t="s">
        <v>2</v>
      </c>
      <c r="G10" s="91" t="s">
        <v>2</v>
      </c>
      <c r="H10" s="91" t="s">
        <v>1</v>
      </c>
      <c r="I10" s="91" t="s">
        <v>1</v>
      </c>
      <c r="J10" s="91" t="s">
        <v>1</v>
      </c>
      <c r="K10" s="91" t="s">
        <v>1</v>
      </c>
      <c r="L10" s="91" t="s">
        <v>2</v>
      </c>
      <c r="M10" s="91" t="s">
        <v>2</v>
      </c>
      <c r="N10" s="91" t="s">
        <v>2</v>
      </c>
      <c r="O10" s="91" t="s">
        <v>1</v>
      </c>
      <c r="P10" s="91" t="s">
        <v>1</v>
      </c>
      <c r="Q10" s="91" t="s">
        <v>1</v>
      </c>
      <c r="R10" s="91" t="s">
        <v>1</v>
      </c>
      <c r="S10" s="91" t="s">
        <v>2</v>
      </c>
      <c r="T10" s="91" t="s">
        <v>2</v>
      </c>
      <c r="U10" s="91" t="s">
        <v>2</v>
      </c>
      <c r="V10" s="91" t="s">
        <v>2</v>
      </c>
      <c r="W10" s="91" t="s">
        <v>2</v>
      </c>
      <c r="X10" s="91" t="s">
        <v>1</v>
      </c>
      <c r="Y10" s="91" t="s">
        <v>2</v>
      </c>
      <c r="Z10" s="91" t="s">
        <v>2</v>
      </c>
      <c r="AA10" s="91" t="s">
        <v>2</v>
      </c>
      <c r="AB10" s="91" t="s">
        <v>1</v>
      </c>
      <c r="AC10" s="91" t="s">
        <v>1</v>
      </c>
      <c r="AD10" s="91" t="s">
        <v>1</v>
      </c>
      <c r="AE10" s="91" t="s">
        <v>1</v>
      </c>
      <c r="AF10" s="91" t="s">
        <v>1</v>
      </c>
      <c r="AG10" s="91" t="s">
        <v>2</v>
      </c>
      <c r="AH10" s="91" t="s">
        <v>2</v>
      </c>
      <c r="AI10" s="91" t="s">
        <v>2</v>
      </c>
      <c r="AJ10" s="91" t="s">
        <v>1</v>
      </c>
      <c r="AK10" s="91" t="s">
        <v>1</v>
      </c>
      <c r="AL10" s="91" t="s">
        <v>1</v>
      </c>
      <c r="AM10" s="91" t="s">
        <v>1</v>
      </c>
      <c r="AN10" s="91" t="s">
        <v>1</v>
      </c>
      <c r="AO10" s="91" t="s">
        <v>2</v>
      </c>
      <c r="AP10" s="91" t="s">
        <v>2</v>
      </c>
      <c r="AQ10" s="91" t="s">
        <v>1</v>
      </c>
      <c r="AR10" s="91" t="s">
        <v>1</v>
      </c>
      <c r="AS10" s="91" t="s">
        <v>1</v>
      </c>
      <c r="AT10" s="91" t="s">
        <v>1</v>
      </c>
      <c r="AU10" s="91" t="s">
        <v>2</v>
      </c>
      <c r="AV10" s="91" t="s">
        <v>1</v>
      </c>
      <c r="AW10" s="91" t="s">
        <v>1</v>
      </c>
      <c r="AX10" s="91" t="s">
        <v>1</v>
      </c>
      <c r="AY10" s="91" t="s">
        <v>1</v>
      </c>
      <c r="AZ10" s="91" t="s">
        <v>2</v>
      </c>
      <c r="BA10" s="91" t="s">
        <v>1</v>
      </c>
      <c r="BB10" s="91" t="s">
        <v>1</v>
      </c>
      <c r="BC10" s="91" t="s">
        <v>2</v>
      </c>
      <c r="BD10" s="91" t="s">
        <v>1</v>
      </c>
      <c r="BE10" s="91" t="s">
        <v>1</v>
      </c>
      <c r="BF10" s="91" t="s">
        <v>2</v>
      </c>
      <c r="BG10" s="91" t="s">
        <v>1</v>
      </c>
      <c r="BH10" s="91" t="s">
        <v>2</v>
      </c>
      <c r="BI10" s="91" t="s">
        <v>2</v>
      </c>
      <c r="BJ10" s="91" t="s">
        <v>1</v>
      </c>
      <c r="BK10" s="91" t="s">
        <v>2</v>
      </c>
      <c r="BL10" s="91" t="s">
        <v>2</v>
      </c>
      <c r="BM10" s="91" t="s">
        <v>1</v>
      </c>
      <c r="BN10" s="91" t="s">
        <v>2</v>
      </c>
      <c r="BO10" s="91" t="s">
        <v>2</v>
      </c>
      <c r="BP10" s="91" t="s">
        <v>1</v>
      </c>
      <c r="BQ10" s="91" t="s">
        <v>1</v>
      </c>
      <c r="BR10" s="91" t="s">
        <v>1</v>
      </c>
      <c r="BS10" s="91" t="s">
        <v>2</v>
      </c>
      <c r="BT10" s="91" t="s">
        <v>1</v>
      </c>
      <c r="BU10" s="91" t="s">
        <v>1</v>
      </c>
      <c r="BV10" s="91" t="s">
        <v>1</v>
      </c>
      <c r="BW10" s="91" t="s">
        <v>2</v>
      </c>
      <c r="BX10" s="91" t="s">
        <v>2</v>
      </c>
      <c r="BY10" s="91" t="s">
        <v>2</v>
      </c>
      <c r="BZ10" s="91" t="s">
        <v>2</v>
      </c>
      <c r="CA10" s="91" t="s">
        <v>2</v>
      </c>
      <c r="CB10" s="91" t="s">
        <v>1</v>
      </c>
      <c r="CC10" s="91" t="s">
        <v>2</v>
      </c>
      <c r="CD10" s="91" t="s">
        <v>2</v>
      </c>
      <c r="CE10" s="91" t="s">
        <v>2</v>
      </c>
      <c r="CF10" s="91" t="s">
        <v>1</v>
      </c>
      <c r="CG10" s="91" t="s">
        <v>1</v>
      </c>
      <c r="CH10" s="91" t="s">
        <v>2</v>
      </c>
      <c r="CI10" s="91" t="s">
        <v>2</v>
      </c>
      <c r="CJ10" s="91" t="s">
        <v>2</v>
      </c>
      <c r="CK10" s="91" t="s">
        <v>2</v>
      </c>
      <c r="CL10" s="91" t="s">
        <v>1</v>
      </c>
      <c r="CM10" s="91" t="s">
        <v>1</v>
      </c>
      <c r="CN10" s="91" t="s">
        <v>2</v>
      </c>
      <c r="CO10" s="91" t="s">
        <v>1</v>
      </c>
      <c r="CP10" s="91" t="s">
        <v>2</v>
      </c>
      <c r="CQ10" s="91" t="s">
        <v>1</v>
      </c>
      <c r="CR10" s="91" t="s">
        <v>1</v>
      </c>
      <c r="CS10" s="91" t="s">
        <v>2</v>
      </c>
      <c r="CT10" s="91" t="s">
        <v>2</v>
      </c>
      <c r="CU10" s="91" t="s">
        <v>2</v>
      </c>
      <c r="CV10" s="91" t="s">
        <v>1</v>
      </c>
      <c r="CW10" s="91" t="s">
        <v>1</v>
      </c>
      <c r="CX10" s="91" t="s">
        <v>1</v>
      </c>
      <c r="CY10" s="91" t="s">
        <v>1</v>
      </c>
      <c r="CZ10" s="91" t="s">
        <v>2</v>
      </c>
      <c r="DA10" s="99" t="s">
        <v>2</v>
      </c>
      <c r="DB10" s="92" t="s">
        <v>1</v>
      </c>
      <c r="DC10" s="92" t="s">
        <v>2</v>
      </c>
      <c r="DD10" s="92" t="s">
        <v>2</v>
      </c>
      <c r="DE10" s="94" t="s">
        <v>1</v>
      </c>
      <c r="DF10" s="92" t="s">
        <v>1</v>
      </c>
      <c r="DG10" s="92" t="s">
        <v>2</v>
      </c>
      <c r="DH10" s="92" t="s">
        <v>2</v>
      </c>
      <c r="DI10" s="92" t="s">
        <v>2</v>
      </c>
      <c r="DJ10" s="92" t="s">
        <v>2</v>
      </c>
      <c r="DK10" s="92" t="s">
        <v>2</v>
      </c>
      <c r="DL10" s="92" t="s">
        <v>1</v>
      </c>
      <c r="DM10" s="92" t="s">
        <v>1</v>
      </c>
      <c r="DN10" s="92" t="s">
        <v>2</v>
      </c>
      <c r="DO10" s="92" t="s">
        <v>2</v>
      </c>
      <c r="DP10" s="94" t="s">
        <v>1</v>
      </c>
      <c r="DQ10" s="92" t="s">
        <v>2</v>
      </c>
      <c r="DR10" s="92" t="s">
        <v>2</v>
      </c>
      <c r="DS10" s="92" t="s">
        <v>2</v>
      </c>
      <c r="DT10" s="92" t="s">
        <v>2</v>
      </c>
      <c r="DU10" s="94" t="s">
        <v>1</v>
      </c>
      <c r="DV10" s="92" t="s">
        <v>2</v>
      </c>
      <c r="DW10" s="94" t="s">
        <v>1</v>
      </c>
      <c r="DX10" s="94" t="s">
        <v>1</v>
      </c>
      <c r="DY10" s="92" t="s">
        <v>2</v>
      </c>
      <c r="DZ10" s="92" t="s">
        <v>2</v>
      </c>
      <c r="EA10" s="92" t="s">
        <v>2</v>
      </c>
      <c r="EB10" s="92" t="s">
        <v>2</v>
      </c>
      <c r="EC10" s="92" t="s">
        <v>2</v>
      </c>
      <c r="ED10" s="92" t="s">
        <v>1</v>
      </c>
      <c r="EE10" s="92" t="s">
        <v>2</v>
      </c>
      <c r="EF10" s="92" t="s">
        <v>2</v>
      </c>
      <c r="EG10" s="92" t="s">
        <v>2</v>
      </c>
      <c r="EH10" s="92" t="s">
        <v>2</v>
      </c>
      <c r="EI10" s="92" t="s">
        <v>2</v>
      </c>
      <c r="EJ10" s="92" t="s">
        <v>1</v>
      </c>
      <c r="EK10" s="94" t="s">
        <v>1</v>
      </c>
      <c r="EL10" s="92" t="s">
        <v>1</v>
      </c>
      <c r="EM10" s="92" t="s">
        <v>2</v>
      </c>
      <c r="EN10" s="92" t="s">
        <v>2</v>
      </c>
      <c r="EO10" s="92" t="s">
        <v>2</v>
      </c>
      <c r="EP10" s="92" t="s">
        <v>2</v>
      </c>
      <c r="EQ10" s="92" t="s">
        <v>1</v>
      </c>
      <c r="ER10" s="94" t="s">
        <v>1</v>
      </c>
      <c r="ES10" s="92" t="s">
        <v>2</v>
      </c>
      <c r="ET10" s="94" t="s">
        <v>1</v>
      </c>
      <c r="EU10" s="92" t="s">
        <v>1</v>
      </c>
      <c r="EV10" s="92" t="s">
        <v>1</v>
      </c>
      <c r="EW10" s="92" t="s">
        <v>2</v>
      </c>
      <c r="EX10" s="92" t="s">
        <v>2</v>
      </c>
      <c r="EY10" s="92" t="s">
        <v>2</v>
      </c>
      <c r="EZ10" s="92" t="s">
        <v>2</v>
      </c>
      <c r="FA10" s="92" t="s">
        <v>2</v>
      </c>
      <c r="FB10" s="92" t="s">
        <v>2</v>
      </c>
      <c r="FC10" s="92" t="s">
        <v>1</v>
      </c>
      <c r="FD10" s="92" t="s">
        <v>2</v>
      </c>
      <c r="FE10" s="94" t="s">
        <v>1</v>
      </c>
      <c r="FF10" s="92" t="s">
        <v>2</v>
      </c>
      <c r="FG10" s="94" t="s">
        <v>1</v>
      </c>
      <c r="FH10" s="92" t="s">
        <v>1</v>
      </c>
      <c r="FI10" s="92" t="s">
        <v>2</v>
      </c>
      <c r="FJ10" s="92" t="s">
        <v>1</v>
      </c>
      <c r="FK10" s="92" t="s">
        <v>2</v>
      </c>
      <c r="FL10" s="92" t="s">
        <v>2</v>
      </c>
      <c r="FM10" s="92" t="s">
        <v>1</v>
      </c>
      <c r="FN10" s="92" t="s">
        <v>2</v>
      </c>
      <c r="FO10" s="92" t="s">
        <v>2</v>
      </c>
      <c r="FP10" s="92" t="s">
        <v>2</v>
      </c>
      <c r="FQ10" s="92" t="s">
        <v>1</v>
      </c>
      <c r="FR10" s="104" t="s">
        <v>2</v>
      </c>
      <c r="FS10" s="92" t="s">
        <v>2</v>
      </c>
      <c r="FT10" s="92" t="s">
        <v>2</v>
      </c>
      <c r="FU10" s="92" t="s">
        <v>1</v>
      </c>
      <c r="FV10" s="92" t="s">
        <v>2</v>
      </c>
      <c r="FW10" s="92" t="s">
        <v>2</v>
      </c>
      <c r="FX10" s="92" t="s">
        <v>2</v>
      </c>
      <c r="FY10" s="92" t="s">
        <v>1</v>
      </c>
      <c r="FZ10" s="92" t="s">
        <v>2</v>
      </c>
      <c r="GA10" s="92" t="s">
        <v>1</v>
      </c>
      <c r="GB10" s="92" t="s">
        <v>2</v>
      </c>
      <c r="GC10" s="92" t="s">
        <v>1</v>
      </c>
      <c r="GD10" s="92" t="s">
        <v>1</v>
      </c>
      <c r="GE10" s="92" t="s">
        <v>2</v>
      </c>
      <c r="GF10" s="92" t="s">
        <v>1</v>
      </c>
      <c r="GG10" s="92" t="s">
        <v>2</v>
      </c>
      <c r="GH10" s="92" t="s">
        <v>1</v>
      </c>
      <c r="GI10" s="92" t="s">
        <v>2</v>
      </c>
      <c r="GJ10" s="92" t="s">
        <v>2</v>
      </c>
      <c r="GK10" s="92" t="s">
        <v>2</v>
      </c>
      <c r="GL10" s="92" t="s">
        <v>1</v>
      </c>
      <c r="GM10" s="92" t="s">
        <v>2</v>
      </c>
      <c r="GN10" s="92" t="s">
        <v>2</v>
      </c>
      <c r="GO10" s="92" t="s">
        <v>2</v>
      </c>
      <c r="GP10" s="92" t="s">
        <v>2</v>
      </c>
      <c r="GQ10" s="92" t="s">
        <v>2</v>
      </c>
      <c r="GR10" s="92" t="s">
        <v>2</v>
      </c>
      <c r="GS10" s="92" t="s">
        <v>1</v>
      </c>
      <c r="GT10" s="92" t="s">
        <v>1</v>
      </c>
      <c r="GU10" s="92" t="s">
        <v>1</v>
      </c>
      <c r="GV10" s="92" t="s">
        <v>2</v>
      </c>
      <c r="GW10" s="92" t="s">
        <v>2</v>
      </c>
      <c r="GX10" s="92" t="s">
        <v>1</v>
      </c>
      <c r="GY10" s="92" t="s">
        <v>2</v>
      </c>
      <c r="GZ10" s="92" t="s">
        <v>1</v>
      </c>
      <c r="HA10" s="92" t="s">
        <v>2</v>
      </c>
      <c r="HB10" s="92" t="s">
        <v>2</v>
      </c>
      <c r="HC10" s="92" t="s">
        <v>2</v>
      </c>
      <c r="HD10" s="94" t="s">
        <v>1</v>
      </c>
      <c r="HE10" s="92" t="s">
        <v>1</v>
      </c>
      <c r="HF10" s="92" t="s">
        <v>2</v>
      </c>
      <c r="HG10" s="92" t="s">
        <v>2</v>
      </c>
      <c r="HH10" s="92" t="s">
        <v>2</v>
      </c>
      <c r="HI10" s="92" t="s">
        <v>2</v>
      </c>
      <c r="HJ10" s="92" t="s">
        <v>2</v>
      </c>
      <c r="HK10" s="92" t="s">
        <v>1</v>
      </c>
      <c r="HL10" s="92" t="s">
        <v>1</v>
      </c>
      <c r="HM10" s="92" t="s">
        <v>2</v>
      </c>
      <c r="HN10" s="92" t="s">
        <v>2</v>
      </c>
      <c r="HO10" s="92" t="s">
        <v>2</v>
      </c>
      <c r="HP10" s="92" t="s">
        <v>1</v>
      </c>
      <c r="HQ10" s="92" t="s">
        <v>1</v>
      </c>
      <c r="HR10" s="92" t="s">
        <v>1</v>
      </c>
      <c r="HS10" s="92" t="s">
        <v>2</v>
      </c>
      <c r="HT10" s="92" t="s">
        <v>2</v>
      </c>
      <c r="HU10" s="92" t="s">
        <v>2</v>
      </c>
      <c r="HV10" s="92" t="s">
        <v>2</v>
      </c>
      <c r="HW10" s="92" t="s">
        <v>1</v>
      </c>
      <c r="HX10" s="92" t="s">
        <v>2</v>
      </c>
      <c r="HY10" s="92" t="s">
        <v>1</v>
      </c>
      <c r="HZ10" s="92" t="s">
        <v>2</v>
      </c>
      <c r="IA10" s="92" t="s">
        <v>2</v>
      </c>
      <c r="IB10" s="92" t="s">
        <v>1</v>
      </c>
      <c r="IC10" s="92" t="s">
        <v>2</v>
      </c>
      <c r="ID10" s="92" t="s">
        <v>2</v>
      </c>
      <c r="IE10" s="94" t="s">
        <v>1</v>
      </c>
      <c r="IF10" s="94" t="s">
        <v>1</v>
      </c>
      <c r="IG10" s="92" t="s">
        <v>2</v>
      </c>
      <c r="IH10" s="92" t="s">
        <v>2</v>
      </c>
      <c r="II10" s="92" t="s">
        <v>2</v>
      </c>
      <c r="IJ10" s="92" t="s">
        <v>2</v>
      </c>
      <c r="IK10" s="92" t="s">
        <v>2</v>
      </c>
      <c r="IL10" s="92" t="s">
        <v>2</v>
      </c>
      <c r="IM10" s="92" t="s">
        <v>2</v>
      </c>
      <c r="IN10" s="92" t="s">
        <v>1</v>
      </c>
      <c r="IO10" s="92" t="s">
        <v>2</v>
      </c>
      <c r="IP10" s="92" t="s">
        <v>2</v>
      </c>
      <c r="IQ10" s="92" t="s">
        <v>1</v>
      </c>
      <c r="IR10" s="92" t="s">
        <v>2</v>
      </c>
      <c r="IS10" s="92" t="s">
        <v>1</v>
      </c>
      <c r="IT10" s="92" t="s">
        <v>2</v>
      </c>
      <c r="IU10" s="92" t="s">
        <v>1</v>
      </c>
      <c r="IV10" s="92" t="s">
        <v>2</v>
      </c>
      <c r="IW10" s="92" t="s">
        <v>2</v>
      </c>
      <c r="IX10" s="92" t="s">
        <v>2</v>
      </c>
      <c r="IY10" s="92" t="s">
        <v>1</v>
      </c>
      <c r="IZ10" s="92" t="s">
        <v>1</v>
      </c>
    </row>
    <row r="11" spans="1:16384" ht="20">
      <c r="A11" s="34" t="s">
        <v>371</v>
      </c>
      <c r="B11" s="95">
        <v>350000</v>
      </c>
      <c r="C11" s="95">
        <v>0</v>
      </c>
      <c r="D11" s="95">
        <v>49208</v>
      </c>
      <c r="E11" s="95">
        <v>44671</v>
      </c>
      <c r="F11" s="95">
        <v>0</v>
      </c>
      <c r="G11" s="95">
        <v>0</v>
      </c>
      <c r="H11" s="95">
        <v>0</v>
      </c>
      <c r="I11" s="95">
        <v>16062</v>
      </c>
      <c r="J11" s="95">
        <v>0</v>
      </c>
      <c r="K11" s="95">
        <v>0</v>
      </c>
      <c r="L11" s="95">
        <v>0</v>
      </c>
      <c r="M11" s="95">
        <v>0</v>
      </c>
      <c r="N11" s="95">
        <v>4690</v>
      </c>
      <c r="O11" s="95">
        <v>0</v>
      </c>
      <c r="P11" s="95">
        <v>11259</v>
      </c>
      <c r="Q11" s="95">
        <v>49507</v>
      </c>
      <c r="R11" s="95">
        <v>30331</v>
      </c>
      <c r="S11" s="95">
        <v>87573</v>
      </c>
      <c r="T11" s="95">
        <v>78615</v>
      </c>
      <c r="U11" s="95">
        <v>0</v>
      </c>
      <c r="V11" s="95">
        <v>0</v>
      </c>
      <c r="W11" s="95">
        <v>0</v>
      </c>
      <c r="X11" s="95">
        <v>21341</v>
      </c>
      <c r="Y11" s="95">
        <v>51818</v>
      </c>
      <c r="Z11" s="95">
        <v>0</v>
      </c>
      <c r="AA11" s="95">
        <v>0</v>
      </c>
      <c r="AB11" s="95">
        <v>0</v>
      </c>
      <c r="AC11" s="95">
        <v>41720</v>
      </c>
      <c r="AD11" s="95">
        <v>0</v>
      </c>
      <c r="AE11" s="95">
        <v>0</v>
      </c>
      <c r="AF11" s="95">
        <v>0</v>
      </c>
      <c r="AG11" s="95">
        <v>0</v>
      </c>
      <c r="AH11" s="95">
        <v>90555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  <c r="AQ11" s="95">
        <v>48197</v>
      </c>
      <c r="AR11" s="95">
        <v>30014</v>
      </c>
      <c r="AS11" s="95">
        <v>0</v>
      </c>
      <c r="AT11" s="95">
        <v>0</v>
      </c>
      <c r="AU11" s="95">
        <v>0</v>
      </c>
      <c r="AV11" s="95">
        <v>51886</v>
      </c>
      <c r="AW11" s="95">
        <v>0</v>
      </c>
      <c r="AX11" s="95">
        <v>0</v>
      </c>
      <c r="AY11" s="95">
        <v>0</v>
      </c>
      <c r="AZ11" s="95">
        <v>69344</v>
      </c>
      <c r="BA11" s="95">
        <v>0</v>
      </c>
      <c r="BB11" s="95">
        <v>0</v>
      </c>
      <c r="BC11" s="95">
        <v>0</v>
      </c>
      <c r="BD11" s="95">
        <v>0</v>
      </c>
      <c r="BE11" s="95">
        <v>0</v>
      </c>
      <c r="BF11" s="95">
        <v>0</v>
      </c>
      <c r="BG11" s="95">
        <v>69072</v>
      </c>
      <c r="BH11" s="95">
        <v>0</v>
      </c>
      <c r="BI11" s="95">
        <v>0</v>
      </c>
      <c r="BJ11" s="95">
        <v>0</v>
      </c>
      <c r="BK11" s="95">
        <v>0</v>
      </c>
      <c r="BL11" s="95">
        <v>0</v>
      </c>
      <c r="BM11" s="95">
        <v>0</v>
      </c>
      <c r="BN11" s="95">
        <v>27112</v>
      </c>
      <c r="BO11" s="95">
        <v>40411</v>
      </c>
      <c r="BP11" s="95">
        <v>0</v>
      </c>
      <c r="BQ11" s="95">
        <v>0</v>
      </c>
      <c r="BR11" s="95">
        <v>41931</v>
      </c>
      <c r="BS11" s="95">
        <v>0</v>
      </c>
      <c r="BT11" s="95">
        <v>0</v>
      </c>
      <c r="BU11" s="95">
        <v>0</v>
      </c>
      <c r="BV11" s="95">
        <v>74161</v>
      </c>
      <c r="BW11" s="95">
        <v>0</v>
      </c>
      <c r="BX11" s="95">
        <v>0</v>
      </c>
      <c r="BY11" s="95">
        <v>0</v>
      </c>
      <c r="BZ11" s="95">
        <v>0</v>
      </c>
      <c r="CA11" s="95">
        <v>0</v>
      </c>
      <c r="CB11" s="95">
        <v>0</v>
      </c>
      <c r="CC11" s="95">
        <v>0</v>
      </c>
      <c r="CD11" s="95">
        <v>0</v>
      </c>
      <c r="CE11" s="95">
        <v>0</v>
      </c>
      <c r="CF11" s="95">
        <v>0</v>
      </c>
      <c r="CG11" s="95">
        <v>0</v>
      </c>
      <c r="CH11" s="95">
        <v>0</v>
      </c>
      <c r="CI11" s="95">
        <v>16479</v>
      </c>
      <c r="CJ11" s="95">
        <v>0</v>
      </c>
      <c r="CK11" s="95">
        <v>0</v>
      </c>
      <c r="CL11" s="95">
        <v>0</v>
      </c>
      <c r="CM11" s="95">
        <v>0</v>
      </c>
      <c r="CN11" s="95">
        <v>80474</v>
      </c>
      <c r="CO11" s="95">
        <v>0</v>
      </c>
      <c r="CP11" s="95">
        <v>50946</v>
      </c>
      <c r="CQ11" s="95">
        <v>0</v>
      </c>
      <c r="CR11" s="95">
        <v>40965</v>
      </c>
      <c r="CS11" s="95">
        <v>0</v>
      </c>
      <c r="CT11" s="95">
        <v>14484</v>
      </c>
      <c r="CU11" s="95">
        <v>0</v>
      </c>
      <c r="CV11" s="95">
        <v>0</v>
      </c>
      <c r="CW11" s="95">
        <v>0</v>
      </c>
      <c r="CX11" s="95">
        <v>48371</v>
      </c>
      <c r="CY11" s="95">
        <v>3899</v>
      </c>
      <c r="CZ11" s="95">
        <v>104000</v>
      </c>
      <c r="DA11" s="100">
        <v>0</v>
      </c>
      <c r="DB11" s="96">
        <v>150000</v>
      </c>
      <c r="DC11" s="92">
        <v>265000</v>
      </c>
      <c r="DD11" s="96">
        <v>800000</v>
      </c>
      <c r="DE11" s="92">
        <v>465000</v>
      </c>
      <c r="DF11" s="92">
        <v>1500000</v>
      </c>
      <c r="DG11" s="92">
        <v>999000</v>
      </c>
      <c r="DH11" s="92">
        <v>45000</v>
      </c>
      <c r="DI11" s="92">
        <v>375000</v>
      </c>
      <c r="DJ11" s="92">
        <v>675000</v>
      </c>
      <c r="DK11" s="92">
        <v>0</v>
      </c>
      <c r="DL11" s="92">
        <v>225000</v>
      </c>
      <c r="DM11" s="92">
        <v>1250000</v>
      </c>
      <c r="DN11" s="92">
        <v>66000</v>
      </c>
      <c r="DO11" s="92">
        <v>71000</v>
      </c>
      <c r="DP11" s="92">
        <v>578000</v>
      </c>
      <c r="DQ11" s="92">
        <v>59000</v>
      </c>
      <c r="DR11" s="92">
        <v>170000</v>
      </c>
      <c r="DS11" s="92">
        <v>0</v>
      </c>
      <c r="DT11" s="92">
        <v>0</v>
      </c>
      <c r="DU11" s="92">
        <v>108000</v>
      </c>
      <c r="DV11" s="92">
        <v>160000</v>
      </c>
      <c r="DW11" s="92">
        <v>89000</v>
      </c>
      <c r="DX11" s="92">
        <v>0</v>
      </c>
      <c r="DY11" s="92">
        <v>750000</v>
      </c>
      <c r="DZ11" s="92">
        <v>550000</v>
      </c>
      <c r="EA11" s="92">
        <v>785000</v>
      </c>
      <c r="EB11" s="92">
        <v>3000000</v>
      </c>
      <c r="EC11" s="92">
        <v>189000</v>
      </c>
      <c r="ED11" s="92">
        <v>600000</v>
      </c>
      <c r="EE11" s="92">
        <v>300000</v>
      </c>
      <c r="EF11" s="92">
        <v>495000</v>
      </c>
      <c r="EG11" s="92">
        <v>895000</v>
      </c>
      <c r="EH11" s="92">
        <v>350000</v>
      </c>
      <c r="EI11" s="92">
        <v>450000</v>
      </c>
      <c r="EJ11" s="92">
        <v>280000</v>
      </c>
      <c r="EK11" s="92">
        <v>245000</v>
      </c>
      <c r="EL11" s="92">
        <v>780000</v>
      </c>
      <c r="EM11" s="92">
        <v>0</v>
      </c>
      <c r="EN11" s="92">
        <v>950000</v>
      </c>
      <c r="EO11" s="92">
        <v>1500000</v>
      </c>
      <c r="EP11" s="92">
        <v>135000</v>
      </c>
      <c r="EQ11" s="92">
        <v>435000</v>
      </c>
      <c r="ER11" s="92">
        <v>200000</v>
      </c>
      <c r="ES11" s="92">
        <v>0</v>
      </c>
      <c r="ET11" s="92">
        <v>151000</v>
      </c>
      <c r="EU11" s="96">
        <v>250000</v>
      </c>
      <c r="EV11" s="96">
        <v>425000</v>
      </c>
      <c r="EW11" s="96">
        <v>120000</v>
      </c>
      <c r="EX11" s="96">
        <v>260000</v>
      </c>
      <c r="EY11" s="92">
        <v>0</v>
      </c>
      <c r="EZ11" s="96">
        <v>620000</v>
      </c>
      <c r="FA11" s="96">
        <v>232500</v>
      </c>
      <c r="FB11" s="92">
        <v>180000</v>
      </c>
      <c r="FC11" s="92">
        <v>750000</v>
      </c>
      <c r="FD11" s="92">
        <v>0</v>
      </c>
      <c r="FE11" s="92">
        <v>400000</v>
      </c>
      <c r="FF11" s="92">
        <v>317255</v>
      </c>
      <c r="FG11" s="92">
        <v>469995</v>
      </c>
      <c r="FH11" s="92">
        <v>758995</v>
      </c>
      <c r="FI11" s="92">
        <v>0</v>
      </c>
      <c r="FJ11" s="92">
        <v>124995</v>
      </c>
      <c r="FK11" s="92">
        <v>269995</v>
      </c>
      <c r="FL11" s="92">
        <v>135000</v>
      </c>
      <c r="FM11" s="96">
        <v>195000</v>
      </c>
      <c r="FN11" s="96">
        <v>450000</v>
      </c>
      <c r="FO11" s="92">
        <v>0</v>
      </c>
      <c r="FP11" s="96">
        <v>150000</v>
      </c>
      <c r="FQ11" s="96">
        <v>350000</v>
      </c>
      <c r="FR11" s="104">
        <v>140000</v>
      </c>
      <c r="FS11" s="92">
        <v>0</v>
      </c>
      <c r="FT11" s="96">
        <v>122000</v>
      </c>
      <c r="FU11" s="92">
        <v>0</v>
      </c>
      <c r="FV11" s="96">
        <v>380000</v>
      </c>
      <c r="FW11" s="96">
        <v>290000</v>
      </c>
      <c r="FX11" s="96">
        <v>170000</v>
      </c>
      <c r="FY11" s="96">
        <v>555000</v>
      </c>
      <c r="FZ11" s="96">
        <v>120000</v>
      </c>
      <c r="GA11" s="92">
        <v>185000</v>
      </c>
      <c r="GB11" s="92">
        <v>299950</v>
      </c>
      <c r="GC11" s="92">
        <v>489000</v>
      </c>
      <c r="GD11" s="92">
        <v>118000</v>
      </c>
      <c r="GE11" s="92">
        <v>670000</v>
      </c>
      <c r="GF11" s="96">
        <v>312500</v>
      </c>
      <c r="GG11" s="92">
        <v>0</v>
      </c>
      <c r="GH11" s="96">
        <v>166600</v>
      </c>
      <c r="GI11" s="96">
        <v>710000</v>
      </c>
      <c r="GJ11" s="96">
        <v>290000</v>
      </c>
      <c r="GK11" s="92">
        <v>0</v>
      </c>
      <c r="GL11" s="96">
        <v>310000</v>
      </c>
      <c r="GM11" s="96">
        <v>89000</v>
      </c>
      <c r="GN11" s="92">
        <v>0</v>
      </c>
      <c r="GO11" s="96">
        <v>230000</v>
      </c>
      <c r="GP11" s="96">
        <v>212335</v>
      </c>
      <c r="GQ11" s="96">
        <v>590000</v>
      </c>
      <c r="GR11" s="92">
        <v>0</v>
      </c>
      <c r="GS11" s="96">
        <v>390000</v>
      </c>
      <c r="GT11" s="96">
        <v>670000</v>
      </c>
      <c r="GU11" s="96">
        <v>1200000</v>
      </c>
      <c r="GV11" s="96">
        <v>245000</v>
      </c>
      <c r="GW11" s="96">
        <v>279950</v>
      </c>
      <c r="GX11" s="96">
        <v>375000</v>
      </c>
      <c r="GY11" s="92">
        <v>0</v>
      </c>
      <c r="GZ11" s="92">
        <v>178000</v>
      </c>
      <c r="HA11" s="92">
        <v>142000</v>
      </c>
      <c r="HB11" s="92">
        <v>130000</v>
      </c>
      <c r="HC11" s="92">
        <v>135005</v>
      </c>
      <c r="HD11" s="96">
        <v>110799</v>
      </c>
      <c r="HE11" s="92">
        <v>107995</v>
      </c>
      <c r="HF11" s="92">
        <v>132000</v>
      </c>
      <c r="HG11" s="96">
        <v>410350</v>
      </c>
      <c r="HH11" s="96">
        <v>550000</v>
      </c>
      <c r="HI11" s="96">
        <v>270000</v>
      </c>
      <c r="HJ11" s="92">
        <v>0</v>
      </c>
      <c r="HK11" s="96">
        <v>590000</v>
      </c>
      <c r="HL11" s="96">
        <v>780000</v>
      </c>
      <c r="HM11" s="96">
        <v>450000</v>
      </c>
      <c r="HN11" s="96">
        <v>1430000</v>
      </c>
      <c r="HO11" s="92">
        <v>0</v>
      </c>
      <c r="HP11" s="96">
        <v>495000</v>
      </c>
      <c r="HQ11" s="96">
        <v>825000</v>
      </c>
      <c r="HR11" s="96">
        <v>330000</v>
      </c>
      <c r="HS11" s="92">
        <v>0</v>
      </c>
      <c r="HT11" s="96">
        <v>335500</v>
      </c>
      <c r="HU11" s="96">
        <v>423750</v>
      </c>
      <c r="HV11" s="92">
        <v>0</v>
      </c>
      <c r="HW11" s="96">
        <v>549500</v>
      </c>
      <c r="HX11" s="92">
        <v>0</v>
      </c>
      <c r="HY11" s="96">
        <v>289000</v>
      </c>
      <c r="HZ11" s="96">
        <v>345000</v>
      </c>
      <c r="IA11" s="96">
        <v>190000</v>
      </c>
      <c r="IB11" s="96">
        <v>546000</v>
      </c>
      <c r="IC11" s="92">
        <v>233563</v>
      </c>
      <c r="ID11" s="96">
        <v>415000</v>
      </c>
      <c r="IE11" s="92">
        <v>208609</v>
      </c>
      <c r="IF11" s="92">
        <v>123076</v>
      </c>
      <c r="IG11" s="96">
        <v>201776</v>
      </c>
      <c r="IH11" s="92">
        <v>170738</v>
      </c>
      <c r="II11" s="92">
        <v>188973</v>
      </c>
      <c r="IJ11" s="96">
        <v>735000</v>
      </c>
      <c r="IK11" s="96">
        <v>381000</v>
      </c>
      <c r="IL11" s="92">
        <v>0</v>
      </c>
      <c r="IM11" s="96">
        <v>105000</v>
      </c>
      <c r="IN11" s="96">
        <v>167000</v>
      </c>
      <c r="IO11" s="96">
        <v>74000</v>
      </c>
      <c r="IP11" s="92"/>
      <c r="IQ11" s="96">
        <v>175000</v>
      </c>
      <c r="IR11" s="96">
        <v>145000</v>
      </c>
      <c r="IS11" s="96">
        <v>245000</v>
      </c>
      <c r="IT11" s="92">
        <v>0</v>
      </c>
      <c r="IU11" s="96">
        <v>119000</v>
      </c>
      <c r="IV11" s="96">
        <v>98000</v>
      </c>
      <c r="IW11" s="96">
        <v>319600</v>
      </c>
      <c r="IX11" s="96">
        <v>215000</v>
      </c>
      <c r="IY11" s="96">
        <v>137000</v>
      </c>
      <c r="IZ11" s="96">
        <v>167042</v>
      </c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  <c r="KT11" s="64"/>
      <c r="KU11" s="64"/>
      <c r="KV11" s="64"/>
      <c r="KW11" s="64"/>
      <c r="KX11" s="64"/>
      <c r="KY11" s="64"/>
      <c r="KZ11" s="64"/>
      <c r="LA11" s="64"/>
      <c r="LB11" s="64"/>
      <c r="LC11" s="64"/>
      <c r="LD11" s="64"/>
      <c r="LE11" s="64"/>
      <c r="LF11" s="64"/>
      <c r="LG11" s="64"/>
      <c r="LH11" s="64"/>
      <c r="LI11" s="64"/>
      <c r="LJ11" s="64"/>
      <c r="LK11" s="64"/>
      <c r="LL11" s="64"/>
      <c r="LM11" s="64"/>
      <c r="LN11" s="64"/>
      <c r="LO11" s="64"/>
      <c r="LP11" s="64"/>
      <c r="LQ11" s="64"/>
      <c r="LR11" s="64"/>
      <c r="LS11" s="64"/>
      <c r="LT11" s="64"/>
      <c r="LU11" s="64"/>
      <c r="LV11" s="64"/>
      <c r="LW11" s="64"/>
      <c r="LX11" s="64"/>
      <c r="LY11" s="64"/>
      <c r="LZ11" s="64"/>
      <c r="MA11" s="64"/>
      <c r="MB11" s="64"/>
      <c r="MC11" s="64"/>
      <c r="MD11" s="64"/>
      <c r="ME11" s="64"/>
      <c r="MF11" s="64"/>
      <c r="MG11" s="64"/>
      <c r="MH11" s="64"/>
      <c r="MI11" s="64"/>
      <c r="MJ11" s="64"/>
      <c r="MK11" s="64"/>
      <c r="ML11" s="64"/>
      <c r="MM11" s="64"/>
      <c r="MN11" s="64"/>
      <c r="MO11" s="64"/>
      <c r="MP11" s="64"/>
      <c r="MQ11" s="64"/>
      <c r="MR11" s="64"/>
      <c r="MS11" s="64"/>
      <c r="MT11" s="64"/>
      <c r="MU11" s="64"/>
      <c r="MV11" s="64"/>
      <c r="MW11" s="64"/>
      <c r="MX11" s="64"/>
      <c r="MY11" s="64"/>
      <c r="MZ11" s="64"/>
      <c r="NA11" s="64"/>
      <c r="NB11" s="64"/>
      <c r="NC11" s="64"/>
      <c r="ND11" s="64"/>
      <c r="NE11" s="64"/>
      <c r="NF11" s="64"/>
      <c r="NG11" s="64"/>
      <c r="NH11" s="64"/>
      <c r="NI11" s="64"/>
      <c r="NJ11" s="64"/>
      <c r="NK11" s="64"/>
      <c r="NL11" s="64"/>
      <c r="NM11" s="64"/>
      <c r="NN11" s="64"/>
      <c r="NO11" s="64"/>
      <c r="NP11" s="64"/>
      <c r="NQ11" s="64"/>
      <c r="NR11" s="64"/>
      <c r="NS11" s="64"/>
      <c r="NT11" s="64"/>
      <c r="NU11" s="64"/>
      <c r="NV11" s="64"/>
      <c r="NW11" s="64"/>
      <c r="NX11" s="64"/>
      <c r="NY11" s="64"/>
      <c r="NZ11" s="64"/>
      <c r="OA11" s="64"/>
      <c r="OB11" s="64"/>
      <c r="OC11" s="64"/>
      <c r="OD11" s="64"/>
      <c r="OE11" s="64"/>
      <c r="OF11" s="64"/>
      <c r="OG11" s="64"/>
      <c r="OH11" s="64"/>
      <c r="OI11" s="64"/>
      <c r="OJ11" s="64"/>
      <c r="OK11" s="64"/>
      <c r="OL11" s="64"/>
      <c r="OM11" s="64"/>
      <c r="ON11" s="64"/>
      <c r="OO11" s="64"/>
      <c r="OP11" s="64"/>
      <c r="OQ11" s="64"/>
      <c r="OR11" s="64"/>
      <c r="OS11" s="64"/>
      <c r="OT11" s="64"/>
      <c r="OU11" s="64"/>
      <c r="OV11" s="64"/>
      <c r="OW11" s="64"/>
      <c r="OX11" s="64"/>
      <c r="OY11" s="64"/>
      <c r="OZ11" s="64"/>
      <c r="PA11" s="64"/>
      <c r="PB11" s="64"/>
      <c r="PC11" s="64"/>
      <c r="PD11" s="64"/>
      <c r="PE11" s="64"/>
      <c r="PF11" s="64"/>
      <c r="PG11" s="64"/>
      <c r="PH11" s="64"/>
      <c r="PI11" s="64"/>
      <c r="PJ11" s="64"/>
      <c r="PK11" s="64"/>
      <c r="PL11" s="64"/>
      <c r="PM11" s="64"/>
      <c r="PN11" s="64"/>
      <c r="PO11" s="64"/>
      <c r="PP11" s="64"/>
      <c r="PQ11" s="64"/>
      <c r="PR11" s="64"/>
      <c r="PS11" s="64"/>
      <c r="PT11" s="64"/>
      <c r="PU11" s="64"/>
      <c r="PV11" s="64"/>
      <c r="PW11" s="64"/>
      <c r="PX11" s="64"/>
      <c r="PY11" s="64"/>
      <c r="PZ11" s="64"/>
      <c r="QA11" s="64"/>
      <c r="QB11" s="64"/>
      <c r="QC11" s="64"/>
      <c r="QD11" s="64"/>
      <c r="QE11" s="64"/>
      <c r="QF11" s="64"/>
      <c r="QG11" s="64"/>
      <c r="QH11" s="64"/>
      <c r="QI11" s="64"/>
      <c r="QJ11" s="64"/>
      <c r="QK11" s="64"/>
      <c r="QL11" s="64"/>
      <c r="QM11" s="64"/>
      <c r="QN11" s="64"/>
      <c r="QO11" s="64"/>
      <c r="QP11" s="64"/>
      <c r="QQ11" s="64"/>
      <c r="QR11" s="64"/>
      <c r="QS11" s="64"/>
      <c r="QT11" s="64"/>
      <c r="QU11" s="64"/>
      <c r="QV11" s="64"/>
      <c r="QW11" s="64"/>
      <c r="QX11" s="64"/>
      <c r="QY11" s="64"/>
      <c r="QZ11" s="64"/>
      <c r="RA11" s="64"/>
      <c r="RB11" s="64"/>
      <c r="RC11" s="64"/>
      <c r="RD11" s="64"/>
      <c r="RE11" s="64"/>
      <c r="RF11" s="64"/>
      <c r="RG11" s="64"/>
      <c r="RH11" s="64"/>
      <c r="RI11" s="64"/>
      <c r="RJ11" s="64"/>
      <c r="RK11" s="64"/>
      <c r="RL11" s="64"/>
      <c r="RM11" s="64"/>
      <c r="RN11" s="64"/>
      <c r="RO11" s="64"/>
      <c r="RP11" s="64"/>
      <c r="RQ11" s="64"/>
      <c r="RR11" s="64"/>
      <c r="RS11" s="64"/>
      <c r="RT11" s="64"/>
      <c r="RU11" s="64"/>
      <c r="RV11" s="64"/>
      <c r="RW11" s="64"/>
      <c r="RX11" s="64"/>
      <c r="RY11" s="64"/>
      <c r="RZ11" s="64"/>
      <c r="SA11" s="64"/>
      <c r="SB11" s="64"/>
      <c r="SC11" s="64"/>
      <c r="SD11" s="64"/>
      <c r="SE11" s="64"/>
      <c r="SF11" s="64"/>
      <c r="SG11" s="64"/>
      <c r="SH11" s="64"/>
      <c r="SI11" s="64"/>
      <c r="SJ11" s="64"/>
      <c r="SK11" s="64"/>
      <c r="SL11" s="64"/>
      <c r="SM11" s="64"/>
      <c r="SN11" s="64"/>
      <c r="SO11" s="64"/>
      <c r="SP11" s="64"/>
      <c r="SQ11" s="64"/>
      <c r="SR11" s="64"/>
      <c r="SS11" s="64"/>
      <c r="ST11" s="64"/>
      <c r="SU11" s="64"/>
      <c r="SV11" s="64"/>
      <c r="SW11" s="64"/>
      <c r="SX11" s="64"/>
      <c r="SY11" s="64"/>
      <c r="SZ11" s="64"/>
      <c r="TA11" s="64"/>
      <c r="TB11" s="64"/>
      <c r="TC11" s="64"/>
      <c r="TD11" s="64"/>
      <c r="TE11" s="64"/>
      <c r="TF11" s="64"/>
      <c r="TG11" s="64"/>
      <c r="TH11" s="64"/>
      <c r="TI11" s="64"/>
      <c r="TJ11" s="64"/>
      <c r="TK11" s="64"/>
      <c r="TL11" s="64"/>
      <c r="TM11" s="64"/>
      <c r="TN11" s="64"/>
      <c r="TO11" s="64"/>
      <c r="TP11" s="64"/>
      <c r="TQ11" s="64"/>
      <c r="TR11" s="64"/>
      <c r="TS11" s="64"/>
      <c r="TT11" s="64"/>
      <c r="TU11" s="64"/>
      <c r="TV11" s="64"/>
      <c r="TW11" s="64"/>
      <c r="TX11" s="64"/>
      <c r="TY11" s="64"/>
      <c r="TZ11" s="64"/>
      <c r="UA11" s="64"/>
      <c r="UB11" s="64"/>
      <c r="UC11" s="64"/>
      <c r="UD11" s="64"/>
      <c r="UE11" s="64"/>
      <c r="UF11" s="64"/>
      <c r="UG11" s="64"/>
      <c r="UH11" s="64"/>
      <c r="UI11" s="64"/>
      <c r="UJ11" s="64"/>
      <c r="UK11" s="64"/>
      <c r="UL11" s="64"/>
      <c r="UM11" s="64"/>
      <c r="UN11" s="64"/>
      <c r="UO11" s="64"/>
      <c r="UP11" s="64"/>
      <c r="UQ11" s="64"/>
      <c r="UR11" s="64"/>
      <c r="US11" s="64"/>
      <c r="UT11" s="64"/>
      <c r="UU11" s="64"/>
      <c r="UV11" s="64"/>
      <c r="UW11" s="64"/>
      <c r="UX11" s="64"/>
      <c r="UY11" s="64"/>
      <c r="UZ11" s="64"/>
      <c r="VA11" s="64"/>
      <c r="VB11" s="64"/>
      <c r="VC11" s="64"/>
      <c r="VD11" s="64"/>
      <c r="VE11" s="64"/>
      <c r="VF11" s="64"/>
      <c r="VG11" s="64"/>
      <c r="VH11" s="64"/>
      <c r="VI11" s="64"/>
      <c r="VJ11" s="64"/>
      <c r="VK11" s="64"/>
      <c r="VL11" s="64"/>
      <c r="VM11" s="64"/>
      <c r="VN11" s="64"/>
      <c r="VO11" s="64"/>
      <c r="VP11" s="64"/>
      <c r="VQ11" s="64"/>
      <c r="VR11" s="64"/>
      <c r="VS11" s="64"/>
      <c r="VT11" s="64"/>
      <c r="VU11" s="64"/>
      <c r="VV11" s="64"/>
      <c r="VW11" s="64"/>
      <c r="VX11" s="64"/>
      <c r="VY11" s="64"/>
      <c r="VZ11" s="64"/>
      <c r="WA11" s="64"/>
      <c r="WB11" s="64"/>
      <c r="WC11" s="64"/>
      <c r="WD11" s="64"/>
      <c r="WE11" s="64"/>
      <c r="WF11" s="64"/>
      <c r="WG11" s="64"/>
      <c r="WH11" s="64"/>
      <c r="WI11" s="64"/>
      <c r="WJ11" s="64"/>
      <c r="WK11" s="64"/>
      <c r="WL11" s="64"/>
      <c r="WM11" s="64"/>
      <c r="WN11" s="64"/>
      <c r="WO11" s="64"/>
      <c r="WP11" s="64"/>
      <c r="WQ11" s="64"/>
      <c r="WR11" s="64"/>
      <c r="WS11" s="64"/>
      <c r="WT11" s="64"/>
      <c r="WU11" s="64"/>
      <c r="WV11" s="64"/>
      <c r="WW11" s="64"/>
      <c r="WX11" s="64"/>
      <c r="WY11" s="64"/>
      <c r="WZ11" s="64"/>
      <c r="XA11" s="64"/>
      <c r="XB11" s="64"/>
      <c r="XC11" s="64"/>
      <c r="XD11" s="64"/>
      <c r="XE11" s="64"/>
      <c r="XF11" s="64"/>
      <c r="XG11" s="64"/>
      <c r="XH11" s="64"/>
      <c r="XI11" s="64"/>
      <c r="XJ11" s="64"/>
      <c r="XK11" s="64"/>
      <c r="XL11" s="64"/>
      <c r="XM11" s="64"/>
      <c r="XN11" s="64"/>
      <c r="XO11" s="64"/>
      <c r="XP11" s="64"/>
      <c r="XQ11" s="64"/>
      <c r="XR11" s="64"/>
      <c r="XS11" s="64"/>
      <c r="XT11" s="64"/>
      <c r="XU11" s="64"/>
      <c r="XV11" s="64"/>
      <c r="XW11" s="64"/>
      <c r="XX11" s="64"/>
      <c r="XY11" s="64"/>
      <c r="XZ11" s="64"/>
      <c r="YA11" s="64"/>
      <c r="YB11" s="64"/>
      <c r="YC11" s="64"/>
      <c r="YD11" s="64"/>
      <c r="YE11" s="64"/>
      <c r="YF11" s="64"/>
      <c r="YG11" s="64"/>
      <c r="YH11" s="64"/>
      <c r="YI11" s="64"/>
      <c r="YJ11" s="64"/>
      <c r="YK11" s="64"/>
      <c r="YL11" s="64"/>
      <c r="YM11" s="64"/>
      <c r="YN11" s="64"/>
      <c r="YO11" s="64"/>
      <c r="YP11" s="64"/>
      <c r="YQ11" s="64"/>
      <c r="YR11" s="64"/>
      <c r="YS11" s="64"/>
      <c r="YT11" s="64"/>
      <c r="YU11" s="64"/>
      <c r="YV11" s="64"/>
      <c r="YW11" s="64"/>
      <c r="YX11" s="64"/>
      <c r="YY11" s="64"/>
      <c r="YZ11" s="64"/>
      <c r="ZA11" s="64"/>
      <c r="ZB11" s="64"/>
      <c r="ZC11" s="64"/>
      <c r="ZD11" s="64"/>
      <c r="ZE11" s="64"/>
      <c r="ZF11" s="64"/>
      <c r="ZG11" s="64"/>
      <c r="ZH11" s="64"/>
      <c r="ZI11" s="64"/>
      <c r="ZJ11" s="64"/>
      <c r="ZK11" s="64"/>
      <c r="ZL11" s="64"/>
      <c r="ZM11" s="64"/>
      <c r="ZN11" s="64"/>
      <c r="ZO11" s="64"/>
      <c r="ZP11" s="64"/>
      <c r="ZQ11" s="64"/>
      <c r="ZR11" s="64"/>
      <c r="ZS11" s="64"/>
      <c r="ZT11" s="64"/>
      <c r="ZU11" s="64"/>
      <c r="ZV11" s="64"/>
      <c r="ZW11" s="64"/>
      <c r="ZX11" s="64"/>
      <c r="ZY11" s="64"/>
      <c r="ZZ11" s="64"/>
      <c r="AAA11" s="64"/>
      <c r="AAB11" s="64"/>
      <c r="AAC11" s="64"/>
      <c r="AAD11" s="64"/>
      <c r="AAE11" s="64"/>
      <c r="AAF11" s="64"/>
      <c r="AAG11" s="64"/>
      <c r="AAH11" s="64"/>
      <c r="AAI11" s="64"/>
      <c r="AAJ11" s="64"/>
      <c r="AAK11" s="64"/>
      <c r="AAL11" s="64"/>
      <c r="AAM11" s="64"/>
      <c r="AAN11" s="64"/>
      <c r="AAO11" s="64"/>
      <c r="AAP11" s="64"/>
      <c r="AAQ11" s="64"/>
      <c r="AAR11" s="64"/>
      <c r="AAS11" s="64"/>
      <c r="AAT11" s="64"/>
      <c r="AAU11" s="64"/>
      <c r="AAV11" s="64"/>
      <c r="AAW11" s="64"/>
      <c r="AAX11" s="64"/>
      <c r="AAY11" s="64"/>
      <c r="AAZ11" s="64"/>
      <c r="ABA11" s="64"/>
      <c r="ABB11" s="64"/>
      <c r="ABC11" s="64"/>
      <c r="ABD11" s="64"/>
      <c r="ABE11" s="64"/>
      <c r="ABF11" s="64"/>
      <c r="ABG11" s="64"/>
      <c r="ABH11" s="64"/>
      <c r="ABI11" s="64"/>
      <c r="ABJ11" s="64"/>
      <c r="ABK11" s="64"/>
      <c r="ABL11" s="64"/>
      <c r="ABM11" s="64"/>
      <c r="ABN11" s="64"/>
      <c r="ABO11" s="64"/>
      <c r="ABP11" s="64"/>
      <c r="ABQ11" s="64"/>
      <c r="ABR11" s="64"/>
      <c r="ABS11" s="64"/>
      <c r="ABT11" s="64"/>
      <c r="ABU11" s="64"/>
      <c r="ABV11" s="64"/>
      <c r="ABW11" s="64"/>
      <c r="ABX11" s="64"/>
      <c r="ABY11" s="64"/>
      <c r="ABZ11" s="64"/>
      <c r="ACA11" s="64"/>
      <c r="ACB11" s="64"/>
      <c r="ACC11" s="64"/>
      <c r="ACD11" s="64"/>
      <c r="ACE11" s="64"/>
      <c r="ACF11" s="64"/>
      <c r="ACG11" s="64"/>
      <c r="ACH11" s="64"/>
      <c r="ACI11" s="64"/>
      <c r="ACJ11" s="64"/>
      <c r="ACK11" s="64"/>
      <c r="ACL11" s="64"/>
      <c r="ACM11" s="64"/>
      <c r="ACN11" s="64"/>
      <c r="ACO11" s="64"/>
      <c r="ACP11" s="64"/>
      <c r="ACQ11" s="64"/>
      <c r="ACR11" s="64"/>
      <c r="ACS11" s="64"/>
      <c r="ACT11" s="64"/>
      <c r="ACU11" s="64"/>
      <c r="ACV11" s="64"/>
      <c r="ACW11" s="64"/>
      <c r="ACX11" s="64"/>
      <c r="ACY11" s="64"/>
      <c r="ACZ11" s="64"/>
      <c r="ADA11" s="64"/>
      <c r="ADB11" s="64"/>
      <c r="ADC11" s="64"/>
      <c r="ADD11" s="64"/>
      <c r="ADE11" s="64"/>
      <c r="ADF11" s="64"/>
      <c r="ADG11" s="64"/>
      <c r="ADH11" s="64"/>
      <c r="ADI11" s="64"/>
      <c r="ADJ11" s="64"/>
      <c r="ADK11" s="64"/>
      <c r="ADL11" s="64"/>
      <c r="ADM11" s="64"/>
      <c r="ADN11" s="64"/>
      <c r="ADO11" s="64"/>
      <c r="ADP11" s="64"/>
      <c r="ADQ11" s="64"/>
      <c r="ADR11" s="64"/>
      <c r="ADS11" s="64"/>
      <c r="ADT11" s="64"/>
      <c r="ADU11" s="64"/>
      <c r="ADV11" s="64"/>
      <c r="ADW11" s="64"/>
      <c r="ADX11" s="64"/>
      <c r="ADY11" s="64"/>
      <c r="ADZ11" s="64"/>
      <c r="AEA11" s="64"/>
      <c r="AEB11" s="64"/>
      <c r="AEC11" s="64"/>
      <c r="AED11" s="64"/>
      <c r="AEE11" s="64"/>
      <c r="AEF11" s="64"/>
      <c r="AEG11" s="64"/>
      <c r="AEH11" s="64"/>
      <c r="AEI11" s="64"/>
      <c r="AEJ11" s="64"/>
      <c r="AEK11" s="64"/>
      <c r="AEL11" s="64"/>
      <c r="AEM11" s="64"/>
      <c r="AEN11" s="64"/>
      <c r="AEO11" s="64"/>
      <c r="AEP11" s="64"/>
      <c r="AEQ11" s="64"/>
      <c r="AER11" s="64"/>
      <c r="AES11" s="64"/>
      <c r="AET11" s="64"/>
      <c r="AEU11" s="64"/>
      <c r="AEV11" s="64"/>
      <c r="AEW11" s="64"/>
      <c r="AEX11" s="64"/>
      <c r="AEY11" s="64"/>
      <c r="AEZ11" s="64"/>
      <c r="AFA11" s="64"/>
      <c r="AFB11" s="64"/>
      <c r="AFC11" s="64"/>
      <c r="AFD11" s="64"/>
      <c r="AFE11" s="64"/>
      <c r="AFF11" s="64"/>
      <c r="AFG11" s="64"/>
      <c r="AFH11" s="64"/>
      <c r="AFI11" s="64"/>
      <c r="AFJ11" s="64"/>
      <c r="AFK11" s="64"/>
      <c r="AFL11" s="64"/>
      <c r="AFM11" s="64"/>
      <c r="AFN11" s="64"/>
      <c r="AFO11" s="64"/>
      <c r="AFP11" s="64"/>
      <c r="AFQ11" s="64"/>
      <c r="AFR11" s="64"/>
      <c r="AFS11" s="64"/>
      <c r="AFT11" s="64"/>
      <c r="AFU11" s="64"/>
      <c r="AFV11" s="64"/>
      <c r="AFW11" s="64"/>
      <c r="AFX11" s="64"/>
      <c r="AFY11" s="64"/>
      <c r="AFZ11" s="64"/>
      <c r="AGA11" s="64"/>
      <c r="AGB11" s="64"/>
      <c r="AGC11" s="64"/>
      <c r="AGD11" s="64"/>
      <c r="AGE11" s="64"/>
      <c r="AGF11" s="64"/>
      <c r="AGG11" s="64"/>
      <c r="AGH11" s="64"/>
      <c r="AGI11" s="64"/>
      <c r="AGJ11" s="64"/>
      <c r="AGK11" s="64"/>
      <c r="AGL11" s="64"/>
      <c r="AGM11" s="64"/>
      <c r="AGN11" s="64"/>
      <c r="AGO11" s="64"/>
      <c r="AGP11" s="64"/>
      <c r="AGQ11" s="64"/>
      <c r="AGR11" s="64"/>
      <c r="AGS11" s="64"/>
      <c r="AGT11" s="64"/>
      <c r="AGU11" s="64"/>
      <c r="AGV11" s="64"/>
      <c r="AGW11" s="64"/>
      <c r="AGX11" s="64"/>
      <c r="AGY11" s="64"/>
      <c r="AGZ11" s="64"/>
      <c r="AHA11" s="64"/>
      <c r="AHB11" s="64"/>
      <c r="AHC11" s="64"/>
      <c r="AHD11" s="64"/>
      <c r="AHE11" s="64"/>
      <c r="AHF11" s="64"/>
      <c r="AHG11" s="64"/>
      <c r="AHH11" s="64"/>
      <c r="AHI11" s="64"/>
      <c r="AHJ11" s="64"/>
      <c r="AHK11" s="64"/>
      <c r="AHL11" s="64"/>
      <c r="AHM11" s="64"/>
      <c r="AHN11" s="64"/>
      <c r="AHO11" s="64"/>
      <c r="AHP11" s="64"/>
      <c r="AHQ11" s="64"/>
      <c r="AHR11" s="64"/>
      <c r="AHS11" s="64"/>
      <c r="AHT11" s="64"/>
      <c r="AHU11" s="64"/>
      <c r="AHV11" s="64"/>
      <c r="AHW11" s="64"/>
      <c r="AHX11" s="64"/>
      <c r="AHY11" s="64"/>
      <c r="AHZ11" s="64"/>
      <c r="AIA11" s="64"/>
      <c r="AIB11" s="64"/>
      <c r="AIC11" s="64"/>
      <c r="AID11" s="64"/>
      <c r="AIE11" s="64"/>
      <c r="AIF11" s="64"/>
      <c r="AIG11" s="64"/>
      <c r="AIH11" s="64"/>
      <c r="AII11" s="64"/>
      <c r="AIJ11" s="64"/>
      <c r="AIK11" s="64"/>
      <c r="AIL11" s="64"/>
      <c r="AIM11" s="64"/>
      <c r="AIN11" s="64"/>
      <c r="AIO11" s="64"/>
      <c r="AIP11" s="64"/>
      <c r="AIQ11" s="64"/>
      <c r="AIR11" s="64"/>
      <c r="AIS11" s="64"/>
      <c r="AIT11" s="64"/>
      <c r="AIU11" s="64"/>
      <c r="AIV11" s="64"/>
      <c r="AIW11" s="64"/>
      <c r="AIX11" s="64"/>
      <c r="AIY11" s="64"/>
      <c r="AIZ11" s="64"/>
      <c r="AJA11" s="64"/>
      <c r="AJB11" s="64"/>
      <c r="AJC11" s="64"/>
      <c r="AJD11" s="64"/>
      <c r="AJE11" s="64"/>
      <c r="AJF11" s="64"/>
      <c r="AJG11" s="64"/>
      <c r="AJH11" s="64"/>
      <c r="AJI11" s="64"/>
      <c r="AJJ11" s="64"/>
      <c r="AJK11" s="64"/>
      <c r="AJL11" s="64"/>
      <c r="AJM11" s="64"/>
      <c r="AJN11" s="64"/>
      <c r="AJO11" s="64"/>
      <c r="AJP11" s="64"/>
      <c r="AJQ11" s="64"/>
      <c r="AJR11" s="64"/>
      <c r="AJS11" s="64"/>
      <c r="AJT11" s="64"/>
      <c r="AJU11" s="64"/>
      <c r="AJV11" s="64"/>
      <c r="AJW11" s="64"/>
      <c r="AJX11" s="64"/>
      <c r="AJY11" s="64"/>
      <c r="AJZ11" s="64"/>
      <c r="AKA11" s="64"/>
      <c r="AKB11" s="64"/>
      <c r="AKC11" s="64"/>
      <c r="AKD11" s="64"/>
      <c r="AKE11" s="64"/>
      <c r="AKF11" s="64"/>
      <c r="AKG11" s="64"/>
      <c r="AKH11" s="64"/>
      <c r="AKI11" s="64"/>
      <c r="AKJ11" s="64"/>
      <c r="AKK11" s="64"/>
      <c r="AKL11" s="64"/>
      <c r="AKM11" s="64"/>
      <c r="AKN11" s="64"/>
      <c r="AKO11" s="64"/>
      <c r="AKP11" s="64"/>
      <c r="AKQ11" s="64"/>
      <c r="AKR11" s="64"/>
      <c r="AKS11" s="64"/>
      <c r="AKT11" s="64"/>
      <c r="AKU11" s="64"/>
      <c r="AKV11" s="64"/>
      <c r="AKW11" s="64"/>
      <c r="AKX11" s="64"/>
      <c r="AKY11" s="64"/>
      <c r="AKZ11" s="64"/>
      <c r="ALA11" s="64"/>
      <c r="ALB11" s="64"/>
      <c r="ALC11" s="64"/>
      <c r="ALD11" s="64"/>
      <c r="ALE11" s="64"/>
      <c r="ALF11" s="64"/>
      <c r="ALG11" s="64"/>
      <c r="ALH11" s="64"/>
      <c r="ALI11" s="64"/>
      <c r="ALJ11" s="64"/>
      <c r="ALK11" s="64"/>
      <c r="ALL11" s="64"/>
      <c r="ALM11" s="64"/>
      <c r="ALN11" s="64"/>
      <c r="ALO11" s="64"/>
      <c r="ALP11" s="64"/>
      <c r="ALQ11" s="64"/>
      <c r="ALR11" s="64"/>
      <c r="ALS11" s="64"/>
      <c r="ALT11" s="64"/>
      <c r="ALU11" s="64"/>
      <c r="ALV11" s="64"/>
      <c r="ALW11" s="64"/>
      <c r="ALX11" s="64"/>
      <c r="ALY11" s="64"/>
      <c r="ALZ11" s="64"/>
      <c r="AMA11" s="64"/>
      <c r="AMB11" s="64"/>
      <c r="AMC11" s="64"/>
      <c r="AMD11" s="64"/>
      <c r="AME11" s="64"/>
      <c r="AMF11" s="64"/>
      <c r="AMG11" s="64"/>
      <c r="AMH11" s="64"/>
      <c r="AMI11" s="64"/>
      <c r="AMJ11" s="64"/>
      <c r="AMK11" s="64"/>
      <c r="AML11" s="64"/>
      <c r="AMM11" s="64"/>
      <c r="AMN11" s="64"/>
      <c r="AMO11" s="64"/>
      <c r="AMP11" s="64"/>
      <c r="AMQ11" s="64"/>
      <c r="AMR11" s="64"/>
      <c r="AMS11" s="64"/>
      <c r="AMT11" s="64"/>
      <c r="AMU11" s="64"/>
      <c r="AMV11" s="64"/>
      <c r="AMW11" s="64"/>
      <c r="AMX11" s="64"/>
      <c r="AMY11" s="64"/>
      <c r="AMZ11" s="64"/>
      <c r="ANA11" s="64"/>
      <c r="ANB11" s="64"/>
      <c r="ANC11" s="64"/>
      <c r="AND11" s="64"/>
      <c r="ANE11" s="64"/>
      <c r="ANF11" s="64"/>
      <c r="ANG11" s="64"/>
      <c r="ANH11" s="64"/>
      <c r="ANI11" s="64"/>
      <c r="ANJ11" s="64"/>
      <c r="ANK11" s="64"/>
      <c r="ANL11" s="64"/>
      <c r="ANM11" s="64"/>
      <c r="ANN11" s="64"/>
      <c r="ANO11" s="64"/>
      <c r="ANP11" s="64"/>
      <c r="ANQ11" s="64"/>
      <c r="ANR11" s="64"/>
      <c r="ANS11" s="64"/>
      <c r="ANT11" s="64"/>
      <c r="ANU11" s="64"/>
      <c r="ANV11" s="64"/>
      <c r="ANW11" s="64"/>
      <c r="ANX11" s="64"/>
      <c r="ANY11" s="64"/>
      <c r="ANZ11" s="64"/>
      <c r="AOA11" s="64"/>
      <c r="AOB11" s="64"/>
      <c r="AOC11" s="64"/>
      <c r="AOD11" s="64"/>
      <c r="AOE11" s="64"/>
      <c r="AOF11" s="64"/>
      <c r="AOG11" s="64"/>
      <c r="AOH11" s="64"/>
      <c r="AOI11" s="64"/>
      <c r="AOJ11" s="64"/>
      <c r="AOK11" s="64"/>
      <c r="AOL11" s="64"/>
      <c r="AOM11" s="64"/>
      <c r="AON11" s="64"/>
      <c r="AOO11" s="64"/>
      <c r="AOP11" s="64"/>
      <c r="AOQ11" s="64"/>
      <c r="AOR11" s="64"/>
      <c r="AOS11" s="64"/>
      <c r="AOT11" s="64"/>
      <c r="AOU11" s="64"/>
      <c r="AOV11" s="64"/>
      <c r="AOW11" s="64"/>
      <c r="AOX11" s="64"/>
      <c r="AOY11" s="64"/>
      <c r="AOZ11" s="64"/>
      <c r="APA11" s="64"/>
      <c r="APB11" s="64"/>
      <c r="APC11" s="64"/>
      <c r="APD11" s="64"/>
      <c r="APE11" s="64"/>
      <c r="APF11" s="64"/>
      <c r="APG11" s="64"/>
      <c r="APH11" s="64"/>
      <c r="API11" s="64"/>
      <c r="APJ11" s="64"/>
      <c r="APK11" s="64"/>
      <c r="APL11" s="64"/>
      <c r="APM11" s="64"/>
      <c r="APN11" s="64"/>
      <c r="APO11" s="64"/>
      <c r="APP11" s="64"/>
      <c r="APQ11" s="64"/>
      <c r="APR11" s="64"/>
      <c r="APS11" s="64"/>
      <c r="APT11" s="64"/>
      <c r="APU11" s="64"/>
      <c r="APV11" s="64"/>
      <c r="APW11" s="64"/>
      <c r="APX11" s="64"/>
      <c r="APY11" s="64"/>
      <c r="APZ11" s="64"/>
      <c r="AQA11" s="64"/>
      <c r="AQB11" s="64"/>
      <c r="AQC11" s="64"/>
      <c r="AQD11" s="64"/>
      <c r="AQE11" s="64"/>
      <c r="AQF11" s="64"/>
      <c r="AQG11" s="64"/>
      <c r="AQH11" s="64"/>
      <c r="AQI11" s="64"/>
      <c r="AQJ11" s="64"/>
      <c r="AQK11" s="64"/>
      <c r="AQL11" s="64"/>
      <c r="AQM11" s="64"/>
      <c r="AQN11" s="64"/>
      <c r="AQO11" s="64"/>
      <c r="AQP11" s="64"/>
      <c r="AQQ11" s="64"/>
      <c r="AQR11" s="64"/>
      <c r="AQS11" s="64"/>
      <c r="AQT11" s="64"/>
      <c r="AQU11" s="64"/>
      <c r="AQV11" s="64"/>
      <c r="AQW11" s="64"/>
      <c r="AQX11" s="64"/>
      <c r="AQY11" s="64"/>
      <c r="AQZ11" s="64"/>
      <c r="ARA11" s="64"/>
      <c r="ARB11" s="64"/>
      <c r="ARC11" s="64"/>
      <c r="ARD11" s="64"/>
      <c r="ARE11" s="64"/>
      <c r="ARF11" s="64"/>
      <c r="ARG11" s="64"/>
      <c r="ARH11" s="64"/>
      <c r="ARI11" s="64"/>
      <c r="ARJ11" s="64"/>
      <c r="ARK11" s="64"/>
      <c r="ARL11" s="64"/>
      <c r="ARM11" s="64"/>
      <c r="ARN11" s="64"/>
      <c r="ARO11" s="64"/>
      <c r="ARP11" s="64"/>
      <c r="ARQ11" s="64"/>
      <c r="ARR11" s="64"/>
      <c r="ARS11" s="64"/>
      <c r="ART11" s="64"/>
      <c r="ARU11" s="64"/>
      <c r="ARV11" s="64"/>
      <c r="ARW11" s="64"/>
      <c r="ARX11" s="64"/>
      <c r="ARY11" s="64"/>
      <c r="ARZ11" s="64"/>
      <c r="ASA11" s="64"/>
      <c r="ASB11" s="64"/>
      <c r="ASC11" s="64"/>
      <c r="ASD11" s="64"/>
      <c r="ASE11" s="64"/>
      <c r="ASF11" s="64"/>
      <c r="ASG11" s="64"/>
      <c r="ASH11" s="64"/>
      <c r="ASI11" s="64"/>
      <c r="ASJ11" s="64"/>
      <c r="ASK11" s="64"/>
      <c r="ASL11" s="64"/>
      <c r="ASM11" s="64"/>
      <c r="ASN11" s="64"/>
      <c r="ASO11" s="64"/>
      <c r="ASP11" s="64"/>
      <c r="ASQ11" s="64"/>
      <c r="ASR11" s="64"/>
      <c r="ASS11" s="64"/>
      <c r="AST11" s="64"/>
      <c r="ASU11" s="64"/>
      <c r="ASV11" s="64"/>
      <c r="ASW11" s="64"/>
      <c r="ASX11" s="64"/>
      <c r="ASY11" s="64"/>
      <c r="ASZ11" s="64"/>
      <c r="ATA11" s="64"/>
      <c r="ATB11" s="64"/>
      <c r="ATC11" s="64"/>
      <c r="ATD11" s="64"/>
      <c r="ATE11" s="64"/>
      <c r="ATF11" s="64"/>
      <c r="ATG11" s="64"/>
      <c r="ATH11" s="64"/>
      <c r="ATI11" s="64"/>
      <c r="ATJ11" s="64"/>
      <c r="ATK11" s="64"/>
      <c r="ATL11" s="64"/>
      <c r="ATM11" s="64"/>
      <c r="ATN11" s="64"/>
      <c r="ATO11" s="64"/>
      <c r="ATP11" s="64"/>
      <c r="ATQ11" s="64"/>
      <c r="ATR11" s="64"/>
      <c r="ATS11" s="64"/>
      <c r="ATT11" s="64"/>
      <c r="ATU11" s="64"/>
      <c r="ATV11" s="64"/>
      <c r="ATW11" s="64"/>
      <c r="ATX11" s="64"/>
      <c r="ATY11" s="64"/>
      <c r="ATZ11" s="64"/>
      <c r="AUA11" s="64"/>
      <c r="AUB11" s="64"/>
      <c r="AUC11" s="64"/>
      <c r="AUD11" s="64"/>
      <c r="AUE11" s="64"/>
      <c r="AUF11" s="64"/>
      <c r="AUG11" s="64"/>
      <c r="AUH11" s="64"/>
      <c r="AUI11" s="64"/>
      <c r="AUJ11" s="64"/>
      <c r="AUK11" s="64"/>
      <c r="AUL11" s="64"/>
      <c r="AUM11" s="64"/>
      <c r="AUN11" s="64"/>
      <c r="AUO11" s="64"/>
      <c r="AUP11" s="64"/>
      <c r="AUQ11" s="64"/>
      <c r="AUR11" s="64"/>
      <c r="AUS11" s="64"/>
      <c r="AUT11" s="64"/>
      <c r="AUU11" s="64"/>
      <c r="AUV11" s="64"/>
      <c r="AUW11" s="64"/>
      <c r="AUX11" s="64"/>
      <c r="AUY11" s="64"/>
      <c r="AUZ11" s="64"/>
      <c r="AVA11" s="64"/>
      <c r="AVB11" s="64"/>
      <c r="AVC11" s="64"/>
      <c r="AVD11" s="64"/>
      <c r="AVE11" s="64"/>
      <c r="AVF11" s="64"/>
      <c r="AVG11" s="64"/>
      <c r="AVH11" s="64"/>
      <c r="AVI11" s="64"/>
      <c r="AVJ11" s="64"/>
      <c r="AVK11" s="64"/>
      <c r="AVL11" s="64"/>
      <c r="AVM11" s="64"/>
      <c r="AVN11" s="64"/>
      <c r="AVO11" s="64"/>
      <c r="AVP11" s="64"/>
      <c r="AVQ11" s="64"/>
      <c r="AVR11" s="64"/>
      <c r="AVS11" s="64"/>
      <c r="AVT11" s="64"/>
      <c r="AVU11" s="64"/>
      <c r="AVV11" s="64"/>
      <c r="AVW11" s="64"/>
      <c r="AVX11" s="64"/>
      <c r="AVY11" s="64"/>
      <c r="AVZ11" s="64"/>
      <c r="AWA11" s="64"/>
      <c r="AWB11" s="64"/>
      <c r="AWC11" s="64"/>
      <c r="AWD11" s="64"/>
      <c r="AWE11" s="64"/>
      <c r="AWF11" s="64"/>
      <c r="AWG11" s="64"/>
      <c r="AWH11" s="64"/>
      <c r="AWI11" s="64"/>
      <c r="AWJ11" s="64"/>
      <c r="AWK11" s="64"/>
      <c r="AWL11" s="64"/>
      <c r="AWM11" s="64"/>
      <c r="AWN11" s="64"/>
      <c r="AWO11" s="64"/>
      <c r="AWP11" s="64"/>
      <c r="AWQ11" s="64"/>
      <c r="AWR11" s="64"/>
      <c r="AWS11" s="64"/>
      <c r="AWT11" s="64"/>
      <c r="AWU11" s="64"/>
      <c r="AWV11" s="64"/>
      <c r="AWW11" s="64"/>
      <c r="AWX11" s="64"/>
      <c r="AWY11" s="64"/>
      <c r="AWZ11" s="64"/>
      <c r="AXA11" s="64"/>
      <c r="AXB11" s="64"/>
      <c r="AXC11" s="64"/>
      <c r="AXD11" s="64"/>
      <c r="AXE11" s="64"/>
      <c r="AXF11" s="64"/>
      <c r="AXG11" s="64"/>
      <c r="AXH11" s="64"/>
      <c r="AXI11" s="64"/>
      <c r="AXJ11" s="64"/>
      <c r="AXK11" s="64"/>
      <c r="AXL11" s="64"/>
      <c r="AXM11" s="64"/>
      <c r="AXN11" s="64"/>
      <c r="AXO11" s="64"/>
      <c r="AXP11" s="64"/>
      <c r="AXQ11" s="64"/>
      <c r="AXR11" s="64"/>
      <c r="AXS11" s="64"/>
      <c r="AXT11" s="64"/>
      <c r="AXU11" s="64"/>
      <c r="AXV11" s="64"/>
      <c r="AXW11" s="64"/>
      <c r="AXX11" s="64"/>
      <c r="AXY11" s="64"/>
      <c r="AXZ11" s="64"/>
      <c r="AYA11" s="64"/>
      <c r="AYB11" s="64"/>
      <c r="AYC11" s="64"/>
      <c r="AYD11" s="64"/>
      <c r="AYE11" s="64"/>
      <c r="AYF11" s="64"/>
      <c r="AYG11" s="64"/>
      <c r="AYH11" s="64"/>
      <c r="AYI11" s="64"/>
      <c r="AYJ11" s="64"/>
      <c r="AYK11" s="64"/>
      <c r="AYL11" s="64"/>
      <c r="AYM11" s="64"/>
      <c r="AYN11" s="64"/>
      <c r="AYO11" s="64"/>
      <c r="AYP11" s="64"/>
      <c r="AYQ11" s="64"/>
      <c r="AYR11" s="64"/>
      <c r="AYS11" s="64"/>
      <c r="AYT11" s="64"/>
      <c r="AYU11" s="64"/>
      <c r="AYV11" s="64"/>
      <c r="AYW11" s="64"/>
      <c r="AYX11" s="64"/>
      <c r="AYY11" s="64"/>
      <c r="AYZ11" s="64"/>
      <c r="AZA11" s="64"/>
      <c r="AZB11" s="64"/>
      <c r="AZC11" s="64"/>
      <c r="AZD11" s="64"/>
      <c r="AZE11" s="64"/>
      <c r="AZF11" s="64"/>
      <c r="AZG11" s="64"/>
      <c r="AZH11" s="64"/>
      <c r="AZI11" s="64"/>
      <c r="AZJ11" s="64"/>
      <c r="AZK11" s="64"/>
      <c r="AZL11" s="64"/>
      <c r="AZM11" s="64"/>
      <c r="AZN11" s="64"/>
      <c r="AZO11" s="64"/>
      <c r="AZP11" s="64"/>
      <c r="AZQ11" s="64"/>
      <c r="AZR11" s="64"/>
      <c r="AZS11" s="64"/>
      <c r="AZT11" s="64"/>
      <c r="AZU11" s="64"/>
      <c r="AZV11" s="64"/>
      <c r="AZW11" s="64"/>
      <c r="AZX11" s="64"/>
      <c r="AZY11" s="64"/>
      <c r="AZZ11" s="64"/>
      <c r="BAA11" s="64"/>
      <c r="BAB11" s="64"/>
      <c r="BAC11" s="64"/>
      <c r="BAD11" s="64"/>
      <c r="BAE11" s="64"/>
      <c r="BAF11" s="64"/>
      <c r="BAG11" s="64"/>
      <c r="BAH11" s="64"/>
      <c r="BAI11" s="64"/>
      <c r="BAJ11" s="64"/>
      <c r="BAK11" s="64"/>
      <c r="BAL11" s="64"/>
      <c r="BAM11" s="64"/>
      <c r="BAN11" s="64"/>
      <c r="BAO11" s="64"/>
      <c r="BAP11" s="64"/>
      <c r="BAQ11" s="64"/>
      <c r="BAR11" s="64"/>
      <c r="BAS11" s="64"/>
      <c r="BAT11" s="64"/>
      <c r="BAU11" s="64"/>
      <c r="BAV11" s="64"/>
      <c r="BAW11" s="64"/>
      <c r="BAX11" s="64"/>
      <c r="BAY11" s="64"/>
      <c r="BAZ11" s="64"/>
      <c r="BBA11" s="64"/>
      <c r="BBB11" s="64"/>
      <c r="BBC11" s="64"/>
      <c r="BBD11" s="64"/>
      <c r="BBE11" s="64"/>
      <c r="BBF11" s="64"/>
      <c r="BBG11" s="64"/>
      <c r="BBH11" s="64"/>
      <c r="BBI11" s="64"/>
      <c r="BBJ11" s="64"/>
      <c r="BBK11" s="64"/>
      <c r="BBL11" s="64"/>
      <c r="BBM11" s="64"/>
      <c r="BBN11" s="64"/>
      <c r="BBO11" s="64"/>
      <c r="BBP11" s="64"/>
      <c r="BBQ11" s="64"/>
      <c r="BBR11" s="64"/>
      <c r="BBS11" s="64"/>
      <c r="BBT11" s="64"/>
      <c r="BBU11" s="64"/>
      <c r="BBV11" s="64"/>
      <c r="BBW11" s="64"/>
      <c r="BBX11" s="64"/>
      <c r="BBY11" s="64"/>
      <c r="BBZ11" s="64"/>
      <c r="BCA11" s="64"/>
      <c r="BCB11" s="64"/>
      <c r="BCC11" s="64"/>
      <c r="BCD11" s="64"/>
      <c r="BCE11" s="64"/>
      <c r="BCF11" s="64"/>
      <c r="BCG11" s="64"/>
      <c r="BCH11" s="64"/>
      <c r="BCI11" s="64"/>
      <c r="BCJ11" s="64"/>
      <c r="BCK11" s="64"/>
      <c r="BCL11" s="64"/>
      <c r="BCM11" s="64"/>
      <c r="BCN11" s="64"/>
      <c r="BCO11" s="64"/>
      <c r="BCP11" s="64"/>
      <c r="BCQ11" s="64"/>
      <c r="BCR11" s="64"/>
      <c r="BCS11" s="64"/>
      <c r="BCT11" s="64"/>
      <c r="BCU11" s="64"/>
      <c r="BCV11" s="64"/>
      <c r="BCW11" s="64"/>
      <c r="BCX11" s="64"/>
      <c r="BCY11" s="64"/>
      <c r="BCZ11" s="64"/>
      <c r="BDA11" s="64"/>
      <c r="BDB11" s="64"/>
      <c r="BDC11" s="64"/>
      <c r="BDD11" s="64"/>
      <c r="BDE11" s="64"/>
      <c r="BDF11" s="64"/>
      <c r="BDG11" s="64"/>
      <c r="BDH11" s="64"/>
      <c r="BDI11" s="64"/>
      <c r="BDJ11" s="64"/>
      <c r="BDK11" s="64"/>
      <c r="BDL11" s="64"/>
      <c r="BDM11" s="64"/>
      <c r="BDN11" s="64"/>
      <c r="BDO11" s="64"/>
      <c r="BDP11" s="64"/>
      <c r="BDQ11" s="64"/>
      <c r="BDR11" s="64"/>
      <c r="BDS11" s="64"/>
      <c r="BDT11" s="64"/>
      <c r="BDU11" s="64"/>
      <c r="BDV11" s="64"/>
      <c r="BDW11" s="64"/>
      <c r="BDX11" s="64"/>
      <c r="BDY11" s="64"/>
      <c r="BDZ11" s="64"/>
      <c r="BEA11" s="64"/>
      <c r="BEB11" s="64"/>
      <c r="BEC11" s="64"/>
      <c r="BED11" s="64"/>
      <c r="BEE11" s="64"/>
      <c r="BEF11" s="64"/>
      <c r="BEG11" s="64"/>
      <c r="BEH11" s="64"/>
      <c r="BEI11" s="64"/>
      <c r="BEJ11" s="64"/>
      <c r="BEK11" s="64"/>
      <c r="BEL11" s="64"/>
      <c r="BEM11" s="64"/>
      <c r="BEN11" s="64"/>
      <c r="BEO11" s="64"/>
      <c r="BEP11" s="64"/>
      <c r="BEQ11" s="64"/>
      <c r="BER11" s="64"/>
      <c r="BES11" s="64"/>
      <c r="BET11" s="64"/>
      <c r="BEU11" s="64"/>
      <c r="BEV11" s="64"/>
      <c r="BEW11" s="64"/>
      <c r="BEX11" s="64"/>
      <c r="BEY11" s="64"/>
      <c r="BEZ11" s="64"/>
      <c r="BFA11" s="64"/>
      <c r="BFB11" s="64"/>
      <c r="BFC11" s="64"/>
      <c r="BFD11" s="64"/>
      <c r="BFE11" s="64"/>
      <c r="BFF11" s="64"/>
      <c r="BFG11" s="64"/>
      <c r="BFH11" s="64"/>
      <c r="BFI11" s="64"/>
      <c r="BFJ11" s="64"/>
      <c r="BFK11" s="64"/>
      <c r="BFL11" s="64"/>
      <c r="BFM11" s="64"/>
      <c r="BFN11" s="64"/>
      <c r="BFO11" s="64"/>
      <c r="BFP11" s="64"/>
      <c r="BFQ11" s="64"/>
      <c r="BFR11" s="64"/>
      <c r="BFS11" s="64"/>
      <c r="BFT11" s="64"/>
      <c r="BFU11" s="64"/>
      <c r="BFV11" s="64"/>
      <c r="BFW11" s="64"/>
      <c r="BFX11" s="64"/>
      <c r="BFY11" s="64"/>
      <c r="BFZ11" s="64"/>
      <c r="BGA11" s="64"/>
      <c r="BGB11" s="64"/>
      <c r="BGC11" s="64"/>
      <c r="BGD11" s="64"/>
      <c r="BGE11" s="64"/>
      <c r="BGF11" s="64"/>
      <c r="BGG11" s="64"/>
      <c r="BGH11" s="64"/>
      <c r="BGI11" s="64"/>
      <c r="BGJ11" s="64"/>
      <c r="BGK11" s="64"/>
      <c r="BGL11" s="64"/>
      <c r="BGM11" s="64"/>
      <c r="BGN11" s="64"/>
      <c r="BGO11" s="64"/>
      <c r="BGP11" s="64"/>
      <c r="BGQ11" s="64"/>
      <c r="BGR11" s="64"/>
      <c r="BGS11" s="64"/>
      <c r="BGT11" s="64"/>
      <c r="BGU11" s="64"/>
      <c r="BGV11" s="64"/>
      <c r="BGW11" s="64"/>
      <c r="BGX11" s="64"/>
      <c r="BGY11" s="64"/>
      <c r="BGZ11" s="64"/>
      <c r="BHA11" s="64"/>
      <c r="BHB11" s="64"/>
      <c r="BHC11" s="64"/>
      <c r="BHD11" s="64"/>
      <c r="BHE11" s="64"/>
      <c r="BHF11" s="64"/>
      <c r="BHG11" s="64"/>
      <c r="BHH11" s="64"/>
      <c r="BHI11" s="64"/>
      <c r="BHJ11" s="64"/>
      <c r="BHK11" s="64"/>
      <c r="BHL11" s="64"/>
      <c r="BHM11" s="64"/>
      <c r="BHN11" s="64"/>
      <c r="BHO11" s="64"/>
      <c r="BHP11" s="64"/>
      <c r="BHQ11" s="64"/>
      <c r="BHR11" s="64"/>
      <c r="BHS11" s="64"/>
      <c r="BHT11" s="64"/>
      <c r="BHU11" s="64"/>
      <c r="BHV11" s="64"/>
      <c r="BHW11" s="64"/>
      <c r="BHX11" s="64"/>
      <c r="BHY11" s="64"/>
      <c r="BHZ11" s="64"/>
      <c r="BIA11" s="64"/>
      <c r="BIB11" s="64"/>
      <c r="BIC11" s="64"/>
      <c r="BID11" s="64"/>
      <c r="BIE11" s="64"/>
      <c r="BIF11" s="64"/>
      <c r="BIG11" s="64"/>
      <c r="BIH11" s="64"/>
      <c r="BII11" s="64"/>
      <c r="BIJ11" s="64"/>
      <c r="BIK11" s="64"/>
      <c r="BIL11" s="64"/>
      <c r="BIM11" s="64"/>
      <c r="BIN11" s="64"/>
      <c r="BIO11" s="64"/>
      <c r="BIP11" s="64"/>
      <c r="BIQ11" s="64"/>
      <c r="BIR11" s="64"/>
      <c r="BIS11" s="64"/>
      <c r="BIT11" s="64"/>
      <c r="BIU11" s="64"/>
      <c r="BIV11" s="64"/>
      <c r="BIW11" s="64"/>
      <c r="BIX11" s="64"/>
      <c r="BIY11" s="64"/>
      <c r="BIZ11" s="64"/>
      <c r="BJA11" s="64"/>
      <c r="BJB11" s="64"/>
      <c r="BJC11" s="64"/>
      <c r="BJD11" s="64"/>
      <c r="BJE11" s="64"/>
      <c r="BJF11" s="64"/>
      <c r="BJG11" s="64"/>
      <c r="BJH11" s="64"/>
      <c r="BJI11" s="64"/>
      <c r="BJJ11" s="64"/>
      <c r="BJK11" s="64"/>
      <c r="BJL11" s="64"/>
      <c r="BJM11" s="64"/>
      <c r="BJN11" s="64"/>
      <c r="BJO11" s="64"/>
      <c r="BJP11" s="64"/>
      <c r="BJQ11" s="64"/>
      <c r="BJR11" s="64"/>
      <c r="BJS11" s="64"/>
      <c r="BJT11" s="64"/>
      <c r="BJU11" s="64"/>
      <c r="BJV11" s="64"/>
      <c r="BJW11" s="64"/>
      <c r="BJX11" s="64"/>
      <c r="BJY11" s="64"/>
      <c r="BJZ11" s="64"/>
      <c r="BKA11" s="64"/>
      <c r="BKB11" s="64"/>
      <c r="BKC11" s="64"/>
      <c r="BKD11" s="64"/>
      <c r="BKE11" s="64"/>
      <c r="BKF11" s="64"/>
      <c r="BKG11" s="64"/>
      <c r="BKH11" s="64"/>
      <c r="BKI11" s="64"/>
      <c r="BKJ11" s="64"/>
      <c r="BKK11" s="64"/>
      <c r="BKL11" s="64"/>
      <c r="BKM11" s="64"/>
      <c r="BKN11" s="64"/>
      <c r="BKO11" s="64"/>
      <c r="BKP11" s="64"/>
      <c r="BKQ11" s="64"/>
      <c r="BKR11" s="64"/>
      <c r="BKS11" s="64"/>
      <c r="BKT11" s="64"/>
      <c r="BKU11" s="64"/>
      <c r="BKV11" s="64"/>
      <c r="BKW11" s="64"/>
      <c r="BKX11" s="64"/>
      <c r="BKY11" s="64"/>
      <c r="BKZ11" s="64"/>
      <c r="BLA11" s="64"/>
      <c r="BLB11" s="64"/>
      <c r="BLC11" s="64"/>
      <c r="BLD11" s="64"/>
      <c r="BLE11" s="64"/>
      <c r="BLF11" s="64"/>
      <c r="BLG11" s="64"/>
      <c r="BLH11" s="64"/>
      <c r="BLI11" s="64"/>
      <c r="BLJ11" s="64"/>
      <c r="BLK11" s="64"/>
      <c r="BLL11" s="64"/>
      <c r="BLM11" s="64"/>
      <c r="BLN11" s="64"/>
      <c r="BLO11" s="64"/>
      <c r="BLP11" s="64"/>
      <c r="BLQ11" s="64"/>
      <c r="BLR11" s="64"/>
      <c r="BLS11" s="64"/>
      <c r="BLT11" s="64"/>
      <c r="BLU11" s="64"/>
      <c r="BLV11" s="64"/>
      <c r="BLW11" s="64"/>
      <c r="BLX11" s="64"/>
      <c r="BLY11" s="64"/>
      <c r="BLZ11" s="64"/>
      <c r="BMA11" s="64"/>
      <c r="BMB11" s="64"/>
      <c r="BMC11" s="64"/>
      <c r="BMD11" s="64"/>
      <c r="BME11" s="64"/>
      <c r="BMF11" s="64"/>
      <c r="BMG11" s="64"/>
      <c r="BMH11" s="64"/>
      <c r="BMI11" s="64"/>
      <c r="BMJ11" s="64"/>
      <c r="BMK11" s="64"/>
      <c r="BML11" s="64"/>
      <c r="BMM11" s="64"/>
      <c r="BMN11" s="64"/>
      <c r="BMO11" s="64"/>
      <c r="BMP11" s="64"/>
      <c r="BMQ11" s="64"/>
      <c r="BMR11" s="64"/>
      <c r="BMS11" s="64"/>
      <c r="BMT11" s="64"/>
      <c r="BMU11" s="64"/>
      <c r="BMV11" s="64"/>
      <c r="BMW11" s="64"/>
      <c r="BMX11" s="64"/>
      <c r="BMY11" s="64"/>
      <c r="BMZ11" s="64"/>
      <c r="BNA11" s="64"/>
      <c r="BNB11" s="64"/>
      <c r="BNC11" s="64"/>
      <c r="BND11" s="64"/>
      <c r="BNE11" s="64"/>
      <c r="BNF11" s="64"/>
      <c r="BNG11" s="64"/>
      <c r="BNH11" s="64"/>
      <c r="BNI11" s="64"/>
      <c r="BNJ11" s="64"/>
      <c r="BNK11" s="64"/>
      <c r="BNL11" s="64"/>
      <c r="BNM11" s="64"/>
      <c r="BNN11" s="64"/>
      <c r="BNO11" s="64"/>
      <c r="BNP11" s="64"/>
      <c r="BNQ11" s="64"/>
      <c r="BNR11" s="64"/>
      <c r="BNS11" s="64"/>
      <c r="BNT11" s="64"/>
      <c r="BNU11" s="64"/>
      <c r="BNV11" s="64"/>
      <c r="BNW11" s="64"/>
      <c r="BNX11" s="64"/>
      <c r="BNY11" s="64"/>
      <c r="BNZ11" s="64"/>
      <c r="BOA11" s="64"/>
      <c r="BOB11" s="64"/>
      <c r="BOC11" s="64"/>
      <c r="BOD11" s="64"/>
      <c r="BOE11" s="64"/>
      <c r="BOF11" s="64"/>
      <c r="BOG11" s="64"/>
      <c r="BOH11" s="64"/>
      <c r="BOI11" s="64"/>
      <c r="BOJ11" s="64"/>
      <c r="BOK11" s="64"/>
      <c r="BOL11" s="64"/>
      <c r="BOM11" s="64"/>
      <c r="BON11" s="64"/>
      <c r="BOO11" s="64"/>
      <c r="BOP11" s="64"/>
      <c r="BOQ11" s="64"/>
      <c r="BOR11" s="64"/>
      <c r="BOS11" s="64"/>
      <c r="BOT11" s="64"/>
      <c r="BOU11" s="64"/>
      <c r="BOV11" s="64"/>
      <c r="BOW11" s="64"/>
      <c r="BOX11" s="64"/>
      <c r="BOY11" s="64"/>
      <c r="BOZ11" s="64"/>
      <c r="BPA11" s="64"/>
      <c r="BPB11" s="64"/>
      <c r="BPC11" s="64"/>
      <c r="BPD11" s="64"/>
      <c r="BPE11" s="64"/>
      <c r="BPF11" s="64"/>
      <c r="BPG11" s="64"/>
      <c r="BPH11" s="64"/>
      <c r="BPI11" s="64"/>
      <c r="BPJ11" s="64"/>
      <c r="BPK11" s="64"/>
      <c r="BPL11" s="64"/>
      <c r="BPM11" s="64"/>
      <c r="BPN11" s="64"/>
      <c r="BPO11" s="64"/>
      <c r="BPP11" s="64"/>
      <c r="BPQ11" s="64"/>
      <c r="BPR11" s="64"/>
      <c r="BPS11" s="64"/>
      <c r="BPT11" s="64"/>
      <c r="BPU11" s="64"/>
      <c r="BPV11" s="64"/>
      <c r="BPW11" s="64"/>
      <c r="BPX11" s="64"/>
      <c r="BPY11" s="64"/>
      <c r="BPZ11" s="64"/>
      <c r="BQA11" s="64"/>
      <c r="BQB11" s="64"/>
      <c r="BQC11" s="64"/>
      <c r="BQD11" s="64"/>
      <c r="BQE11" s="64"/>
      <c r="BQF11" s="64"/>
      <c r="BQG11" s="64"/>
      <c r="BQH11" s="64"/>
      <c r="BQI11" s="64"/>
      <c r="BQJ11" s="64"/>
      <c r="BQK11" s="64"/>
      <c r="BQL11" s="64"/>
      <c r="BQM11" s="64"/>
      <c r="BQN11" s="64"/>
      <c r="BQO11" s="64"/>
      <c r="BQP11" s="64"/>
      <c r="BQQ11" s="64"/>
      <c r="BQR11" s="64"/>
      <c r="BQS11" s="64"/>
      <c r="BQT11" s="64"/>
      <c r="BQU11" s="64"/>
      <c r="BQV11" s="64"/>
      <c r="BQW11" s="64"/>
      <c r="BQX11" s="64"/>
      <c r="BQY11" s="64"/>
      <c r="BQZ11" s="64"/>
      <c r="BRA11" s="64"/>
      <c r="BRB11" s="64"/>
      <c r="BRC11" s="64"/>
      <c r="BRD11" s="64"/>
      <c r="BRE11" s="64"/>
      <c r="BRF11" s="64"/>
      <c r="BRG11" s="64"/>
      <c r="BRH11" s="64"/>
      <c r="BRI11" s="64"/>
      <c r="BRJ11" s="64"/>
      <c r="BRK11" s="64"/>
      <c r="BRL11" s="64"/>
      <c r="BRM11" s="64"/>
      <c r="BRN11" s="64"/>
      <c r="BRO11" s="64"/>
      <c r="BRP11" s="64"/>
      <c r="BRQ11" s="64"/>
      <c r="BRR11" s="64"/>
      <c r="BRS11" s="64"/>
      <c r="BRT11" s="64"/>
      <c r="BRU11" s="64"/>
      <c r="BRV11" s="64"/>
      <c r="BRW11" s="64"/>
      <c r="BRX11" s="64"/>
      <c r="BRY11" s="64"/>
      <c r="BRZ11" s="64"/>
      <c r="BSA11" s="64"/>
      <c r="BSB11" s="64"/>
      <c r="BSC11" s="64"/>
      <c r="BSD11" s="64"/>
      <c r="BSE11" s="64"/>
      <c r="BSF11" s="64"/>
      <c r="BSG11" s="64"/>
      <c r="BSH11" s="64"/>
      <c r="BSI11" s="64"/>
      <c r="BSJ11" s="64"/>
      <c r="BSK11" s="64"/>
      <c r="BSL11" s="64"/>
      <c r="BSM11" s="64"/>
      <c r="BSN11" s="64"/>
      <c r="BSO11" s="64"/>
      <c r="BSP11" s="64"/>
      <c r="BSQ11" s="64"/>
      <c r="BSR11" s="64"/>
      <c r="BSS11" s="64"/>
      <c r="BST11" s="64"/>
      <c r="BSU11" s="64"/>
      <c r="BSV11" s="64"/>
      <c r="BSW11" s="64"/>
      <c r="BSX11" s="64"/>
      <c r="BSY11" s="64"/>
      <c r="BSZ11" s="64"/>
      <c r="BTA11" s="64"/>
      <c r="BTB11" s="64"/>
      <c r="BTC11" s="64"/>
      <c r="BTD11" s="64"/>
      <c r="BTE11" s="64"/>
      <c r="BTF11" s="64"/>
      <c r="BTG11" s="64"/>
      <c r="BTH11" s="64"/>
      <c r="BTI11" s="64"/>
      <c r="BTJ11" s="64"/>
      <c r="BTK11" s="64"/>
      <c r="BTL11" s="64"/>
      <c r="BTM11" s="64"/>
      <c r="BTN11" s="64"/>
      <c r="BTO11" s="64"/>
      <c r="BTP11" s="64"/>
      <c r="BTQ11" s="64"/>
      <c r="BTR11" s="64"/>
      <c r="BTS11" s="64"/>
      <c r="BTT11" s="64"/>
      <c r="BTU11" s="64"/>
      <c r="BTV11" s="64"/>
      <c r="BTW11" s="64"/>
      <c r="BTX11" s="64"/>
      <c r="BTY11" s="64"/>
      <c r="BTZ11" s="64"/>
      <c r="BUA11" s="64"/>
      <c r="BUB11" s="64"/>
      <c r="BUC11" s="64"/>
      <c r="BUD11" s="64"/>
      <c r="BUE11" s="64"/>
      <c r="BUF11" s="64"/>
      <c r="BUG11" s="64"/>
      <c r="BUH11" s="64"/>
      <c r="BUI11" s="64"/>
      <c r="BUJ11" s="64"/>
      <c r="BUK11" s="64"/>
      <c r="BUL11" s="64"/>
      <c r="BUM11" s="64"/>
      <c r="BUN11" s="64"/>
      <c r="BUO11" s="64"/>
      <c r="BUP11" s="64"/>
      <c r="BUQ11" s="64"/>
      <c r="BUR11" s="64"/>
      <c r="BUS11" s="64"/>
      <c r="BUT11" s="64"/>
      <c r="BUU11" s="64"/>
      <c r="BUV11" s="64"/>
      <c r="BUW11" s="64"/>
      <c r="BUX11" s="64"/>
      <c r="BUY11" s="64"/>
      <c r="BUZ11" s="64"/>
      <c r="BVA11" s="64"/>
      <c r="BVB11" s="64"/>
      <c r="BVC11" s="64"/>
      <c r="BVD11" s="64"/>
      <c r="BVE11" s="64"/>
      <c r="BVF11" s="64"/>
      <c r="BVG11" s="64"/>
      <c r="BVH11" s="64"/>
      <c r="BVI11" s="64"/>
      <c r="BVJ11" s="64"/>
      <c r="BVK11" s="64"/>
      <c r="BVL11" s="64"/>
      <c r="BVM11" s="64"/>
      <c r="BVN11" s="64"/>
      <c r="BVO11" s="64"/>
      <c r="BVP11" s="64"/>
      <c r="BVQ11" s="64"/>
      <c r="BVR11" s="64"/>
      <c r="BVS11" s="64"/>
      <c r="BVT11" s="64"/>
      <c r="BVU11" s="64"/>
      <c r="BVV11" s="64"/>
      <c r="BVW11" s="64"/>
      <c r="BVX11" s="64"/>
      <c r="BVY11" s="64"/>
      <c r="BVZ11" s="64"/>
      <c r="BWA11" s="64"/>
      <c r="BWB11" s="64"/>
      <c r="BWC11" s="64"/>
      <c r="BWD11" s="64"/>
      <c r="BWE11" s="64"/>
      <c r="BWF11" s="64"/>
      <c r="BWG11" s="64"/>
      <c r="BWH11" s="64"/>
      <c r="BWI11" s="64"/>
      <c r="BWJ11" s="64"/>
      <c r="BWK11" s="64"/>
      <c r="BWL11" s="64"/>
      <c r="BWM11" s="64"/>
      <c r="BWN11" s="64"/>
      <c r="BWO11" s="64"/>
      <c r="BWP11" s="64"/>
      <c r="BWQ11" s="64"/>
      <c r="BWR11" s="64"/>
      <c r="BWS11" s="64"/>
      <c r="BWT11" s="64"/>
      <c r="BWU11" s="64"/>
      <c r="BWV11" s="64"/>
      <c r="BWW11" s="64"/>
      <c r="BWX11" s="64"/>
      <c r="BWY11" s="64"/>
      <c r="BWZ11" s="64"/>
      <c r="BXA11" s="64"/>
      <c r="BXB11" s="64"/>
      <c r="BXC11" s="64"/>
      <c r="BXD11" s="64"/>
      <c r="BXE11" s="64"/>
      <c r="BXF11" s="64"/>
      <c r="BXG11" s="64"/>
      <c r="BXH11" s="64"/>
      <c r="BXI11" s="64"/>
      <c r="BXJ11" s="64"/>
      <c r="BXK11" s="64"/>
      <c r="BXL11" s="64"/>
      <c r="BXM11" s="64"/>
      <c r="BXN11" s="64"/>
      <c r="BXO11" s="64"/>
      <c r="BXP11" s="64"/>
      <c r="BXQ11" s="64"/>
      <c r="BXR11" s="64"/>
      <c r="BXS11" s="64"/>
      <c r="BXT11" s="64"/>
      <c r="BXU11" s="64"/>
      <c r="BXV11" s="64"/>
      <c r="BXW11" s="64"/>
      <c r="BXX11" s="64"/>
      <c r="BXY11" s="64"/>
      <c r="BXZ11" s="64"/>
      <c r="BYA11" s="64"/>
      <c r="BYB11" s="64"/>
      <c r="BYC11" s="64"/>
      <c r="BYD11" s="64"/>
      <c r="BYE11" s="64"/>
      <c r="BYF11" s="64"/>
      <c r="BYG11" s="64"/>
      <c r="BYH11" s="64"/>
      <c r="BYI11" s="64"/>
      <c r="BYJ11" s="64"/>
      <c r="BYK11" s="64"/>
      <c r="BYL11" s="64"/>
      <c r="BYM11" s="64"/>
      <c r="BYN11" s="64"/>
      <c r="BYO11" s="64"/>
      <c r="BYP11" s="64"/>
      <c r="BYQ11" s="64"/>
      <c r="BYR11" s="64"/>
      <c r="BYS11" s="64"/>
      <c r="BYT11" s="64"/>
      <c r="BYU11" s="64"/>
      <c r="BYV11" s="64"/>
      <c r="BYW11" s="64"/>
      <c r="BYX11" s="64"/>
      <c r="BYY11" s="64"/>
      <c r="BYZ11" s="64"/>
      <c r="BZA11" s="64"/>
      <c r="BZB11" s="64"/>
      <c r="BZC11" s="64"/>
      <c r="BZD11" s="64"/>
      <c r="BZE11" s="64"/>
      <c r="BZF11" s="64"/>
      <c r="BZG11" s="64"/>
      <c r="BZH11" s="64"/>
      <c r="BZI11" s="64"/>
      <c r="BZJ11" s="64"/>
      <c r="BZK11" s="64"/>
      <c r="BZL11" s="64"/>
      <c r="BZM11" s="64"/>
      <c r="BZN11" s="64"/>
      <c r="BZO11" s="64"/>
      <c r="BZP11" s="64"/>
      <c r="BZQ11" s="64"/>
      <c r="BZR11" s="64"/>
      <c r="BZS11" s="64"/>
      <c r="BZT11" s="64"/>
      <c r="BZU11" s="64"/>
      <c r="BZV11" s="64"/>
      <c r="BZW11" s="64"/>
      <c r="BZX11" s="64"/>
      <c r="BZY11" s="64"/>
      <c r="BZZ11" s="64"/>
      <c r="CAA11" s="64"/>
      <c r="CAB11" s="64"/>
      <c r="CAC11" s="64"/>
      <c r="CAD11" s="64"/>
      <c r="CAE11" s="64"/>
      <c r="CAF11" s="64"/>
      <c r="CAG11" s="64"/>
      <c r="CAH11" s="64"/>
      <c r="CAI11" s="64"/>
      <c r="CAJ11" s="64"/>
      <c r="CAK11" s="64"/>
      <c r="CAL11" s="64"/>
      <c r="CAM11" s="64"/>
      <c r="CAN11" s="64"/>
      <c r="CAO11" s="64"/>
      <c r="CAP11" s="64"/>
      <c r="CAQ11" s="64"/>
      <c r="CAR11" s="64"/>
      <c r="CAS11" s="64"/>
      <c r="CAT11" s="64"/>
      <c r="CAU11" s="64"/>
      <c r="CAV11" s="64"/>
      <c r="CAW11" s="64"/>
      <c r="CAX11" s="64"/>
      <c r="CAY11" s="64"/>
      <c r="CAZ11" s="64"/>
      <c r="CBA11" s="64"/>
      <c r="CBB11" s="64"/>
      <c r="CBC11" s="64"/>
      <c r="CBD11" s="64"/>
      <c r="CBE11" s="64"/>
      <c r="CBF11" s="64"/>
      <c r="CBG11" s="64"/>
      <c r="CBH11" s="64"/>
      <c r="CBI11" s="64"/>
      <c r="CBJ11" s="64"/>
      <c r="CBK11" s="64"/>
      <c r="CBL11" s="64"/>
      <c r="CBM11" s="64"/>
      <c r="CBN11" s="64"/>
      <c r="CBO11" s="64"/>
      <c r="CBP11" s="64"/>
      <c r="CBQ11" s="64"/>
      <c r="CBR11" s="64"/>
      <c r="CBS11" s="64"/>
      <c r="CBT11" s="64"/>
      <c r="CBU11" s="64"/>
      <c r="CBV11" s="64"/>
      <c r="CBW11" s="64"/>
      <c r="CBX11" s="64"/>
      <c r="CBY11" s="64"/>
      <c r="CBZ11" s="64"/>
      <c r="CCA11" s="64"/>
      <c r="CCB11" s="64"/>
      <c r="CCC11" s="64"/>
      <c r="CCD11" s="64"/>
      <c r="CCE11" s="64"/>
      <c r="CCF11" s="64"/>
      <c r="CCG11" s="64"/>
      <c r="CCH11" s="64"/>
      <c r="CCI11" s="64"/>
      <c r="CCJ11" s="64"/>
      <c r="CCK11" s="64"/>
      <c r="CCL11" s="64"/>
      <c r="CCM11" s="64"/>
      <c r="CCN11" s="64"/>
      <c r="CCO11" s="64"/>
      <c r="CCP11" s="64"/>
      <c r="CCQ11" s="64"/>
      <c r="CCR11" s="64"/>
      <c r="CCS11" s="64"/>
      <c r="CCT11" s="64"/>
      <c r="CCU11" s="64"/>
      <c r="CCV11" s="64"/>
      <c r="CCW11" s="64"/>
      <c r="CCX11" s="64"/>
      <c r="CCY11" s="64"/>
      <c r="CCZ11" s="64"/>
      <c r="CDA11" s="64"/>
      <c r="CDB11" s="64"/>
      <c r="CDC11" s="64"/>
      <c r="CDD11" s="64"/>
      <c r="CDE11" s="64"/>
      <c r="CDF11" s="64"/>
      <c r="CDG11" s="64"/>
      <c r="CDH11" s="64"/>
      <c r="CDI11" s="64"/>
      <c r="CDJ11" s="64"/>
      <c r="CDK11" s="64"/>
      <c r="CDL11" s="64"/>
      <c r="CDM11" s="64"/>
      <c r="CDN11" s="64"/>
      <c r="CDO11" s="64"/>
      <c r="CDP11" s="64"/>
      <c r="CDQ11" s="64"/>
      <c r="CDR11" s="64"/>
      <c r="CDS11" s="64"/>
      <c r="CDT11" s="64"/>
      <c r="CDU11" s="64"/>
      <c r="CDV11" s="64"/>
      <c r="CDW11" s="64"/>
      <c r="CDX11" s="64"/>
      <c r="CDY11" s="64"/>
      <c r="CDZ11" s="64"/>
      <c r="CEA11" s="64"/>
      <c r="CEB11" s="64"/>
      <c r="CEC11" s="64"/>
      <c r="CED11" s="64"/>
      <c r="CEE11" s="64"/>
      <c r="CEF11" s="64"/>
      <c r="CEG11" s="64"/>
      <c r="CEH11" s="64"/>
      <c r="CEI11" s="64"/>
      <c r="CEJ11" s="64"/>
      <c r="CEK11" s="64"/>
      <c r="CEL11" s="64"/>
      <c r="CEM11" s="64"/>
      <c r="CEN11" s="64"/>
      <c r="CEO11" s="64"/>
      <c r="CEP11" s="64"/>
      <c r="CEQ11" s="64"/>
      <c r="CER11" s="64"/>
      <c r="CES11" s="64"/>
      <c r="CET11" s="64"/>
      <c r="CEU11" s="64"/>
      <c r="CEV11" s="64"/>
      <c r="CEW11" s="64"/>
      <c r="CEX11" s="64"/>
      <c r="CEY11" s="64"/>
      <c r="CEZ11" s="64"/>
      <c r="CFA11" s="64"/>
      <c r="CFB11" s="64"/>
      <c r="CFC11" s="64"/>
      <c r="CFD11" s="64"/>
      <c r="CFE11" s="64"/>
      <c r="CFF11" s="64"/>
      <c r="CFG11" s="64"/>
      <c r="CFH11" s="64"/>
      <c r="CFI11" s="64"/>
      <c r="CFJ11" s="64"/>
      <c r="CFK11" s="64"/>
      <c r="CFL11" s="64"/>
      <c r="CFM11" s="64"/>
      <c r="CFN11" s="64"/>
      <c r="CFO11" s="64"/>
      <c r="CFP11" s="64"/>
      <c r="CFQ11" s="64"/>
      <c r="CFR11" s="64"/>
      <c r="CFS11" s="64"/>
      <c r="CFT11" s="64"/>
      <c r="CFU11" s="64"/>
      <c r="CFV11" s="64"/>
      <c r="CFW11" s="64"/>
      <c r="CFX11" s="64"/>
      <c r="CFY11" s="64"/>
      <c r="CFZ11" s="64"/>
      <c r="CGA11" s="64"/>
      <c r="CGB11" s="64"/>
      <c r="CGC11" s="64"/>
      <c r="CGD11" s="64"/>
      <c r="CGE11" s="64"/>
      <c r="CGF11" s="64"/>
      <c r="CGG11" s="64"/>
      <c r="CGH11" s="64"/>
      <c r="CGI11" s="64"/>
      <c r="CGJ11" s="64"/>
      <c r="CGK11" s="64"/>
      <c r="CGL11" s="64"/>
      <c r="CGM11" s="64"/>
      <c r="CGN11" s="64"/>
      <c r="CGO11" s="64"/>
      <c r="CGP11" s="64"/>
      <c r="CGQ11" s="64"/>
      <c r="CGR11" s="64"/>
      <c r="CGS11" s="64"/>
      <c r="CGT11" s="64"/>
      <c r="CGU11" s="64"/>
      <c r="CGV11" s="64"/>
      <c r="CGW11" s="64"/>
      <c r="CGX11" s="64"/>
      <c r="CGY11" s="64"/>
      <c r="CGZ11" s="64"/>
      <c r="CHA11" s="64"/>
      <c r="CHB11" s="64"/>
      <c r="CHC11" s="64"/>
      <c r="CHD11" s="64"/>
      <c r="CHE11" s="64"/>
      <c r="CHF11" s="64"/>
      <c r="CHG11" s="64"/>
      <c r="CHH11" s="64"/>
      <c r="CHI11" s="64"/>
      <c r="CHJ11" s="64"/>
      <c r="CHK11" s="64"/>
      <c r="CHL11" s="64"/>
      <c r="CHM11" s="64"/>
      <c r="CHN11" s="64"/>
      <c r="CHO11" s="64"/>
      <c r="CHP11" s="64"/>
      <c r="CHQ11" s="64"/>
      <c r="CHR11" s="64"/>
      <c r="CHS11" s="64"/>
      <c r="CHT11" s="64"/>
      <c r="CHU11" s="64"/>
      <c r="CHV11" s="64"/>
      <c r="CHW11" s="64"/>
      <c r="CHX11" s="64"/>
      <c r="CHY11" s="64"/>
      <c r="CHZ11" s="64"/>
      <c r="CIA11" s="64"/>
      <c r="CIB11" s="64"/>
      <c r="CIC11" s="64"/>
      <c r="CID11" s="64"/>
      <c r="CIE11" s="64"/>
      <c r="CIF11" s="64"/>
      <c r="CIG11" s="64"/>
      <c r="CIH11" s="64"/>
      <c r="CII11" s="64"/>
      <c r="CIJ11" s="64"/>
      <c r="CIK11" s="64"/>
      <c r="CIL11" s="64"/>
      <c r="CIM11" s="64"/>
      <c r="CIN11" s="64"/>
      <c r="CIO11" s="64"/>
      <c r="CIP11" s="64"/>
      <c r="CIQ11" s="64"/>
      <c r="CIR11" s="64"/>
      <c r="CIS11" s="64"/>
      <c r="CIT11" s="64"/>
      <c r="CIU11" s="64"/>
      <c r="CIV11" s="64"/>
      <c r="CIW11" s="64"/>
      <c r="CIX11" s="64"/>
      <c r="CIY11" s="64"/>
      <c r="CIZ11" s="64"/>
      <c r="CJA11" s="64"/>
      <c r="CJB11" s="64"/>
      <c r="CJC11" s="64"/>
      <c r="CJD11" s="64"/>
      <c r="CJE11" s="64"/>
      <c r="CJF11" s="64"/>
      <c r="CJG11" s="64"/>
      <c r="CJH11" s="64"/>
      <c r="CJI11" s="64"/>
      <c r="CJJ11" s="64"/>
      <c r="CJK11" s="64"/>
      <c r="CJL11" s="64"/>
      <c r="CJM11" s="64"/>
      <c r="CJN11" s="64"/>
      <c r="CJO11" s="64"/>
      <c r="CJP11" s="64"/>
      <c r="CJQ11" s="64"/>
      <c r="CJR11" s="64"/>
      <c r="CJS11" s="64"/>
      <c r="CJT11" s="64"/>
      <c r="CJU11" s="64"/>
      <c r="CJV11" s="64"/>
      <c r="CJW11" s="64"/>
      <c r="CJX11" s="64"/>
      <c r="CJY11" s="64"/>
      <c r="CJZ11" s="64"/>
      <c r="CKA11" s="64"/>
      <c r="CKB11" s="64"/>
      <c r="CKC11" s="64"/>
      <c r="CKD11" s="64"/>
      <c r="CKE11" s="64"/>
      <c r="CKF11" s="64"/>
      <c r="CKG11" s="64"/>
      <c r="CKH11" s="64"/>
      <c r="CKI11" s="64"/>
      <c r="CKJ11" s="64"/>
      <c r="CKK11" s="64"/>
      <c r="CKL11" s="64"/>
      <c r="CKM11" s="64"/>
      <c r="CKN11" s="64"/>
      <c r="CKO11" s="64"/>
      <c r="CKP11" s="64"/>
      <c r="CKQ11" s="64"/>
      <c r="CKR11" s="64"/>
      <c r="CKS11" s="64"/>
      <c r="CKT11" s="64"/>
      <c r="CKU11" s="64"/>
      <c r="CKV11" s="64"/>
      <c r="CKW11" s="64"/>
      <c r="CKX11" s="64"/>
      <c r="CKY11" s="64"/>
      <c r="CKZ11" s="64"/>
      <c r="CLA11" s="64"/>
      <c r="CLB11" s="64"/>
      <c r="CLC11" s="64"/>
      <c r="CLD11" s="64"/>
      <c r="CLE11" s="64"/>
      <c r="CLF11" s="64"/>
      <c r="CLG11" s="64"/>
      <c r="CLH11" s="64"/>
      <c r="CLI11" s="64"/>
      <c r="CLJ11" s="64"/>
      <c r="CLK11" s="64"/>
      <c r="CLL11" s="64"/>
      <c r="CLM11" s="64"/>
      <c r="CLN11" s="64"/>
      <c r="CLO11" s="64"/>
      <c r="CLP11" s="64"/>
      <c r="CLQ11" s="64"/>
      <c r="CLR11" s="64"/>
      <c r="CLS11" s="64"/>
      <c r="CLT11" s="64"/>
      <c r="CLU11" s="64"/>
      <c r="CLV11" s="64"/>
      <c r="CLW11" s="64"/>
      <c r="CLX11" s="64"/>
      <c r="CLY11" s="64"/>
      <c r="CLZ11" s="64"/>
      <c r="CMA11" s="64"/>
      <c r="CMB11" s="64"/>
      <c r="CMC11" s="64"/>
      <c r="CMD11" s="64"/>
      <c r="CME11" s="64"/>
      <c r="CMF11" s="64"/>
      <c r="CMG11" s="64"/>
      <c r="CMH11" s="64"/>
      <c r="CMI11" s="64"/>
      <c r="CMJ11" s="64"/>
      <c r="CMK11" s="64"/>
      <c r="CML11" s="64"/>
      <c r="CMM11" s="64"/>
      <c r="CMN11" s="64"/>
      <c r="CMO11" s="64"/>
      <c r="CMP11" s="64"/>
      <c r="CMQ11" s="64"/>
      <c r="CMR11" s="64"/>
      <c r="CMS11" s="64"/>
      <c r="CMT11" s="64"/>
      <c r="CMU11" s="64"/>
      <c r="CMV11" s="64"/>
      <c r="CMW11" s="64"/>
      <c r="CMX11" s="64"/>
      <c r="CMY11" s="64"/>
      <c r="CMZ11" s="64"/>
      <c r="CNA11" s="64"/>
      <c r="CNB11" s="64"/>
      <c r="CNC11" s="64"/>
      <c r="CND11" s="64"/>
      <c r="CNE11" s="64"/>
      <c r="CNF11" s="64"/>
      <c r="CNG11" s="64"/>
      <c r="CNH11" s="64"/>
      <c r="CNI11" s="64"/>
      <c r="CNJ11" s="64"/>
      <c r="CNK11" s="64"/>
      <c r="CNL11" s="64"/>
      <c r="CNM11" s="64"/>
      <c r="CNN11" s="64"/>
      <c r="CNO11" s="64"/>
      <c r="CNP11" s="64"/>
      <c r="CNQ11" s="64"/>
      <c r="CNR11" s="64"/>
      <c r="CNS11" s="64"/>
      <c r="CNT11" s="64"/>
      <c r="CNU11" s="64"/>
      <c r="CNV11" s="64"/>
      <c r="CNW11" s="64"/>
      <c r="CNX11" s="64"/>
      <c r="CNY11" s="64"/>
      <c r="CNZ11" s="64"/>
      <c r="COA11" s="64"/>
      <c r="COB11" s="64"/>
      <c r="COC11" s="64"/>
      <c r="COD11" s="64"/>
      <c r="COE11" s="64"/>
      <c r="COF11" s="64"/>
      <c r="COG11" s="64"/>
      <c r="COH11" s="64"/>
      <c r="COI11" s="64"/>
      <c r="COJ11" s="64"/>
      <c r="COK11" s="64"/>
      <c r="COL11" s="64"/>
      <c r="COM11" s="64"/>
      <c r="CON11" s="64"/>
      <c r="COO11" s="64"/>
      <c r="COP11" s="64"/>
      <c r="COQ11" s="64"/>
      <c r="COR11" s="64"/>
      <c r="COS11" s="64"/>
      <c r="COT11" s="64"/>
      <c r="COU11" s="64"/>
      <c r="COV11" s="64"/>
      <c r="COW11" s="64"/>
      <c r="COX11" s="64"/>
      <c r="COY11" s="64"/>
      <c r="COZ11" s="64"/>
      <c r="CPA11" s="64"/>
      <c r="CPB11" s="64"/>
      <c r="CPC11" s="64"/>
      <c r="CPD11" s="64"/>
      <c r="CPE11" s="64"/>
      <c r="CPF11" s="64"/>
      <c r="CPG11" s="64"/>
      <c r="CPH11" s="64"/>
      <c r="CPI11" s="64"/>
      <c r="CPJ11" s="64"/>
      <c r="CPK11" s="64"/>
      <c r="CPL11" s="64"/>
      <c r="CPM11" s="64"/>
      <c r="CPN11" s="64"/>
      <c r="CPO11" s="64"/>
      <c r="CPP11" s="64"/>
      <c r="CPQ11" s="64"/>
      <c r="CPR11" s="64"/>
      <c r="CPS11" s="64"/>
      <c r="CPT11" s="64"/>
      <c r="CPU11" s="64"/>
      <c r="CPV11" s="64"/>
      <c r="CPW11" s="64"/>
      <c r="CPX11" s="64"/>
      <c r="CPY11" s="64"/>
      <c r="CPZ11" s="64"/>
      <c r="CQA11" s="64"/>
      <c r="CQB11" s="64"/>
      <c r="CQC11" s="64"/>
      <c r="CQD11" s="64"/>
      <c r="CQE11" s="64"/>
      <c r="CQF11" s="64"/>
      <c r="CQG11" s="64"/>
      <c r="CQH11" s="64"/>
      <c r="CQI11" s="64"/>
      <c r="CQJ11" s="64"/>
      <c r="CQK11" s="64"/>
      <c r="CQL11" s="64"/>
      <c r="CQM11" s="64"/>
      <c r="CQN11" s="64"/>
      <c r="CQO11" s="64"/>
      <c r="CQP11" s="64"/>
      <c r="CQQ11" s="64"/>
      <c r="CQR11" s="64"/>
      <c r="CQS11" s="64"/>
      <c r="CQT11" s="64"/>
      <c r="CQU11" s="64"/>
      <c r="CQV11" s="64"/>
      <c r="CQW11" s="64"/>
      <c r="CQX11" s="64"/>
      <c r="CQY11" s="64"/>
      <c r="CQZ11" s="64"/>
      <c r="CRA11" s="64"/>
      <c r="CRB11" s="64"/>
      <c r="CRC11" s="64"/>
      <c r="CRD11" s="64"/>
      <c r="CRE11" s="64"/>
      <c r="CRF11" s="64"/>
      <c r="CRG11" s="64"/>
      <c r="CRH11" s="64"/>
      <c r="CRI11" s="64"/>
      <c r="CRJ11" s="64"/>
      <c r="CRK11" s="64"/>
      <c r="CRL11" s="64"/>
      <c r="CRM11" s="64"/>
      <c r="CRN11" s="64"/>
      <c r="CRO11" s="64"/>
      <c r="CRP11" s="64"/>
      <c r="CRQ11" s="64"/>
      <c r="CRR11" s="64"/>
      <c r="CRS11" s="64"/>
      <c r="CRT11" s="64"/>
      <c r="CRU11" s="64"/>
      <c r="CRV11" s="64"/>
      <c r="CRW11" s="64"/>
      <c r="CRX11" s="64"/>
      <c r="CRY11" s="64"/>
      <c r="CRZ11" s="64"/>
      <c r="CSA11" s="64"/>
      <c r="CSB11" s="64"/>
      <c r="CSC11" s="64"/>
      <c r="CSD11" s="64"/>
      <c r="CSE11" s="64"/>
      <c r="CSF11" s="64"/>
      <c r="CSG11" s="64"/>
      <c r="CSH11" s="64"/>
      <c r="CSI11" s="64"/>
      <c r="CSJ11" s="64"/>
      <c r="CSK11" s="64"/>
      <c r="CSL11" s="64"/>
      <c r="CSM11" s="64"/>
      <c r="CSN11" s="64"/>
      <c r="CSO11" s="64"/>
      <c r="CSP11" s="64"/>
      <c r="CSQ11" s="64"/>
      <c r="CSR11" s="64"/>
      <c r="CSS11" s="64"/>
      <c r="CST11" s="64"/>
      <c r="CSU11" s="64"/>
      <c r="CSV11" s="64"/>
      <c r="CSW11" s="64"/>
      <c r="CSX11" s="64"/>
      <c r="CSY11" s="64"/>
      <c r="CSZ11" s="64"/>
      <c r="CTA11" s="64"/>
      <c r="CTB11" s="64"/>
      <c r="CTC11" s="64"/>
      <c r="CTD11" s="64"/>
      <c r="CTE11" s="64"/>
      <c r="CTF11" s="64"/>
      <c r="CTG11" s="64"/>
      <c r="CTH11" s="64"/>
      <c r="CTI11" s="64"/>
      <c r="CTJ11" s="64"/>
      <c r="CTK11" s="64"/>
      <c r="CTL11" s="64"/>
      <c r="CTM11" s="64"/>
      <c r="CTN11" s="64"/>
      <c r="CTO11" s="64"/>
      <c r="CTP11" s="64"/>
      <c r="CTQ11" s="64"/>
      <c r="CTR11" s="64"/>
      <c r="CTS11" s="64"/>
      <c r="CTT11" s="64"/>
      <c r="CTU11" s="64"/>
      <c r="CTV11" s="64"/>
      <c r="CTW11" s="64"/>
      <c r="CTX11" s="64"/>
      <c r="CTY11" s="64"/>
      <c r="CTZ11" s="64"/>
      <c r="CUA11" s="64"/>
      <c r="CUB11" s="64"/>
      <c r="CUC11" s="64"/>
      <c r="CUD11" s="64"/>
      <c r="CUE11" s="64"/>
      <c r="CUF11" s="64"/>
      <c r="CUG11" s="64"/>
      <c r="CUH11" s="64"/>
      <c r="CUI11" s="64"/>
      <c r="CUJ11" s="64"/>
      <c r="CUK11" s="64"/>
      <c r="CUL11" s="64"/>
      <c r="CUM11" s="64"/>
      <c r="CUN11" s="64"/>
      <c r="CUO11" s="64"/>
      <c r="CUP11" s="64"/>
      <c r="CUQ11" s="64"/>
      <c r="CUR11" s="64"/>
      <c r="CUS11" s="64"/>
      <c r="CUT11" s="64"/>
      <c r="CUU11" s="64"/>
      <c r="CUV11" s="64"/>
      <c r="CUW11" s="64"/>
      <c r="CUX11" s="64"/>
      <c r="CUY11" s="64"/>
      <c r="CUZ11" s="64"/>
      <c r="CVA11" s="64"/>
      <c r="CVB11" s="64"/>
      <c r="CVC11" s="64"/>
      <c r="CVD11" s="64"/>
      <c r="CVE11" s="64"/>
      <c r="CVF11" s="64"/>
      <c r="CVG11" s="64"/>
      <c r="CVH11" s="64"/>
      <c r="CVI11" s="64"/>
      <c r="CVJ11" s="64"/>
      <c r="CVK11" s="64"/>
      <c r="CVL11" s="64"/>
      <c r="CVM11" s="64"/>
      <c r="CVN11" s="64"/>
      <c r="CVO11" s="64"/>
      <c r="CVP11" s="64"/>
      <c r="CVQ11" s="64"/>
      <c r="CVR11" s="64"/>
      <c r="CVS11" s="64"/>
      <c r="CVT11" s="64"/>
      <c r="CVU11" s="64"/>
      <c r="CVV11" s="64"/>
      <c r="CVW11" s="64"/>
      <c r="CVX11" s="64"/>
      <c r="CVY11" s="64"/>
      <c r="CVZ11" s="64"/>
      <c r="CWA11" s="64"/>
      <c r="CWB11" s="64"/>
      <c r="CWC11" s="64"/>
      <c r="CWD11" s="64"/>
      <c r="CWE11" s="64"/>
      <c r="CWF11" s="64"/>
      <c r="CWG11" s="64"/>
      <c r="CWH11" s="64"/>
      <c r="CWI11" s="64"/>
      <c r="CWJ11" s="64"/>
      <c r="CWK11" s="64"/>
      <c r="CWL11" s="64"/>
      <c r="CWM11" s="64"/>
      <c r="CWN11" s="64"/>
      <c r="CWO11" s="64"/>
      <c r="CWP11" s="64"/>
      <c r="CWQ11" s="64"/>
      <c r="CWR11" s="64"/>
      <c r="CWS11" s="64"/>
      <c r="CWT11" s="64"/>
      <c r="CWU11" s="64"/>
      <c r="CWV11" s="64"/>
      <c r="CWW11" s="64"/>
      <c r="CWX11" s="64"/>
      <c r="CWY11" s="64"/>
      <c r="CWZ11" s="64"/>
      <c r="CXA11" s="64"/>
      <c r="CXB11" s="64"/>
      <c r="CXC11" s="64"/>
      <c r="CXD11" s="64"/>
      <c r="CXE11" s="64"/>
      <c r="CXF11" s="64"/>
      <c r="CXG11" s="64"/>
      <c r="CXH11" s="64"/>
      <c r="CXI11" s="64"/>
      <c r="CXJ11" s="64"/>
      <c r="CXK11" s="64"/>
      <c r="CXL11" s="64"/>
      <c r="CXM11" s="64"/>
      <c r="CXN11" s="64"/>
      <c r="CXO11" s="64"/>
      <c r="CXP11" s="64"/>
      <c r="CXQ11" s="64"/>
      <c r="CXR11" s="64"/>
      <c r="CXS11" s="64"/>
      <c r="CXT11" s="64"/>
      <c r="CXU11" s="64"/>
      <c r="CXV11" s="64"/>
      <c r="CXW11" s="64"/>
      <c r="CXX11" s="64"/>
      <c r="CXY11" s="64"/>
      <c r="CXZ11" s="64"/>
      <c r="CYA11" s="64"/>
      <c r="CYB11" s="64"/>
      <c r="CYC11" s="64"/>
      <c r="CYD11" s="64"/>
      <c r="CYE11" s="64"/>
      <c r="CYF11" s="64"/>
      <c r="CYG11" s="64"/>
      <c r="CYH11" s="64"/>
      <c r="CYI11" s="64"/>
      <c r="CYJ11" s="64"/>
      <c r="CYK11" s="64"/>
      <c r="CYL11" s="64"/>
      <c r="CYM11" s="64"/>
      <c r="CYN11" s="64"/>
      <c r="CYO11" s="64"/>
      <c r="CYP11" s="64"/>
      <c r="CYQ11" s="64"/>
      <c r="CYR11" s="64"/>
      <c r="CYS11" s="64"/>
      <c r="CYT11" s="64"/>
      <c r="CYU11" s="64"/>
      <c r="CYV11" s="64"/>
      <c r="CYW11" s="64"/>
      <c r="CYX11" s="64"/>
      <c r="CYY11" s="64"/>
      <c r="CYZ11" s="64"/>
      <c r="CZA11" s="64"/>
      <c r="CZB11" s="64"/>
      <c r="CZC11" s="64"/>
      <c r="CZD11" s="64"/>
      <c r="CZE11" s="64"/>
      <c r="CZF11" s="64"/>
      <c r="CZG11" s="64"/>
      <c r="CZH11" s="64"/>
      <c r="CZI11" s="64"/>
      <c r="CZJ11" s="64"/>
      <c r="CZK11" s="64"/>
      <c r="CZL11" s="64"/>
      <c r="CZM11" s="64"/>
      <c r="CZN11" s="64"/>
      <c r="CZO11" s="64"/>
      <c r="CZP11" s="64"/>
      <c r="CZQ11" s="64"/>
      <c r="CZR11" s="64"/>
      <c r="CZS11" s="64"/>
      <c r="CZT11" s="64"/>
      <c r="CZU11" s="64"/>
      <c r="CZV11" s="64"/>
      <c r="CZW11" s="64"/>
      <c r="CZX11" s="64"/>
      <c r="CZY11" s="64"/>
      <c r="CZZ11" s="64"/>
      <c r="DAA11" s="64"/>
      <c r="DAB11" s="64"/>
      <c r="DAC11" s="64"/>
      <c r="DAD11" s="64"/>
      <c r="DAE11" s="64"/>
      <c r="DAF11" s="64"/>
      <c r="DAG11" s="64"/>
      <c r="DAH11" s="64"/>
      <c r="DAI11" s="64"/>
      <c r="DAJ11" s="64"/>
      <c r="DAK11" s="64"/>
      <c r="DAL11" s="64"/>
      <c r="DAM11" s="64"/>
      <c r="DAN11" s="64"/>
      <c r="DAO11" s="64"/>
      <c r="DAP11" s="64"/>
      <c r="DAQ11" s="64"/>
      <c r="DAR11" s="64"/>
      <c r="DAS11" s="64"/>
      <c r="DAT11" s="64"/>
      <c r="DAU11" s="64"/>
      <c r="DAV11" s="64"/>
      <c r="DAW11" s="64"/>
      <c r="DAX11" s="64"/>
      <c r="DAY11" s="64"/>
      <c r="DAZ11" s="64"/>
      <c r="DBA11" s="64"/>
      <c r="DBB11" s="64"/>
      <c r="DBC11" s="64"/>
      <c r="DBD11" s="64"/>
      <c r="DBE11" s="64"/>
      <c r="DBF11" s="64"/>
      <c r="DBG11" s="64"/>
      <c r="DBH11" s="64"/>
      <c r="DBI11" s="64"/>
      <c r="DBJ11" s="64"/>
      <c r="DBK11" s="64"/>
      <c r="DBL11" s="64"/>
      <c r="DBM11" s="64"/>
      <c r="DBN11" s="64"/>
      <c r="DBO11" s="64"/>
      <c r="DBP11" s="64"/>
      <c r="DBQ11" s="64"/>
      <c r="DBR11" s="64"/>
      <c r="DBS11" s="64"/>
      <c r="DBT11" s="64"/>
      <c r="DBU11" s="64"/>
      <c r="DBV11" s="64"/>
      <c r="DBW11" s="64"/>
      <c r="DBX11" s="64"/>
      <c r="DBY11" s="64"/>
      <c r="DBZ11" s="64"/>
      <c r="DCA11" s="64"/>
      <c r="DCB11" s="64"/>
      <c r="DCC11" s="64"/>
      <c r="DCD11" s="64"/>
      <c r="DCE11" s="64"/>
      <c r="DCF11" s="64"/>
      <c r="DCG11" s="64"/>
      <c r="DCH11" s="64"/>
      <c r="DCI11" s="64"/>
      <c r="DCJ11" s="64"/>
      <c r="DCK11" s="64"/>
      <c r="DCL11" s="64"/>
      <c r="DCM11" s="64"/>
      <c r="DCN11" s="64"/>
      <c r="DCO11" s="64"/>
      <c r="DCP11" s="64"/>
      <c r="DCQ11" s="64"/>
      <c r="DCR11" s="64"/>
      <c r="DCS11" s="64"/>
      <c r="DCT11" s="64"/>
      <c r="DCU11" s="64"/>
      <c r="DCV11" s="64"/>
      <c r="DCW11" s="64"/>
      <c r="DCX11" s="64"/>
      <c r="DCY11" s="64"/>
      <c r="DCZ11" s="64"/>
      <c r="DDA11" s="64"/>
      <c r="DDB11" s="64"/>
      <c r="DDC11" s="64"/>
      <c r="DDD11" s="64"/>
      <c r="DDE11" s="64"/>
      <c r="DDF11" s="64"/>
      <c r="DDG11" s="64"/>
      <c r="DDH11" s="64"/>
      <c r="DDI11" s="64"/>
      <c r="DDJ11" s="64"/>
      <c r="DDK11" s="64"/>
      <c r="DDL11" s="64"/>
      <c r="DDM11" s="64"/>
      <c r="DDN11" s="64"/>
      <c r="DDO11" s="64"/>
      <c r="DDP11" s="64"/>
      <c r="DDQ11" s="64"/>
      <c r="DDR11" s="64"/>
      <c r="DDS11" s="64"/>
      <c r="DDT11" s="64"/>
      <c r="DDU11" s="64"/>
      <c r="DDV11" s="64"/>
      <c r="DDW11" s="64"/>
      <c r="DDX11" s="64"/>
      <c r="DDY11" s="64"/>
      <c r="DDZ11" s="64"/>
      <c r="DEA11" s="64"/>
      <c r="DEB11" s="64"/>
      <c r="DEC11" s="64"/>
      <c r="DED11" s="64"/>
      <c r="DEE11" s="64"/>
      <c r="DEF11" s="64"/>
      <c r="DEG11" s="64"/>
      <c r="DEH11" s="64"/>
      <c r="DEI11" s="64"/>
      <c r="DEJ11" s="64"/>
      <c r="DEK11" s="64"/>
      <c r="DEL11" s="64"/>
      <c r="DEM11" s="64"/>
      <c r="DEN11" s="64"/>
      <c r="DEO11" s="64"/>
      <c r="DEP11" s="64"/>
      <c r="DEQ11" s="64"/>
      <c r="DER11" s="64"/>
      <c r="DES11" s="64"/>
      <c r="DET11" s="64"/>
      <c r="DEU11" s="64"/>
      <c r="DEV11" s="64"/>
      <c r="DEW11" s="64"/>
      <c r="DEX11" s="64"/>
      <c r="DEY11" s="64"/>
      <c r="DEZ11" s="64"/>
      <c r="DFA11" s="64"/>
      <c r="DFB11" s="64"/>
      <c r="DFC11" s="64"/>
      <c r="DFD11" s="64"/>
      <c r="DFE11" s="64"/>
      <c r="DFF11" s="64"/>
      <c r="DFG11" s="64"/>
      <c r="DFH11" s="64"/>
      <c r="DFI11" s="64"/>
      <c r="DFJ11" s="64"/>
      <c r="DFK11" s="64"/>
      <c r="DFL11" s="64"/>
      <c r="DFM11" s="64"/>
      <c r="DFN11" s="64"/>
      <c r="DFO11" s="64"/>
      <c r="DFP11" s="64"/>
      <c r="DFQ11" s="64"/>
      <c r="DFR11" s="64"/>
      <c r="DFS11" s="64"/>
      <c r="DFT11" s="64"/>
      <c r="DFU11" s="64"/>
      <c r="DFV11" s="64"/>
      <c r="DFW11" s="64"/>
      <c r="DFX11" s="64"/>
      <c r="DFY11" s="64"/>
      <c r="DFZ11" s="64"/>
      <c r="DGA11" s="64"/>
      <c r="DGB11" s="64"/>
      <c r="DGC11" s="64"/>
      <c r="DGD11" s="64"/>
      <c r="DGE11" s="64"/>
      <c r="DGF11" s="64"/>
      <c r="DGG11" s="64"/>
      <c r="DGH11" s="64"/>
      <c r="DGI11" s="64"/>
      <c r="DGJ11" s="64"/>
      <c r="DGK11" s="64"/>
      <c r="DGL11" s="64"/>
      <c r="DGM11" s="64"/>
      <c r="DGN11" s="64"/>
      <c r="DGO11" s="64"/>
      <c r="DGP11" s="64"/>
      <c r="DGQ11" s="64"/>
      <c r="DGR11" s="64"/>
      <c r="DGS11" s="64"/>
      <c r="DGT11" s="64"/>
      <c r="DGU11" s="64"/>
      <c r="DGV11" s="64"/>
      <c r="DGW11" s="64"/>
      <c r="DGX11" s="64"/>
      <c r="DGY11" s="64"/>
      <c r="DGZ11" s="64"/>
      <c r="DHA11" s="64"/>
      <c r="DHB11" s="64"/>
      <c r="DHC11" s="64"/>
      <c r="DHD11" s="64"/>
      <c r="DHE11" s="64"/>
      <c r="DHF11" s="64"/>
      <c r="DHG11" s="64"/>
      <c r="DHH11" s="64"/>
      <c r="DHI11" s="64"/>
      <c r="DHJ11" s="64"/>
      <c r="DHK11" s="64"/>
      <c r="DHL11" s="64"/>
      <c r="DHM11" s="64"/>
      <c r="DHN11" s="64"/>
      <c r="DHO11" s="64"/>
      <c r="DHP11" s="64"/>
      <c r="DHQ11" s="64"/>
      <c r="DHR11" s="64"/>
      <c r="DHS11" s="64"/>
      <c r="DHT11" s="64"/>
      <c r="DHU11" s="64"/>
      <c r="DHV11" s="64"/>
      <c r="DHW11" s="64"/>
      <c r="DHX11" s="64"/>
      <c r="DHY11" s="64"/>
      <c r="DHZ11" s="64"/>
      <c r="DIA11" s="64"/>
      <c r="DIB11" s="64"/>
      <c r="DIC11" s="64"/>
      <c r="DID11" s="64"/>
      <c r="DIE11" s="64"/>
      <c r="DIF11" s="64"/>
      <c r="DIG11" s="64"/>
      <c r="DIH11" s="64"/>
      <c r="DII11" s="64"/>
      <c r="DIJ11" s="64"/>
      <c r="DIK11" s="64"/>
      <c r="DIL11" s="64"/>
      <c r="DIM11" s="64"/>
      <c r="DIN11" s="64"/>
      <c r="DIO11" s="64"/>
      <c r="DIP11" s="64"/>
      <c r="DIQ11" s="64"/>
      <c r="DIR11" s="64"/>
      <c r="DIS11" s="64"/>
      <c r="DIT11" s="64"/>
      <c r="DIU11" s="64"/>
      <c r="DIV11" s="64"/>
      <c r="DIW11" s="64"/>
      <c r="DIX11" s="64"/>
      <c r="DIY11" s="64"/>
      <c r="DIZ11" s="64"/>
      <c r="DJA11" s="64"/>
      <c r="DJB11" s="64"/>
      <c r="DJC11" s="64"/>
      <c r="DJD11" s="64"/>
      <c r="DJE11" s="64"/>
      <c r="DJF11" s="64"/>
      <c r="DJG11" s="64"/>
      <c r="DJH11" s="64"/>
      <c r="DJI11" s="64"/>
      <c r="DJJ11" s="64"/>
      <c r="DJK11" s="64"/>
      <c r="DJL11" s="64"/>
      <c r="DJM11" s="64"/>
      <c r="DJN11" s="64"/>
      <c r="DJO11" s="64"/>
      <c r="DJP11" s="64"/>
      <c r="DJQ11" s="64"/>
      <c r="DJR11" s="64"/>
      <c r="DJS11" s="64"/>
      <c r="DJT11" s="64"/>
      <c r="DJU11" s="64"/>
      <c r="DJV11" s="64"/>
      <c r="DJW11" s="64"/>
      <c r="DJX11" s="64"/>
      <c r="DJY11" s="64"/>
      <c r="DJZ11" s="64"/>
      <c r="DKA11" s="64"/>
      <c r="DKB11" s="64"/>
      <c r="DKC11" s="64"/>
      <c r="DKD11" s="64"/>
      <c r="DKE11" s="64"/>
      <c r="DKF11" s="64"/>
      <c r="DKG11" s="64"/>
      <c r="DKH11" s="64"/>
      <c r="DKI11" s="64"/>
      <c r="DKJ11" s="64"/>
      <c r="DKK11" s="64"/>
      <c r="DKL11" s="64"/>
      <c r="DKM11" s="64"/>
      <c r="DKN11" s="64"/>
      <c r="DKO11" s="64"/>
      <c r="DKP11" s="64"/>
      <c r="DKQ11" s="64"/>
      <c r="DKR11" s="64"/>
      <c r="DKS11" s="64"/>
      <c r="DKT11" s="64"/>
      <c r="DKU11" s="64"/>
      <c r="DKV11" s="64"/>
      <c r="DKW11" s="64"/>
      <c r="DKX11" s="64"/>
      <c r="DKY11" s="64"/>
      <c r="DKZ11" s="64"/>
      <c r="DLA11" s="64"/>
      <c r="DLB11" s="64"/>
      <c r="DLC11" s="64"/>
      <c r="DLD11" s="64"/>
      <c r="DLE11" s="64"/>
      <c r="DLF11" s="64"/>
      <c r="DLG11" s="64"/>
      <c r="DLH11" s="64"/>
      <c r="DLI11" s="64"/>
      <c r="DLJ11" s="64"/>
      <c r="DLK11" s="64"/>
      <c r="DLL11" s="64"/>
      <c r="DLM11" s="64"/>
      <c r="DLN11" s="64"/>
      <c r="DLO11" s="64"/>
      <c r="DLP11" s="64"/>
      <c r="DLQ11" s="64"/>
      <c r="DLR11" s="64"/>
      <c r="DLS11" s="64"/>
      <c r="DLT11" s="64"/>
      <c r="DLU11" s="64"/>
      <c r="DLV11" s="64"/>
      <c r="DLW11" s="64"/>
      <c r="DLX11" s="64"/>
      <c r="DLY11" s="64"/>
      <c r="DLZ11" s="64"/>
      <c r="DMA11" s="64"/>
      <c r="DMB11" s="64"/>
      <c r="DMC11" s="64"/>
      <c r="DMD11" s="64"/>
      <c r="DME11" s="64"/>
      <c r="DMF11" s="64"/>
      <c r="DMG11" s="64"/>
      <c r="DMH11" s="64"/>
      <c r="DMI11" s="64"/>
      <c r="DMJ11" s="64"/>
      <c r="DMK11" s="64"/>
      <c r="DML11" s="64"/>
      <c r="DMM11" s="64"/>
      <c r="DMN11" s="64"/>
      <c r="DMO11" s="64"/>
      <c r="DMP11" s="64"/>
      <c r="DMQ11" s="64"/>
      <c r="DMR11" s="64"/>
      <c r="DMS11" s="64"/>
      <c r="DMT11" s="64"/>
      <c r="DMU11" s="64"/>
      <c r="DMV11" s="64"/>
      <c r="DMW11" s="64"/>
      <c r="DMX11" s="64"/>
      <c r="DMY11" s="64"/>
      <c r="DMZ11" s="64"/>
      <c r="DNA11" s="64"/>
      <c r="DNB11" s="64"/>
      <c r="DNC11" s="64"/>
      <c r="DND11" s="64"/>
      <c r="DNE11" s="64"/>
      <c r="DNF11" s="64"/>
      <c r="DNG11" s="64"/>
      <c r="DNH11" s="64"/>
      <c r="DNI11" s="64"/>
      <c r="DNJ11" s="64"/>
      <c r="DNK11" s="64"/>
      <c r="DNL11" s="64"/>
      <c r="DNM11" s="64"/>
      <c r="DNN11" s="64"/>
      <c r="DNO11" s="64"/>
      <c r="DNP11" s="64"/>
      <c r="DNQ11" s="64"/>
      <c r="DNR11" s="64"/>
      <c r="DNS11" s="64"/>
      <c r="DNT11" s="64"/>
      <c r="DNU11" s="64"/>
      <c r="DNV11" s="64"/>
      <c r="DNW11" s="64"/>
      <c r="DNX11" s="64"/>
      <c r="DNY11" s="64"/>
      <c r="DNZ11" s="64"/>
      <c r="DOA11" s="64"/>
      <c r="DOB11" s="64"/>
      <c r="DOC11" s="64"/>
      <c r="DOD11" s="64"/>
      <c r="DOE11" s="64"/>
      <c r="DOF11" s="64"/>
      <c r="DOG11" s="64"/>
      <c r="DOH11" s="64"/>
      <c r="DOI11" s="64"/>
      <c r="DOJ11" s="64"/>
      <c r="DOK11" s="64"/>
      <c r="DOL11" s="64"/>
      <c r="DOM11" s="64"/>
      <c r="DON11" s="64"/>
      <c r="DOO11" s="64"/>
      <c r="DOP11" s="64"/>
      <c r="DOQ11" s="64"/>
      <c r="DOR11" s="64"/>
      <c r="DOS11" s="64"/>
      <c r="DOT11" s="64"/>
      <c r="DOU11" s="64"/>
      <c r="DOV11" s="64"/>
      <c r="DOW11" s="64"/>
      <c r="DOX11" s="64"/>
      <c r="DOY11" s="64"/>
      <c r="DOZ11" s="64"/>
      <c r="DPA11" s="64"/>
      <c r="DPB11" s="64"/>
      <c r="DPC11" s="64"/>
      <c r="DPD11" s="64"/>
      <c r="DPE11" s="64"/>
      <c r="DPF11" s="64"/>
      <c r="DPG11" s="64"/>
      <c r="DPH11" s="64"/>
      <c r="DPI11" s="64"/>
      <c r="DPJ11" s="64"/>
      <c r="DPK11" s="64"/>
      <c r="DPL11" s="64"/>
      <c r="DPM11" s="64"/>
      <c r="DPN11" s="64"/>
      <c r="DPO11" s="64"/>
      <c r="DPP11" s="64"/>
      <c r="DPQ11" s="64"/>
      <c r="DPR11" s="64"/>
      <c r="DPS11" s="64"/>
      <c r="DPT11" s="64"/>
      <c r="DPU11" s="64"/>
      <c r="DPV11" s="64"/>
      <c r="DPW11" s="64"/>
      <c r="DPX11" s="64"/>
      <c r="DPY11" s="64"/>
      <c r="DPZ11" s="64"/>
      <c r="DQA11" s="64"/>
      <c r="DQB11" s="64"/>
      <c r="DQC11" s="64"/>
      <c r="DQD11" s="64"/>
      <c r="DQE11" s="64"/>
      <c r="DQF11" s="64"/>
      <c r="DQG11" s="64"/>
      <c r="DQH11" s="64"/>
      <c r="DQI11" s="64"/>
      <c r="DQJ11" s="64"/>
      <c r="DQK11" s="64"/>
      <c r="DQL11" s="64"/>
      <c r="DQM11" s="64"/>
      <c r="DQN11" s="64"/>
      <c r="DQO11" s="64"/>
      <c r="DQP11" s="64"/>
      <c r="DQQ11" s="64"/>
      <c r="DQR11" s="64"/>
      <c r="DQS11" s="64"/>
      <c r="DQT11" s="64"/>
      <c r="DQU11" s="64"/>
      <c r="DQV11" s="64"/>
      <c r="DQW11" s="64"/>
      <c r="DQX11" s="64"/>
      <c r="DQY11" s="64"/>
      <c r="DQZ11" s="64"/>
      <c r="DRA11" s="64"/>
      <c r="DRB11" s="64"/>
      <c r="DRC11" s="64"/>
      <c r="DRD11" s="64"/>
      <c r="DRE11" s="64"/>
      <c r="DRF11" s="64"/>
      <c r="DRG11" s="64"/>
      <c r="DRH11" s="64"/>
      <c r="DRI11" s="64"/>
      <c r="DRJ11" s="64"/>
      <c r="DRK11" s="64"/>
      <c r="DRL11" s="64"/>
      <c r="DRM11" s="64"/>
      <c r="DRN11" s="64"/>
      <c r="DRO11" s="64"/>
      <c r="DRP11" s="64"/>
      <c r="DRQ11" s="64"/>
      <c r="DRR11" s="64"/>
      <c r="DRS11" s="64"/>
      <c r="DRT11" s="64"/>
      <c r="DRU11" s="64"/>
      <c r="DRV11" s="64"/>
      <c r="DRW11" s="64"/>
      <c r="DRX11" s="64"/>
      <c r="DRY11" s="64"/>
      <c r="DRZ11" s="64"/>
      <c r="DSA11" s="64"/>
      <c r="DSB11" s="64"/>
      <c r="DSC11" s="64"/>
      <c r="DSD11" s="64"/>
      <c r="DSE11" s="64"/>
      <c r="DSF11" s="64"/>
      <c r="DSG11" s="64"/>
      <c r="DSH11" s="64"/>
      <c r="DSI11" s="64"/>
      <c r="DSJ11" s="64"/>
      <c r="DSK11" s="64"/>
      <c r="DSL11" s="64"/>
      <c r="DSM11" s="64"/>
      <c r="DSN11" s="64"/>
      <c r="DSO11" s="64"/>
      <c r="DSP11" s="64"/>
      <c r="DSQ11" s="64"/>
      <c r="DSR11" s="64"/>
      <c r="DSS11" s="64"/>
      <c r="DST11" s="64"/>
      <c r="DSU11" s="64"/>
      <c r="DSV11" s="64"/>
      <c r="DSW11" s="64"/>
      <c r="DSX11" s="64"/>
      <c r="DSY11" s="64"/>
      <c r="DSZ11" s="64"/>
      <c r="DTA11" s="64"/>
      <c r="DTB11" s="64"/>
      <c r="DTC11" s="64"/>
      <c r="DTD11" s="64"/>
      <c r="DTE11" s="64"/>
      <c r="DTF11" s="64"/>
      <c r="DTG11" s="64"/>
      <c r="DTH11" s="64"/>
      <c r="DTI11" s="64"/>
      <c r="DTJ11" s="64"/>
      <c r="DTK11" s="64"/>
      <c r="DTL11" s="64"/>
      <c r="DTM11" s="64"/>
      <c r="DTN11" s="64"/>
      <c r="DTO11" s="64"/>
      <c r="DTP11" s="64"/>
      <c r="DTQ11" s="64"/>
      <c r="DTR11" s="64"/>
      <c r="DTS11" s="64"/>
      <c r="DTT11" s="64"/>
      <c r="DTU11" s="64"/>
      <c r="DTV11" s="64"/>
      <c r="DTW11" s="64"/>
      <c r="DTX11" s="64"/>
      <c r="DTY11" s="64"/>
      <c r="DTZ11" s="64"/>
      <c r="DUA11" s="64"/>
      <c r="DUB11" s="64"/>
      <c r="DUC11" s="64"/>
      <c r="DUD11" s="64"/>
      <c r="DUE11" s="64"/>
      <c r="DUF11" s="64"/>
      <c r="DUG11" s="64"/>
      <c r="DUH11" s="64"/>
      <c r="DUI11" s="64"/>
      <c r="DUJ11" s="64"/>
      <c r="DUK11" s="64"/>
      <c r="DUL11" s="64"/>
      <c r="DUM11" s="64"/>
      <c r="DUN11" s="64"/>
      <c r="DUO11" s="64"/>
      <c r="DUP11" s="64"/>
      <c r="DUQ11" s="64"/>
      <c r="DUR11" s="64"/>
      <c r="DUS11" s="64"/>
      <c r="DUT11" s="64"/>
      <c r="DUU11" s="64"/>
      <c r="DUV11" s="64"/>
      <c r="DUW11" s="64"/>
      <c r="DUX11" s="64"/>
      <c r="DUY11" s="64"/>
      <c r="DUZ11" s="64"/>
      <c r="DVA11" s="64"/>
      <c r="DVB11" s="64"/>
      <c r="DVC11" s="64"/>
      <c r="DVD11" s="64"/>
      <c r="DVE11" s="64"/>
      <c r="DVF11" s="64"/>
      <c r="DVG11" s="64"/>
      <c r="DVH11" s="64"/>
      <c r="DVI11" s="64"/>
      <c r="DVJ11" s="64"/>
      <c r="DVK11" s="64"/>
      <c r="DVL11" s="64"/>
      <c r="DVM11" s="64"/>
      <c r="DVN11" s="64"/>
      <c r="DVO11" s="64"/>
      <c r="DVP11" s="64"/>
      <c r="DVQ11" s="64"/>
      <c r="DVR11" s="64"/>
      <c r="DVS11" s="64"/>
      <c r="DVT11" s="64"/>
      <c r="DVU11" s="64"/>
      <c r="DVV11" s="64"/>
      <c r="DVW11" s="64"/>
      <c r="DVX11" s="64"/>
      <c r="DVY11" s="64"/>
      <c r="DVZ11" s="64"/>
      <c r="DWA11" s="64"/>
      <c r="DWB11" s="64"/>
      <c r="DWC11" s="64"/>
      <c r="DWD11" s="64"/>
      <c r="DWE11" s="64"/>
      <c r="DWF11" s="64"/>
      <c r="DWG11" s="64"/>
      <c r="DWH11" s="64"/>
      <c r="DWI11" s="64"/>
      <c r="DWJ11" s="64"/>
      <c r="DWK11" s="64"/>
      <c r="DWL11" s="64"/>
      <c r="DWM11" s="64"/>
      <c r="DWN11" s="64"/>
      <c r="DWO11" s="64"/>
      <c r="DWP11" s="64"/>
      <c r="DWQ11" s="64"/>
      <c r="DWR11" s="64"/>
      <c r="DWS11" s="64"/>
      <c r="DWT11" s="64"/>
      <c r="DWU11" s="64"/>
      <c r="DWV11" s="64"/>
      <c r="DWW11" s="64"/>
      <c r="DWX11" s="64"/>
      <c r="DWY11" s="64"/>
      <c r="DWZ11" s="64"/>
      <c r="DXA11" s="64"/>
      <c r="DXB11" s="64"/>
      <c r="DXC11" s="64"/>
      <c r="DXD11" s="64"/>
      <c r="DXE11" s="64"/>
      <c r="DXF11" s="64"/>
      <c r="DXG11" s="64"/>
      <c r="DXH11" s="64"/>
      <c r="DXI11" s="64"/>
      <c r="DXJ11" s="64"/>
      <c r="DXK11" s="64"/>
      <c r="DXL11" s="64"/>
      <c r="DXM11" s="64"/>
      <c r="DXN11" s="64"/>
      <c r="DXO11" s="64"/>
      <c r="DXP11" s="64"/>
      <c r="DXQ11" s="64"/>
      <c r="DXR11" s="64"/>
      <c r="DXS11" s="64"/>
      <c r="DXT11" s="64"/>
      <c r="DXU11" s="64"/>
      <c r="DXV11" s="64"/>
      <c r="DXW11" s="64"/>
      <c r="DXX11" s="64"/>
      <c r="DXY11" s="64"/>
      <c r="DXZ11" s="64"/>
      <c r="DYA11" s="64"/>
      <c r="DYB11" s="64"/>
      <c r="DYC11" s="64"/>
      <c r="DYD11" s="64"/>
      <c r="DYE11" s="64"/>
      <c r="DYF11" s="64"/>
      <c r="DYG11" s="64"/>
      <c r="DYH11" s="64"/>
      <c r="DYI11" s="64"/>
      <c r="DYJ11" s="64"/>
      <c r="DYK11" s="64"/>
      <c r="DYL11" s="64"/>
      <c r="DYM11" s="64"/>
      <c r="DYN11" s="64"/>
      <c r="DYO11" s="64"/>
      <c r="DYP11" s="64"/>
      <c r="DYQ11" s="64"/>
      <c r="DYR11" s="64"/>
      <c r="DYS11" s="64"/>
      <c r="DYT11" s="64"/>
      <c r="DYU11" s="64"/>
      <c r="DYV11" s="64"/>
      <c r="DYW11" s="64"/>
      <c r="DYX11" s="64"/>
      <c r="DYY11" s="64"/>
      <c r="DYZ11" s="64"/>
      <c r="DZA11" s="64"/>
      <c r="DZB11" s="64"/>
      <c r="DZC11" s="64"/>
      <c r="DZD11" s="64"/>
      <c r="DZE11" s="64"/>
      <c r="DZF11" s="64"/>
      <c r="DZG11" s="64"/>
      <c r="DZH11" s="64"/>
      <c r="DZI11" s="64"/>
      <c r="DZJ11" s="64"/>
      <c r="DZK11" s="64"/>
      <c r="DZL11" s="64"/>
      <c r="DZM11" s="64"/>
      <c r="DZN11" s="64"/>
      <c r="DZO11" s="64"/>
      <c r="DZP11" s="64"/>
      <c r="DZQ11" s="64"/>
      <c r="DZR11" s="64"/>
      <c r="DZS11" s="64"/>
      <c r="DZT11" s="64"/>
      <c r="DZU11" s="64"/>
      <c r="DZV11" s="64"/>
      <c r="DZW11" s="64"/>
      <c r="DZX11" s="64"/>
      <c r="DZY11" s="64"/>
      <c r="DZZ11" s="64"/>
      <c r="EAA11" s="64"/>
      <c r="EAB11" s="64"/>
      <c r="EAC11" s="64"/>
      <c r="EAD11" s="64"/>
      <c r="EAE11" s="64"/>
      <c r="EAF11" s="64"/>
      <c r="EAG11" s="64"/>
      <c r="EAH11" s="64"/>
      <c r="EAI11" s="64"/>
      <c r="EAJ11" s="64"/>
      <c r="EAK11" s="64"/>
      <c r="EAL11" s="64"/>
      <c r="EAM11" s="64"/>
      <c r="EAN11" s="64"/>
      <c r="EAO11" s="64"/>
      <c r="EAP11" s="64"/>
      <c r="EAQ11" s="64"/>
      <c r="EAR11" s="64"/>
      <c r="EAS11" s="64"/>
      <c r="EAT11" s="64"/>
      <c r="EAU11" s="64"/>
      <c r="EAV11" s="64"/>
      <c r="EAW11" s="64"/>
      <c r="EAX11" s="64"/>
      <c r="EAY11" s="64"/>
      <c r="EAZ11" s="64"/>
      <c r="EBA11" s="64"/>
      <c r="EBB11" s="64"/>
      <c r="EBC11" s="64"/>
      <c r="EBD11" s="64"/>
      <c r="EBE11" s="64"/>
      <c r="EBF11" s="64"/>
      <c r="EBG11" s="64"/>
      <c r="EBH11" s="64"/>
      <c r="EBI11" s="64"/>
      <c r="EBJ11" s="64"/>
      <c r="EBK11" s="64"/>
      <c r="EBL11" s="64"/>
      <c r="EBM11" s="64"/>
      <c r="EBN11" s="64"/>
      <c r="EBO11" s="64"/>
      <c r="EBP11" s="64"/>
      <c r="EBQ11" s="64"/>
      <c r="EBR11" s="64"/>
      <c r="EBS11" s="64"/>
      <c r="EBT11" s="64"/>
      <c r="EBU11" s="64"/>
      <c r="EBV11" s="64"/>
      <c r="EBW11" s="64"/>
      <c r="EBX11" s="64"/>
      <c r="EBY11" s="64"/>
      <c r="EBZ11" s="64"/>
      <c r="ECA11" s="64"/>
      <c r="ECB11" s="64"/>
      <c r="ECC11" s="64"/>
      <c r="ECD11" s="64"/>
      <c r="ECE11" s="64"/>
      <c r="ECF11" s="64"/>
      <c r="ECG11" s="64"/>
      <c r="ECH11" s="64"/>
      <c r="ECI11" s="64"/>
      <c r="ECJ11" s="64"/>
      <c r="ECK11" s="64"/>
      <c r="ECL11" s="64"/>
      <c r="ECM11" s="64"/>
      <c r="ECN11" s="64"/>
      <c r="ECO11" s="64"/>
      <c r="ECP11" s="64"/>
      <c r="ECQ11" s="64"/>
      <c r="ECR11" s="64"/>
      <c r="ECS11" s="64"/>
      <c r="ECT11" s="64"/>
      <c r="ECU11" s="64"/>
      <c r="ECV11" s="64"/>
      <c r="ECW11" s="64"/>
      <c r="ECX11" s="64"/>
      <c r="ECY11" s="64"/>
      <c r="ECZ11" s="64"/>
      <c r="EDA11" s="64"/>
      <c r="EDB11" s="64"/>
      <c r="EDC11" s="64"/>
      <c r="EDD11" s="64"/>
      <c r="EDE11" s="64"/>
      <c r="EDF11" s="64"/>
      <c r="EDG11" s="64"/>
      <c r="EDH11" s="64"/>
      <c r="EDI11" s="64"/>
      <c r="EDJ11" s="64"/>
      <c r="EDK11" s="64"/>
      <c r="EDL11" s="64"/>
      <c r="EDM11" s="64"/>
      <c r="EDN11" s="64"/>
      <c r="EDO11" s="64"/>
      <c r="EDP11" s="64"/>
      <c r="EDQ11" s="64"/>
      <c r="EDR11" s="64"/>
      <c r="EDS11" s="64"/>
      <c r="EDT11" s="64"/>
      <c r="EDU11" s="64"/>
      <c r="EDV11" s="64"/>
      <c r="EDW11" s="64"/>
      <c r="EDX11" s="64"/>
      <c r="EDY11" s="64"/>
      <c r="EDZ11" s="64"/>
      <c r="EEA11" s="64"/>
      <c r="EEB11" s="64"/>
      <c r="EEC11" s="64"/>
      <c r="EED11" s="64"/>
      <c r="EEE11" s="64"/>
      <c r="EEF11" s="64"/>
      <c r="EEG11" s="64"/>
      <c r="EEH11" s="64"/>
      <c r="EEI11" s="64"/>
      <c r="EEJ11" s="64"/>
      <c r="EEK11" s="64"/>
      <c r="EEL11" s="64"/>
      <c r="EEM11" s="64"/>
      <c r="EEN11" s="64"/>
      <c r="EEO11" s="64"/>
      <c r="EEP11" s="64"/>
      <c r="EEQ11" s="64"/>
      <c r="EER11" s="64"/>
      <c r="EES11" s="64"/>
      <c r="EET11" s="64"/>
      <c r="EEU11" s="64"/>
      <c r="EEV11" s="64"/>
      <c r="EEW11" s="64"/>
      <c r="EEX11" s="64"/>
      <c r="EEY11" s="64"/>
      <c r="EEZ11" s="64"/>
      <c r="EFA11" s="64"/>
      <c r="EFB11" s="64"/>
      <c r="EFC11" s="64"/>
      <c r="EFD11" s="64"/>
      <c r="EFE11" s="64"/>
      <c r="EFF11" s="64"/>
      <c r="EFG11" s="64"/>
      <c r="EFH11" s="64"/>
      <c r="EFI11" s="64"/>
      <c r="EFJ11" s="64"/>
      <c r="EFK11" s="64"/>
      <c r="EFL11" s="64"/>
      <c r="EFM11" s="64"/>
      <c r="EFN11" s="64"/>
      <c r="EFO11" s="64"/>
      <c r="EFP11" s="64"/>
      <c r="EFQ11" s="64"/>
      <c r="EFR11" s="64"/>
      <c r="EFS11" s="64"/>
      <c r="EFT11" s="64"/>
      <c r="EFU11" s="64"/>
      <c r="EFV11" s="64"/>
      <c r="EFW11" s="64"/>
      <c r="EFX11" s="64"/>
      <c r="EFY11" s="64"/>
      <c r="EFZ11" s="64"/>
      <c r="EGA11" s="64"/>
      <c r="EGB11" s="64"/>
      <c r="EGC11" s="64"/>
      <c r="EGD11" s="64"/>
      <c r="EGE11" s="64"/>
      <c r="EGF11" s="64"/>
      <c r="EGG11" s="64"/>
      <c r="EGH11" s="64"/>
      <c r="EGI11" s="64"/>
      <c r="EGJ11" s="64"/>
      <c r="EGK11" s="64"/>
      <c r="EGL11" s="64"/>
      <c r="EGM11" s="64"/>
      <c r="EGN11" s="64"/>
      <c r="EGO11" s="64"/>
      <c r="EGP11" s="64"/>
      <c r="EGQ11" s="64"/>
      <c r="EGR11" s="64"/>
      <c r="EGS11" s="64"/>
      <c r="EGT11" s="64"/>
      <c r="EGU11" s="64"/>
      <c r="EGV11" s="64"/>
      <c r="EGW11" s="64"/>
      <c r="EGX11" s="64"/>
      <c r="EGY11" s="64"/>
      <c r="EGZ11" s="64"/>
      <c r="EHA11" s="64"/>
      <c r="EHB11" s="64"/>
      <c r="EHC11" s="64"/>
      <c r="EHD11" s="64"/>
      <c r="EHE11" s="64"/>
      <c r="EHF11" s="64"/>
      <c r="EHG11" s="64"/>
      <c r="EHH11" s="64"/>
      <c r="EHI11" s="64"/>
      <c r="EHJ11" s="64"/>
      <c r="EHK11" s="64"/>
      <c r="EHL11" s="64"/>
      <c r="EHM11" s="64"/>
      <c r="EHN11" s="64"/>
      <c r="EHO11" s="64"/>
      <c r="EHP11" s="64"/>
      <c r="EHQ11" s="64"/>
      <c r="EHR11" s="64"/>
      <c r="EHS11" s="64"/>
      <c r="EHT11" s="64"/>
      <c r="EHU11" s="64"/>
      <c r="EHV11" s="64"/>
      <c r="EHW11" s="64"/>
      <c r="EHX11" s="64"/>
      <c r="EHY11" s="64"/>
      <c r="EHZ11" s="64"/>
      <c r="EIA11" s="64"/>
      <c r="EIB11" s="64"/>
      <c r="EIC11" s="64"/>
      <c r="EID11" s="64"/>
      <c r="EIE11" s="64"/>
      <c r="EIF11" s="64"/>
      <c r="EIG11" s="64"/>
      <c r="EIH11" s="64"/>
      <c r="EII11" s="64"/>
      <c r="EIJ11" s="64"/>
      <c r="EIK11" s="64"/>
      <c r="EIL11" s="64"/>
      <c r="EIM11" s="64"/>
      <c r="EIN11" s="64"/>
      <c r="EIO11" s="64"/>
      <c r="EIP11" s="64"/>
      <c r="EIQ11" s="64"/>
      <c r="EIR11" s="64"/>
      <c r="EIS11" s="64"/>
      <c r="EIT11" s="64"/>
      <c r="EIU11" s="64"/>
      <c r="EIV11" s="64"/>
      <c r="EIW11" s="64"/>
      <c r="EIX11" s="64"/>
      <c r="EIY11" s="64"/>
      <c r="EIZ11" s="64"/>
      <c r="EJA11" s="64"/>
      <c r="EJB11" s="64"/>
      <c r="EJC11" s="64"/>
      <c r="EJD11" s="64"/>
      <c r="EJE11" s="64"/>
      <c r="EJF11" s="64"/>
      <c r="EJG11" s="64"/>
      <c r="EJH11" s="64"/>
      <c r="EJI11" s="64"/>
      <c r="EJJ11" s="64"/>
      <c r="EJK11" s="64"/>
      <c r="EJL11" s="64"/>
      <c r="EJM11" s="64"/>
      <c r="EJN11" s="64"/>
      <c r="EJO11" s="64"/>
      <c r="EJP11" s="64"/>
      <c r="EJQ11" s="64"/>
      <c r="EJR11" s="64"/>
      <c r="EJS11" s="64"/>
      <c r="EJT11" s="64"/>
      <c r="EJU11" s="64"/>
      <c r="EJV11" s="64"/>
      <c r="EJW11" s="64"/>
      <c r="EJX11" s="64"/>
      <c r="EJY11" s="64"/>
      <c r="EJZ11" s="64"/>
      <c r="EKA11" s="64"/>
      <c r="EKB11" s="64"/>
      <c r="EKC11" s="64"/>
      <c r="EKD11" s="64"/>
      <c r="EKE11" s="64"/>
      <c r="EKF11" s="64"/>
      <c r="EKG11" s="64"/>
      <c r="EKH11" s="64"/>
      <c r="EKI11" s="64"/>
      <c r="EKJ11" s="64"/>
      <c r="EKK11" s="64"/>
      <c r="EKL11" s="64"/>
      <c r="EKM11" s="64"/>
      <c r="EKN11" s="64"/>
      <c r="EKO11" s="64"/>
      <c r="EKP11" s="64"/>
      <c r="EKQ11" s="64"/>
      <c r="EKR11" s="64"/>
      <c r="EKS11" s="64"/>
      <c r="EKT11" s="64"/>
      <c r="EKU11" s="64"/>
      <c r="EKV11" s="64"/>
      <c r="EKW11" s="64"/>
      <c r="EKX11" s="64"/>
      <c r="EKY11" s="64"/>
      <c r="EKZ11" s="64"/>
      <c r="ELA11" s="64"/>
      <c r="ELB11" s="64"/>
      <c r="ELC11" s="64"/>
      <c r="ELD11" s="64"/>
      <c r="ELE11" s="64"/>
      <c r="ELF11" s="64"/>
      <c r="ELG11" s="64"/>
      <c r="ELH11" s="64"/>
      <c r="ELI11" s="64"/>
      <c r="ELJ11" s="64"/>
      <c r="ELK11" s="64"/>
      <c r="ELL11" s="64"/>
      <c r="ELM11" s="64"/>
      <c r="ELN11" s="64"/>
      <c r="ELO11" s="64"/>
      <c r="ELP11" s="64"/>
      <c r="ELQ11" s="64"/>
      <c r="ELR11" s="64"/>
      <c r="ELS11" s="64"/>
      <c r="ELT11" s="64"/>
      <c r="ELU11" s="64"/>
      <c r="ELV11" s="64"/>
      <c r="ELW11" s="64"/>
      <c r="ELX11" s="64"/>
      <c r="ELY11" s="64"/>
      <c r="ELZ11" s="64"/>
      <c r="EMA11" s="64"/>
      <c r="EMB11" s="64"/>
      <c r="EMC11" s="64"/>
      <c r="EMD11" s="64"/>
      <c r="EME11" s="64"/>
      <c r="EMF11" s="64"/>
      <c r="EMG11" s="64"/>
      <c r="EMH11" s="64"/>
      <c r="EMI11" s="64"/>
      <c r="EMJ11" s="64"/>
      <c r="EMK11" s="64"/>
      <c r="EML11" s="64"/>
      <c r="EMM11" s="64"/>
      <c r="EMN11" s="64"/>
      <c r="EMO11" s="64"/>
      <c r="EMP11" s="64"/>
      <c r="EMQ11" s="64"/>
      <c r="EMR11" s="64"/>
      <c r="EMS11" s="64"/>
      <c r="EMT11" s="64"/>
      <c r="EMU11" s="64"/>
      <c r="EMV11" s="64"/>
      <c r="EMW11" s="64"/>
      <c r="EMX11" s="64"/>
      <c r="EMY11" s="64"/>
      <c r="EMZ11" s="64"/>
      <c r="ENA11" s="64"/>
      <c r="ENB11" s="64"/>
      <c r="ENC11" s="64"/>
      <c r="END11" s="64"/>
      <c r="ENE11" s="64"/>
      <c r="ENF11" s="64"/>
      <c r="ENG11" s="64"/>
      <c r="ENH11" s="64"/>
      <c r="ENI11" s="64"/>
      <c r="ENJ11" s="64"/>
      <c r="ENK11" s="64"/>
      <c r="ENL11" s="64"/>
      <c r="ENM11" s="64"/>
      <c r="ENN11" s="64"/>
      <c r="ENO11" s="64"/>
      <c r="ENP11" s="64"/>
      <c r="ENQ11" s="64"/>
      <c r="ENR11" s="64"/>
      <c r="ENS11" s="64"/>
      <c r="ENT11" s="64"/>
      <c r="ENU11" s="64"/>
      <c r="ENV11" s="64"/>
      <c r="ENW11" s="64"/>
      <c r="ENX11" s="64"/>
      <c r="ENY11" s="64"/>
      <c r="ENZ11" s="64"/>
      <c r="EOA11" s="64"/>
      <c r="EOB11" s="64"/>
      <c r="EOC11" s="64"/>
      <c r="EOD11" s="64"/>
      <c r="EOE11" s="64"/>
      <c r="EOF11" s="64"/>
      <c r="EOG11" s="64"/>
      <c r="EOH11" s="64"/>
      <c r="EOI11" s="64"/>
      <c r="EOJ11" s="64"/>
      <c r="EOK11" s="64"/>
      <c r="EOL11" s="64"/>
      <c r="EOM11" s="64"/>
      <c r="EON11" s="64"/>
      <c r="EOO11" s="64"/>
      <c r="EOP11" s="64"/>
      <c r="EOQ11" s="64"/>
      <c r="EOR11" s="64"/>
      <c r="EOS11" s="64"/>
      <c r="EOT11" s="64"/>
      <c r="EOU11" s="64"/>
      <c r="EOV11" s="64"/>
      <c r="EOW11" s="64"/>
      <c r="EOX11" s="64"/>
      <c r="EOY11" s="64"/>
      <c r="EOZ11" s="64"/>
      <c r="EPA11" s="64"/>
      <c r="EPB11" s="64"/>
      <c r="EPC11" s="64"/>
      <c r="EPD11" s="64"/>
      <c r="EPE11" s="64"/>
      <c r="EPF11" s="64"/>
      <c r="EPG11" s="64"/>
      <c r="EPH11" s="64"/>
      <c r="EPI11" s="64"/>
      <c r="EPJ11" s="64"/>
      <c r="EPK11" s="64"/>
      <c r="EPL11" s="64"/>
      <c r="EPM11" s="64"/>
      <c r="EPN11" s="64"/>
      <c r="EPO11" s="64"/>
      <c r="EPP11" s="64"/>
      <c r="EPQ11" s="64"/>
      <c r="EPR11" s="64"/>
      <c r="EPS11" s="64"/>
      <c r="EPT11" s="64"/>
      <c r="EPU11" s="64"/>
      <c r="EPV11" s="64"/>
      <c r="EPW11" s="64"/>
      <c r="EPX11" s="64"/>
      <c r="EPY11" s="64"/>
      <c r="EPZ11" s="64"/>
      <c r="EQA11" s="64"/>
      <c r="EQB11" s="64"/>
      <c r="EQC11" s="64"/>
      <c r="EQD11" s="64"/>
      <c r="EQE11" s="64"/>
      <c r="EQF11" s="64"/>
      <c r="EQG11" s="64"/>
      <c r="EQH11" s="64"/>
      <c r="EQI11" s="64"/>
      <c r="EQJ11" s="64"/>
      <c r="EQK11" s="64"/>
      <c r="EQL11" s="64"/>
      <c r="EQM11" s="64"/>
      <c r="EQN11" s="64"/>
      <c r="EQO11" s="64"/>
      <c r="EQP11" s="64"/>
      <c r="EQQ11" s="64"/>
      <c r="EQR11" s="64"/>
      <c r="EQS11" s="64"/>
      <c r="EQT11" s="64"/>
      <c r="EQU11" s="64"/>
      <c r="EQV11" s="64"/>
      <c r="EQW11" s="64"/>
      <c r="EQX11" s="64"/>
      <c r="EQY11" s="64"/>
      <c r="EQZ11" s="64"/>
      <c r="ERA11" s="64"/>
      <c r="ERB11" s="64"/>
      <c r="ERC11" s="64"/>
      <c r="ERD11" s="64"/>
      <c r="ERE11" s="64"/>
      <c r="ERF11" s="64"/>
      <c r="ERG11" s="64"/>
      <c r="ERH11" s="64"/>
      <c r="ERI11" s="64"/>
      <c r="ERJ11" s="64"/>
      <c r="ERK11" s="64"/>
      <c r="ERL11" s="64"/>
      <c r="ERM11" s="64"/>
      <c r="ERN11" s="64"/>
      <c r="ERO11" s="64"/>
      <c r="ERP11" s="64"/>
      <c r="ERQ11" s="64"/>
      <c r="ERR11" s="64"/>
      <c r="ERS11" s="64"/>
      <c r="ERT11" s="64"/>
      <c r="ERU11" s="64"/>
      <c r="ERV11" s="64"/>
      <c r="ERW11" s="64"/>
      <c r="ERX11" s="64"/>
      <c r="ERY11" s="64"/>
      <c r="ERZ11" s="64"/>
      <c r="ESA11" s="64"/>
      <c r="ESB11" s="64"/>
      <c r="ESC11" s="64"/>
      <c r="ESD11" s="64"/>
      <c r="ESE11" s="64"/>
      <c r="ESF11" s="64"/>
      <c r="ESG11" s="64"/>
      <c r="ESH11" s="64"/>
      <c r="ESI11" s="64"/>
      <c r="ESJ11" s="64"/>
      <c r="ESK11" s="64"/>
      <c r="ESL11" s="64"/>
      <c r="ESM11" s="64"/>
      <c r="ESN11" s="64"/>
      <c r="ESO11" s="64"/>
      <c r="ESP11" s="64"/>
      <c r="ESQ11" s="64"/>
      <c r="ESR11" s="64"/>
      <c r="ESS11" s="64"/>
      <c r="EST11" s="64"/>
      <c r="ESU11" s="64"/>
      <c r="ESV11" s="64"/>
      <c r="ESW11" s="64"/>
      <c r="ESX11" s="64"/>
      <c r="ESY11" s="64"/>
      <c r="ESZ11" s="64"/>
      <c r="ETA11" s="64"/>
      <c r="ETB11" s="64"/>
      <c r="ETC11" s="64"/>
      <c r="ETD11" s="64"/>
      <c r="ETE11" s="64"/>
      <c r="ETF11" s="64"/>
      <c r="ETG11" s="64"/>
      <c r="ETH11" s="64"/>
      <c r="ETI11" s="64"/>
      <c r="ETJ11" s="64"/>
      <c r="ETK11" s="64"/>
      <c r="ETL11" s="64"/>
      <c r="ETM11" s="64"/>
      <c r="ETN11" s="64"/>
      <c r="ETO11" s="64"/>
      <c r="ETP11" s="64"/>
      <c r="ETQ11" s="64"/>
      <c r="ETR11" s="64"/>
      <c r="ETS11" s="64"/>
      <c r="ETT11" s="64"/>
      <c r="ETU11" s="64"/>
      <c r="ETV11" s="64"/>
      <c r="ETW11" s="64"/>
      <c r="ETX11" s="64"/>
      <c r="ETY11" s="64"/>
      <c r="ETZ11" s="64"/>
      <c r="EUA11" s="64"/>
      <c r="EUB11" s="64"/>
      <c r="EUC11" s="64"/>
      <c r="EUD11" s="64"/>
      <c r="EUE11" s="64"/>
      <c r="EUF11" s="64"/>
      <c r="EUG11" s="64"/>
      <c r="EUH11" s="64"/>
      <c r="EUI11" s="64"/>
      <c r="EUJ11" s="64"/>
      <c r="EUK11" s="64"/>
      <c r="EUL11" s="64"/>
      <c r="EUM11" s="64"/>
      <c r="EUN11" s="64"/>
      <c r="EUO11" s="64"/>
      <c r="EUP11" s="64"/>
      <c r="EUQ11" s="64"/>
      <c r="EUR11" s="64"/>
      <c r="EUS11" s="64"/>
      <c r="EUT11" s="64"/>
      <c r="EUU11" s="64"/>
      <c r="EUV11" s="64"/>
      <c r="EUW11" s="64"/>
      <c r="EUX11" s="64"/>
      <c r="EUY11" s="64"/>
      <c r="EUZ11" s="64"/>
      <c r="EVA11" s="64"/>
      <c r="EVB11" s="64"/>
      <c r="EVC11" s="64"/>
      <c r="EVD11" s="64"/>
      <c r="EVE11" s="64"/>
      <c r="EVF11" s="64"/>
      <c r="EVG11" s="64"/>
      <c r="EVH11" s="64"/>
      <c r="EVI11" s="64"/>
      <c r="EVJ11" s="64"/>
      <c r="EVK11" s="64"/>
      <c r="EVL11" s="64"/>
      <c r="EVM11" s="64"/>
      <c r="EVN11" s="64"/>
      <c r="EVO11" s="64"/>
      <c r="EVP11" s="64"/>
      <c r="EVQ11" s="64"/>
      <c r="EVR11" s="64"/>
      <c r="EVS11" s="64"/>
      <c r="EVT11" s="64"/>
      <c r="EVU11" s="64"/>
      <c r="EVV11" s="64"/>
      <c r="EVW11" s="64"/>
      <c r="EVX11" s="64"/>
      <c r="EVY11" s="64"/>
      <c r="EVZ11" s="64"/>
      <c r="EWA11" s="64"/>
      <c r="EWB11" s="64"/>
      <c r="EWC11" s="64"/>
      <c r="EWD11" s="64"/>
      <c r="EWE11" s="64"/>
      <c r="EWF11" s="64"/>
      <c r="EWG11" s="64"/>
      <c r="EWH11" s="64"/>
      <c r="EWI11" s="64"/>
      <c r="EWJ11" s="64"/>
      <c r="EWK11" s="64"/>
      <c r="EWL11" s="64"/>
      <c r="EWM11" s="64"/>
      <c r="EWN11" s="64"/>
      <c r="EWO11" s="64"/>
      <c r="EWP11" s="64"/>
      <c r="EWQ11" s="64"/>
      <c r="EWR11" s="64"/>
      <c r="EWS11" s="64"/>
      <c r="EWT11" s="64"/>
      <c r="EWU11" s="64"/>
      <c r="EWV11" s="64"/>
      <c r="EWW11" s="64"/>
      <c r="EWX11" s="64"/>
      <c r="EWY11" s="64"/>
      <c r="EWZ11" s="64"/>
      <c r="EXA11" s="64"/>
      <c r="EXB11" s="64"/>
      <c r="EXC11" s="64"/>
      <c r="EXD11" s="64"/>
      <c r="EXE11" s="64"/>
      <c r="EXF11" s="64"/>
      <c r="EXG11" s="64"/>
      <c r="EXH11" s="64"/>
      <c r="EXI11" s="64"/>
      <c r="EXJ11" s="64"/>
      <c r="EXK11" s="64"/>
      <c r="EXL11" s="64"/>
      <c r="EXM11" s="64"/>
      <c r="EXN11" s="64"/>
      <c r="EXO11" s="64"/>
      <c r="EXP11" s="64"/>
      <c r="EXQ11" s="64"/>
      <c r="EXR11" s="64"/>
      <c r="EXS11" s="64"/>
      <c r="EXT11" s="64"/>
      <c r="EXU11" s="64"/>
      <c r="EXV11" s="64"/>
      <c r="EXW11" s="64"/>
      <c r="EXX11" s="64"/>
      <c r="EXY11" s="64"/>
      <c r="EXZ11" s="64"/>
      <c r="EYA11" s="64"/>
      <c r="EYB11" s="64"/>
      <c r="EYC11" s="64"/>
      <c r="EYD11" s="64"/>
      <c r="EYE11" s="64"/>
      <c r="EYF11" s="64"/>
      <c r="EYG11" s="64"/>
      <c r="EYH11" s="64"/>
      <c r="EYI11" s="64"/>
      <c r="EYJ11" s="64"/>
      <c r="EYK11" s="64"/>
      <c r="EYL11" s="64"/>
      <c r="EYM11" s="64"/>
      <c r="EYN11" s="64"/>
      <c r="EYO11" s="64"/>
      <c r="EYP11" s="64"/>
      <c r="EYQ11" s="64"/>
      <c r="EYR11" s="64"/>
      <c r="EYS11" s="64"/>
      <c r="EYT11" s="64"/>
      <c r="EYU11" s="64"/>
      <c r="EYV11" s="64"/>
      <c r="EYW11" s="64"/>
      <c r="EYX11" s="64"/>
      <c r="EYY11" s="64"/>
      <c r="EYZ11" s="64"/>
      <c r="EZA11" s="64"/>
      <c r="EZB11" s="64"/>
      <c r="EZC11" s="64"/>
      <c r="EZD11" s="64"/>
      <c r="EZE11" s="64"/>
      <c r="EZF11" s="64"/>
      <c r="EZG11" s="64"/>
      <c r="EZH11" s="64"/>
      <c r="EZI11" s="64"/>
      <c r="EZJ11" s="64"/>
      <c r="EZK11" s="64"/>
      <c r="EZL11" s="64"/>
      <c r="EZM11" s="64"/>
      <c r="EZN11" s="64"/>
      <c r="EZO11" s="64"/>
      <c r="EZP11" s="64"/>
      <c r="EZQ11" s="64"/>
      <c r="EZR11" s="64"/>
      <c r="EZS11" s="64"/>
      <c r="EZT11" s="64"/>
      <c r="EZU11" s="64"/>
      <c r="EZV11" s="64"/>
      <c r="EZW11" s="64"/>
      <c r="EZX11" s="64"/>
      <c r="EZY11" s="64"/>
      <c r="EZZ11" s="64"/>
      <c r="FAA11" s="64"/>
      <c r="FAB11" s="64"/>
      <c r="FAC11" s="64"/>
      <c r="FAD11" s="64"/>
      <c r="FAE11" s="64"/>
      <c r="FAF11" s="64"/>
      <c r="FAG11" s="64"/>
      <c r="FAH11" s="64"/>
      <c r="FAI11" s="64"/>
      <c r="FAJ11" s="64"/>
      <c r="FAK11" s="64"/>
      <c r="FAL11" s="64"/>
      <c r="FAM11" s="64"/>
      <c r="FAN11" s="64"/>
      <c r="FAO11" s="64"/>
      <c r="FAP11" s="64"/>
      <c r="FAQ11" s="64"/>
      <c r="FAR11" s="64"/>
      <c r="FAS11" s="64"/>
      <c r="FAT11" s="64"/>
      <c r="FAU11" s="64"/>
      <c r="FAV11" s="64"/>
      <c r="FAW11" s="64"/>
      <c r="FAX11" s="64"/>
      <c r="FAY11" s="64"/>
      <c r="FAZ11" s="64"/>
      <c r="FBA11" s="64"/>
      <c r="FBB11" s="64"/>
      <c r="FBC11" s="64"/>
      <c r="FBD11" s="64"/>
      <c r="FBE11" s="64"/>
      <c r="FBF11" s="64"/>
      <c r="FBG11" s="64"/>
      <c r="FBH11" s="64"/>
      <c r="FBI11" s="64"/>
      <c r="FBJ11" s="64"/>
      <c r="FBK11" s="64"/>
      <c r="FBL11" s="64"/>
      <c r="FBM11" s="64"/>
      <c r="FBN11" s="64"/>
      <c r="FBO11" s="64"/>
      <c r="FBP11" s="64"/>
      <c r="FBQ11" s="64"/>
      <c r="FBR11" s="64"/>
      <c r="FBS11" s="64"/>
      <c r="FBT11" s="64"/>
      <c r="FBU11" s="64"/>
      <c r="FBV11" s="64"/>
      <c r="FBW11" s="64"/>
      <c r="FBX11" s="64"/>
      <c r="FBY11" s="64"/>
      <c r="FBZ11" s="64"/>
      <c r="FCA11" s="64"/>
      <c r="FCB11" s="64"/>
      <c r="FCC11" s="64"/>
      <c r="FCD11" s="64"/>
      <c r="FCE11" s="64"/>
      <c r="FCF11" s="64"/>
      <c r="FCG11" s="64"/>
      <c r="FCH11" s="64"/>
      <c r="FCI11" s="64"/>
      <c r="FCJ11" s="64"/>
      <c r="FCK11" s="64"/>
      <c r="FCL11" s="64"/>
      <c r="FCM11" s="64"/>
      <c r="FCN11" s="64"/>
      <c r="FCO11" s="64"/>
      <c r="FCP11" s="64"/>
      <c r="FCQ11" s="64"/>
      <c r="FCR11" s="64"/>
      <c r="FCS11" s="64"/>
      <c r="FCT11" s="64"/>
      <c r="FCU11" s="64"/>
      <c r="FCV11" s="64"/>
      <c r="FCW11" s="64"/>
      <c r="FCX11" s="64"/>
      <c r="FCY11" s="64"/>
      <c r="FCZ11" s="64"/>
      <c r="FDA11" s="64"/>
      <c r="FDB11" s="64"/>
      <c r="FDC11" s="64"/>
      <c r="FDD11" s="64"/>
      <c r="FDE11" s="64"/>
      <c r="FDF11" s="64"/>
      <c r="FDG11" s="64"/>
      <c r="FDH11" s="64"/>
      <c r="FDI11" s="64"/>
      <c r="FDJ11" s="64"/>
      <c r="FDK11" s="64"/>
      <c r="FDL11" s="64"/>
      <c r="FDM11" s="64"/>
      <c r="FDN11" s="64"/>
      <c r="FDO11" s="64"/>
      <c r="FDP11" s="64"/>
      <c r="FDQ11" s="64"/>
      <c r="FDR11" s="64"/>
      <c r="FDS11" s="64"/>
      <c r="FDT11" s="64"/>
      <c r="FDU11" s="64"/>
      <c r="FDV11" s="64"/>
      <c r="FDW11" s="64"/>
      <c r="FDX11" s="64"/>
      <c r="FDY11" s="64"/>
      <c r="FDZ11" s="64"/>
      <c r="FEA11" s="64"/>
      <c r="FEB11" s="64"/>
      <c r="FEC11" s="64"/>
      <c r="FED11" s="64"/>
      <c r="FEE11" s="64"/>
      <c r="FEF11" s="64"/>
      <c r="FEG11" s="64"/>
      <c r="FEH11" s="64"/>
      <c r="FEI11" s="64"/>
      <c r="FEJ11" s="64"/>
      <c r="FEK11" s="64"/>
      <c r="FEL11" s="64"/>
      <c r="FEM11" s="64"/>
      <c r="FEN11" s="64"/>
      <c r="FEO11" s="64"/>
      <c r="FEP11" s="64"/>
      <c r="FEQ11" s="64"/>
      <c r="FER11" s="64"/>
      <c r="FES11" s="64"/>
      <c r="FET11" s="64"/>
      <c r="FEU11" s="64"/>
      <c r="FEV11" s="64"/>
      <c r="FEW11" s="64"/>
      <c r="FEX11" s="64"/>
      <c r="FEY11" s="64"/>
      <c r="FEZ11" s="64"/>
      <c r="FFA11" s="64"/>
      <c r="FFB11" s="64"/>
      <c r="FFC11" s="64"/>
      <c r="FFD11" s="64"/>
      <c r="FFE11" s="64"/>
      <c r="FFF11" s="64"/>
      <c r="FFG11" s="64"/>
      <c r="FFH11" s="64"/>
      <c r="FFI11" s="64"/>
      <c r="FFJ11" s="64"/>
      <c r="FFK11" s="64"/>
      <c r="FFL11" s="64"/>
      <c r="FFM11" s="64"/>
      <c r="FFN11" s="64"/>
      <c r="FFO11" s="64"/>
      <c r="FFP11" s="64"/>
      <c r="FFQ11" s="64"/>
      <c r="FFR11" s="64"/>
      <c r="FFS11" s="64"/>
      <c r="FFT11" s="64"/>
      <c r="FFU11" s="64"/>
      <c r="FFV11" s="64"/>
      <c r="FFW11" s="64"/>
      <c r="FFX11" s="64"/>
      <c r="FFY11" s="64"/>
      <c r="FFZ11" s="64"/>
      <c r="FGA11" s="64"/>
      <c r="FGB11" s="64"/>
      <c r="FGC11" s="64"/>
      <c r="FGD11" s="64"/>
      <c r="FGE11" s="64"/>
      <c r="FGF11" s="64"/>
      <c r="FGG11" s="64"/>
      <c r="FGH11" s="64"/>
      <c r="FGI11" s="64"/>
      <c r="FGJ11" s="64"/>
      <c r="FGK11" s="64"/>
      <c r="FGL11" s="64"/>
      <c r="FGM11" s="64"/>
      <c r="FGN11" s="64"/>
      <c r="FGO11" s="64"/>
      <c r="FGP11" s="64"/>
      <c r="FGQ11" s="64"/>
      <c r="FGR11" s="64"/>
      <c r="FGS11" s="64"/>
      <c r="FGT11" s="64"/>
      <c r="FGU11" s="64"/>
      <c r="FGV11" s="64"/>
      <c r="FGW11" s="64"/>
      <c r="FGX11" s="64"/>
      <c r="FGY11" s="64"/>
      <c r="FGZ11" s="64"/>
      <c r="FHA11" s="64"/>
      <c r="FHB11" s="64"/>
      <c r="FHC11" s="64"/>
      <c r="FHD11" s="64"/>
      <c r="FHE11" s="64"/>
      <c r="FHF11" s="64"/>
      <c r="FHG11" s="64"/>
      <c r="FHH11" s="64"/>
      <c r="FHI11" s="64"/>
      <c r="FHJ11" s="64"/>
      <c r="FHK11" s="64"/>
      <c r="FHL11" s="64"/>
      <c r="FHM11" s="64"/>
      <c r="FHN11" s="64"/>
      <c r="FHO11" s="64"/>
      <c r="FHP11" s="64"/>
      <c r="FHQ11" s="64"/>
      <c r="FHR11" s="64"/>
      <c r="FHS11" s="64"/>
      <c r="FHT11" s="64"/>
      <c r="FHU11" s="64"/>
      <c r="FHV11" s="64"/>
      <c r="FHW11" s="64"/>
      <c r="FHX11" s="64"/>
      <c r="FHY11" s="64"/>
      <c r="FHZ11" s="64"/>
      <c r="FIA11" s="64"/>
      <c r="FIB11" s="64"/>
      <c r="FIC11" s="64"/>
      <c r="FID11" s="64"/>
      <c r="FIE11" s="64"/>
      <c r="FIF11" s="64"/>
      <c r="FIG11" s="64"/>
      <c r="FIH11" s="64"/>
      <c r="FII11" s="64"/>
      <c r="FIJ11" s="64"/>
      <c r="FIK11" s="64"/>
      <c r="FIL11" s="64"/>
      <c r="FIM11" s="64"/>
      <c r="FIN11" s="64"/>
      <c r="FIO11" s="64"/>
      <c r="FIP11" s="64"/>
      <c r="FIQ11" s="64"/>
      <c r="FIR11" s="64"/>
      <c r="FIS11" s="64"/>
      <c r="FIT11" s="64"/>
      <c r="FIU11" s="64"/>
      <c r="FIV11" s="64"/>
      <c r="FIW11" s="64"/>
      <c r="FIX11" s="64"/>
      <c r="FIY11" s="64"/>
      <c r="FIZ11" s="64"/>
      <c r="FJA11" s="64"/>
      <c r="FJB11" s="64"/>
      <c r="FJC11" s="64"/>
      <c r="FJD11" s="64"/>
      <c r="FJE11" s="64"/>
      <c r="FJF11" s="64"/>
      <c r="FJG11" s="64"/>
      <c r="FJH11" s="64"/>
      <c r="FJI11" s="64"/>
      <c r="FJJ11" s="64"/>
      <c r="FJK11" s="64"/>
      <c r="FJL11" s="64"/>
      <c r="FJM11" s="64"/>
      <c r="FJN11" s="64"/>
      <c r="FJO11" s="64"/>
      <c r="FJP11" s="64"/>
      <c r="FJQ11" s="64"/>
      <c r="FJR11" s="64"/>
      <c r="FJS11" s="64"/>
      <c r="FJT11" s="64"/>
      <c r="FJU11" s="64"/>
      <c r="FJV11" s="64"/>
      <c r="FJW11" s="64"/>
      <c r="FJX11" s="64"/>
      <c r="FJY11" s="64"/>
      <c r="FJZ11" s="64"/>
      <c r="FKA11" s="64"/>
      <c r="FKB11" s="64"/>
      <c r="FKC11" s="64"/>
      <c r="FKD11" s="64"/>
      <c r="FKE11" s="64"/>
      <c r="FKF11" s="64"/>
      <c r="FKG11" s="64"/>
      <c r="FKH11" s="64"/>
      <c r="FKI11" s="64"/>
      <c r="FKJ11" s="64"/>
      <c r="FKK11" s="64"/>
      <c r="FKL11" s="64"/>
      <c r="FKM11" s="64"/>
      <c r="FKN11" s="64"/>
      <c r="FKO11" s="64"/>
      <c r="FKP11" s="64"/>
      <c r="FKQ11" s="64"/>
      <c r="FKR11" s="64"/>
      <c r="FKS11" s="64"/>
      <c r="FKT11" s="64"/>
      <c r="FKU11" s="64"/>
      <c r="FKV11" s="64"/>
      <c r="FKW11" s="64"/>
      <c r="FKX11" s="64"/>
      <c r="FKY11" s="64"/>
      <c r="FKZ11" s="64"/>
      <c r="FLA11" s="64"/>
      <c r="FLB11" s="64"/>
      <c r="FLC11" s="64"/>
      <c r="FLD11" s="64"/>
      <c r="FLE11" s="64"/>
      <c r="FLF11" s="64"/>
      <c r="FLG11" s="64"/>
      <c r="FLH11" s="64"/>
      <c r="FLI11" s="64"/>
      <c r="FLJ11" s="64"/>
      <c r="FLK11" s="64"/>
      <c r="FLL11" s="64"/>
      <c r="FLM11" s="64"/>
      <c r="FLN11" s="64"/>
      <c r="FLO11" s="64"/>
      <c r="FLP11" s="64"/>
      <c r="FLQ11" s="64"/>
      <c r="FLR11" s="64"/>
      <c r="FLS11" s="64"/>
      <c r="FLT11" s="64"/>
      <c r="FLU11" s="64"/>
      <c r="FLV11" s="64"/>
      <c r="FLW11" s="64"/>
      <c r="FLX11" s="64"/>
      <c r="FLY11" s="64"/>
      <c r="FLZ11" s="64"/>
      <c r="FMA11" s="64"/>
      <c r="FMB11" s="64"/>
      <c r="FMC11" s="64"/>
      <c r="FMD11" s="64"/>
      <c r="FME11" s="64"/>
      <c r="FMF11" s="64"/>
      <c r="FMG11" s="64"/>
      <c r="FMH11" s="64"/>
      <c r="FMI11" s="64"/>
      <c r="FMJ11" s="64"/>
      <c r="FMK11" s="64"/>
      <c r="FML11" s="64"/>
      <c r="FMM11" s="64"/>
      <c r="FMN11" s="64"/>
      <c r="FMO11" s="64"/>
      <c r="FMP11" s="64"/>
      <c r="FMQ11" s="64"/>
      <c r="FMR11" s="64"/>
      <c r="FMS11" s="64"/>
      <c r="FMT11" s="64"/>
      <c r="FMU11" s="64"/>
      <c r="FMV11" s="64"/>
      <c r="FMW11" s="64"/>
      <c r="FMX11" s="64"/>
      <c r="FMY11" s="64"/>
      <c r="FMZ11" s="64"/>
      <c r="FNA11" s="64"/>
      <c r="FNB11" s="64"/>
      <c r="FNC11" s="64"/>
      <c r="FND11" s="64"/>
      <c r="FNE11" s="64"/>
      <c r="FNF11" s="64"/>
      <c r="FNG11" s="64"/>
      <c r="FNH11" s="64"/>
      <c r="FNI11" s="64"/>
      <c r="FNJ11" s="64"/>
      <c r="FNK11" s="64"/>
      <c r="FNL11" s="64"/>
      <c r="FNM11" s="64"/>
      <c r="FNN11" s="64"/>
      <c r="FNO11" s="64"/>
      <c r="FNP11" s="64"/>
      <c r="FNQ11" s="64"/>
      <c r="FNR11" s="64"/>
      <c r="FNS11" s="64"/>
      <c r="FNT11" s="64"/>
      <c r="FNU11" s="64"/>
      <c r="FNV11" s="64"/>
      <c r="FNW11" s="64"/>
      <c r="FNX11" s="64"/>
      <c r="FNY11" s="64"/>
      <c r="FNZ11" s="64"/>
      <c r="FOA11" s="64"/>
      <c r="FOB11" s="64"/>
      <c r="FOC11" s="64"/>
      <c r="FOD11" s="64"/>
      <c r="FOE11" s="64"/>
      <c r="FOF11" s="64"/>
      <c r="FOG11" s="64"/>
      <c r="FOH11" s="64"/>
      <c r="FOI11" s="64"/>
      <c r="FOJ11" s="64"/>
      <c r="FOK11" s="64"/>
      <c r="FOL11" s="64"/>
      <c r="FOM11" s="64"/>
      <c r="FON11" s="64"/>
      <c r="FOO11" s="64"/>
      <c r="FOP11" s="64"/>
      <c r="FOQ11" s="64"/>
      <c r="FOR11" s="64"/>
      <c r="FOS11" s="64"/>
      <c r="FOT11" s="64"/>
      <c r="FOU11" s="64"/>
      <c r="FOV11" s="64"/>
      <c r="FOW11" s="64"/>
      <c r="FOX11" s="64"/>
      <c r="FOY11" s="64"/>
      <c r="FOZ11" s="64"/>
      <c r="FPA11" s="64"/>
      <c r="FPB11" s="64"/>
      <c r="FPC11" s="64"/>
      <c r="FPD11" s="64"/>
      <c r="FPE11" s="64"/>
      <c r="FPF11" s="64"/>
      <c r="FPG11" s="64"/>
      <c r="FPH11" s="64"/>
      <c r="FPI11" s="64"/>
      <c r="FPJ11" s="64"/>
      <c r="FPK11" s="64"/>
      <c r="FPL11" s="64"/>
      <c r="FPM11" s="64"/>
      <c r="FPN11" s="64"/>
      <c r="FPO11" s="64"/>
      <c r="FPP11" s="64"/>
      <c r="FPQ11" s="64"/>
      <c r="FPR11" s="64"/>
      <c r="FPS11" s="64"/>
      <c r="FPT11" s="64"/>
      <c r="FPU11" s="64"/>
      <c r="FPV11" s="64"/>
      <c r="FPW11" s="64"/>
      <c r="FPX11" s="64"/>
      <c r="FPY11" s="64"/>
      <c r="FPZ11" s="64"/>
      <c r="FQA11" s="64"/>
      <c r="FQB11" s="64"/>
      <c r="FQC11" s="64"/>
      <c r="FQD11" s="64"/>
      <c r="FQE11" s="64"/>
      <c r="FQF11" s="64"/>
      <c r="FQG11" s="64"/>
      <c r="FQH11" s="64"/>
      <c r="FQI11" s="64"/>
      <c r="FQJ11" s="64"/>
      <c r="FQK11" s="64"/>
      <c r="FQL11" s="64"/>
      <c r="FQM11" s="64"/>
      <c r="FQN11" s="64"/>
      <c r="FQO11" s="64"/>
      <c r="FQP11" s="64"/>
      <c r="FQQ11" s="64"/>
      <c r="FQR11" s="64"/>
      <c r="FQS11" s="64"/>
      <c r="FQT11" s="64"/>
      <c r="FQU11" s="64"/>
      <c r="FQV11" s="64"/>
      <c r="FQW11" s="64"/>
      <c r="FQX11" s="64"/>
      <c r="FQY11" s="64"/>
      <c r="FQZ11" s="64"/>
      <c r="FRA11" s="64"/>
      <c r="FRB11" s="64"/>
      <c r="FRC11" s="64"/>
      <c r="FRD11" s="64"/>
      <c r="FRE11" s="64"/>
      <c r="FRF11" s="64"/>
      <c r="FRG11" s="64"/>
      <c r="FRH11" s="64"/>
      <c r="FRI11" s="64"/>
      <c r="FRJ11" s="64"/>
      <c r="FRK11" s="64"/>
      <c r="FRL11" s="64"/>
      <c r="FRM11" s="64"/>
      <c r="FRN11" s="64"/>
      <c r="FRO11" s="64"/>
      <c r="FRP11" s="64"/>
      <c r="FRQ11" s="64"/>
      <c r="FRR11" s="64"/>
      <c r="FRS11" s="64"/>
      <c r="FRT11" s="64"/>
      <c r="FRU11" s="64"/>
      <c r="FRV11" s="64"/>
      <c r="FRW11" s="64"/>
      <c r="FRX11" s="64"/>
      <c r="FRY11" s="64"/>
      <c r="FRZ11" s="64"/>
      <c r="FSA11" s="64"/>
      <c r="FSB11" s="64"/>
      <c r="FSC11" s="64"/>
      <c r="FSD11" s="64"/>
      <c r="FSE11" s="64"/>
      <c r="FSF11" s="64"/>
      <c r="FSG11" s="64"/>
      <c r="FSH11" s="64"/>
      <c r="FSI11" s="64"/>
      <c r="FSJ11" s="64"/>
      <c r="FSK11" s="64"/>
      <c r="FSL11" s="64"/>
      <c r="FSM11" s="64"/>
      <c r="FSN11" s="64"/>
      <c r="FSO11" s="64"/>
      <c r="FSP11" s="64"/>
      <c r="FSQ11" s="64"/>
      <c r="FSR11" s="64"/>
      <c r="FSS11" s="64"/>
      <c r="FST11" s="64"/>
      <c r="FSU11" s="64"/>
      <c r="FSV11" s="64"/>
      <c r="FSW11" s="64"/>
      <c r="FSX11" s="64"/>
      <c r="FSY11" s="64"/>
      <c r="FSZ11" s="64"/>
      <c r="FTA11" s="64"/>
      <c r="FTB11" s="64"/>
      <c r="FTC11" s="64"/>
      <c r="FTD11" s="64"/>
      <c r="FTE11" s="64"/>
      <c r="FTF11" s="64"/>
      <c r="FTG11" s="64"/>
      <c r="FTH11" s="64"/>
      <c r="FTI11" s="64"/>
      <c r="FTJ11" s="64"/>
      <c r="FTK11" s="64"/>
      <c r="FTL11" s="64"/>
      <c r="FTM11" s="64"/>
      <c r="FTN11" s="64"/>
      <c r="FTO11" s="64"/>
      <c r="FTP11" s="64"/>
      <c r="FTQ11" s="64"/>
      <c r="FTR11" s="64"/>
      <c r="FTS11" s="64"/>
      <c r="FTT11" s="64"/>
      <c r="FTU11" s="64"/>
      <c r="FTV11" s="64"/>
      <c r="FTW11" s="64"/>
      <c r="FTX11" s="64"/>
      <c r="FTY11" s="64"/>
      <c r="FTZ11" s="64"/>
      <c r="FUA11" s="64"/>
      <c r="FUB11" s="64"/>
      <c r="FUC11" s="64"/>
      <c r="FUD11" s="64"/>
      <c r="FUE11" s="64"/>
      <c r="FUF11" s="64"/>
      <c r="FUG11" s="64"/>
      <c r="FUH11" s="64"/>
      <c r="FUI11" s="64"/>
      <c r="FUJ11" s="64"/>
      <c r="FUK11" s="64"/>
      <c r="FUL11" s="64"/>
      <c r="FUM11" s="64"/>
      <c r="FUN11" s="64"/>
      <c r="FUO11" s="64"/>
      <c r="FUP11" s="64"/>
      <c r="FUQ11" s="64"/>
      <c r="FUR11" s="64"/>
      <c r="FUS11" s="64"/>
      <c r="FUT11" s="64"/>
      <c r="FUU11" s="64"/>
      <c r="FUV11" s="64"/>
      <c r="FUW11" s="64"/>
      <c r="FUX11" s="64"/>
      <c r="FUY11" s="64"/>
      <c r="FUZ11" s="64"/>
      <c r="FVA11" s="64"/>
      <c r="FVB11" s="64"/>
      <c r="FVC11" s="64"/>
      <c r="FVD11" s="64"/>
      <c r="FVE11" s="64"/>
      <c r="FVF11" s="64"/>
      <c r="FVG11" s="64"/>
      <c r="FVH11" s="64"/>
      <c r="FVI11" s="64"/>
      <c r="FVJ11" s="64"/>
      <c r="FVK11" s="64"/>
      <c r="FVL11" s="64"/>
      <c r="FVM11" s="64"/>
      <c r="FVN11" s="64"/>
      <c r="FVO11" s="64"/>
      <c r="FVP11" s="64"/>
      <c r="FVQ11" s="64"/>
      <c r="FVR11" s="64"/>
      <c r="FVS11" s="64"/>
      <c r="FVT11" s="64"/>
      <c r="FVU11" s="64"/>
      <c r="FVV11" s="64"/>
      <c r="FVW11" s="64"/>
      <c r="FVX11" s="64"/>
      <c r="FVY11" s="64"/>
      <c r="FVZ11" s="64"/>
      <c r="FWA11" s="64"/>
      <c r="FWB11" s="64"/>
      <c r="FWC11" s="64"/>
      <c r="FWD11" s="64"/>
      <c r="FWE11" s="64"/>
      <c r="FWF11" s="64"/>
      <c r="FWG11" s="64"/>
      <c r="FWH11" s="64"/>
      <c r="FWI11" s="64"/>
      <c r="FWJ11" s="64"/>
      <c r="FWK11" s="64"/>
      <c r="FWL11" s="64"/>
      <c r="FWM11" s="64"/>
      <c r="FWN11" s="64"/>
      <c r="FWO11" s="64"/>
      <c r="FWP11" s="64"/>
      <c r="FWQ11" s="64"/>
      <c r="FWR11" s="64"/>
      <c r="FWS11" s="64"/>
      <c r="FWT11" s="64"/>
      <c r="FWU11" s="64"/>
      <c r="FWV11" s="64"/>
      <c r="FWW11" s="64"/>
      <c r="FWX11" s="64"/>
      <c r="FWY11" s="64"/>
      <c r="FWZ11" s="64"/>
      <c r="FXA11" s="64"/>
      <c r="FXB11" s="64"/>
      <c r="FXC11" s="64"/>
      <c r="FXD11" s="64"/>
      <c r="FXE11" s="64"/>
      <c r="FXF11" s="64"/>
      <c r="FXG11" s="64"/>
      <c r="FXH11" s="64"/>
      <c r="FXI11" s="64"/>
      <c r="FXJ11" s="64"/>
      <c r="FXK11" s="64"/>
      <c r="FXL11" s="64"/>
      <c r="FXM11" s="64"/>
      <c r="FXN11" s="64"/>
      <c r="FXO11" s="64"/>
      <c r="FXP11" s="64"/>
      <c r="FXQ11" s="64"/>
      <c r="FXR11" s="64"/>
      <c r="FXS11" s="64"/>
      <c r="FXT11" s="64"/>
      <c r="FXU11" s="64"/>
      <c r="FXV11" s="64"/>
      <c r="FXW11" s="64"/>
      <c r="FXX11" s="64"/>
      <c r="FXY11" s="64"/>
      <c r="FXZ11" s="64"/>
      <c r="FYA11" s="64"/>
      <c r="FYB11" s="64"/>
      <c r="FYC11" s="64"/>
      <c r="FYD11" s="64"/>
      <c r="FYE11" s="64"/>
      <c r="FYF11" s="64"/>
      <c r="FYG11" s="64"/>
      <c r="FYH11" s="64"/>
      <c r="FYI11" s="64"/>
      <c r="FYJ11" s="64"/>
      <c r="FYK11" s="64"/>
      <c r="FYL11" s="64"/>
      <c r="FYM11" s="64"/>
      <c r="FYN11" s="64"/>
      <c r="FYO11" s="64"/>
      <c r="FYP11" s="64"/>
      <c r="FYQ11" s="64"/>
      <c r="FYR11" s="64"/>
      <c r="FYS11" s="64"/>
      <c r="FYT11" s="64"/>
      <c r="FYU11" s="64"/>
      <c r="FYV11" s="64"/>
      <c r="FYW11" s="64"/>
      <c r="FYX11" s="64"/>
      <c r="FYY11" s="64"/>
      <c r="FYZ11" s="64"/>
      <c r="FZA11" s="64"/>
      <c r="FZB11" s="64"/>
      <c r="FZC11" s="64"/>
      <c r="FZD11" s="64"/>
      <c r="FZE11" s="64"/>
      <c r="FZF11" s="64"/>
      <c r="FZG11" s="64"/>
      <c r="FZH11" s="64"/>
      <c r="FZI11" s="64"/>
      <c r="FZJ11" s="64"/>
      <c r="FZK11" s="64"/>
      <c r="FZL11" s="64"/>
      <c r="FZM11" s="64"/>
      <c r="FZN11" s="64"/>
      <c r="FZO11" s="64"/>
      <c r="FZP11" s="64"/>
      <c r="FZQ11" s="64"/>
      <c r="FZR11" s="64"/>
      <c r="FZS11" s="64"/>
      <c r="FZT11" s="64"/>
      <c r="FZU11" s="64"/>
      <c r="FZV11" s="64"/>
      <c r="FZW11" s="64"/>
      <c r="FZX11" s="64"/>
      <c r="FZY11" s="64"/>
      <c r="FZZ11" s="64"/>
      <c r="GAA11" s="64"/>
      <c r="GAB11" s="64"/>
      <c r="GAC11" s="64"/>
      <c r="GAD11" s="64"/>
      <c r="GAE11" s="64"/>
      <c r="GAF11" s="64"/>
      <c r="GAG11" s="64"/>
      <c r="GAH11" s="64"/>
      <c r="GAI11" s="64"/>
      <c r="GAJ11" s="64"/>
      <c r="GAK11" s="64"/>
      <c r="GAL11" s="64"/>
      <c r="GAM11" s="64"/>
      <c r="GAN11" s="64"/>
      <c r="GAO11" s="64"/>
      <c r="GAP11" s="64"/>
      <c r="GAQ11" s="64"/>
      <c r="GAR11" s="64"/>
      <c r="GAS11" s="64"/>
      <c r="GAT11" s="64"/>
      <c r="GAU11" s="64"/>
      <c r="GAV11" s="64"/>
      <c r="GAW11" s="64"/>
      <c r="GAX11" s="64"/>
      <c r="GAY11" s="64"/>
      <c r="GAZ11" s="64"/>
      <c r="GBA11" s="64"/>
      <c r="GBB11" s="64"/>
      <c r="GBC11" s="64"/>
      <c r="GBD11" s="64"/>
      <c r="GBE11" s="64"/>
      <c r="GBF11" s="64"/>
      <c r="GBG11" s="64"/>
      <c r="GBH11" s="64"/>
      <c r="GBI11" s="64"/>
      <c r="GBJ11" s="64"/>
      <c r="GBK11" s="64"/>
      <c r="GBL11" s="64"/>
      <c r="GBM11" s="64"/>
      <c r="GBN11" s="64"/>
      <c r="GBO11" s="64"/>
      <c r="GBP11" s="64"/>
      <c r="GBQ11" s="64"/>
      <c r="GBR11" s="64"/>
      <c r="GBS11" s="64"/>
      <c r="GBT11" s="64"/>
      <c r="GBU11" s="64"/>
      <c r="GBV11" s="64"/>
      <c r="GBW11" s="64"/>
      <c r="GBX11" s="64"/>
      <c r="GBY11" s="64"/>
      <c r="GBZ11" s="64"/>
      <c r="GCA11" s="64"/>
      <c r="GCB11" s="64"/>
      <c r="GCC11" s="64"/>
      <c r="GCD11" s="64"/>
      <c r="GCE11" s="64"/>
      <c r="GCF11" s="64"/>
      <c r="GCG11" s="64"/>
      <c r="GCH11" s="64"/>
      <c r="GCI11" s="64"/>
      <c r="GCJ11" s="64"/>
      <c r="GCK11" s="64"/>
      <c r="GCL11" s="64"/>
      <c r="GCM11" s="64"/>
      <c r="GCN11" s="64"/>
      <c r="GCO11" s="64"/>
      <c r="GCP11" s="64"/>
      <c r="GCQ11" s="64"/>
      <c r="GCR11" s="64"/>
      <c r="GCS11" s="64"/>
      <c r="GCT11" s="64"/>
      <c r="GCU11" s="64"/>
      <c r="GCV11" s="64"/>
      <c r="GCW11" s="64"/>
      <c r="GCX11" s="64"/>
      <c r="GCY11" s="64"/>
      <c r="GCZ11" s="64"/>
      <c r="GDA11" s="64"/>
      <c r="GDB11" s="64"/>
      <c r="GDC11" s="64"/>
      <c r="GDD11" s="64"/>
      <c r="GDE11" s="64"/>
      <c r="GDF11" s="64"/>
      <c r="GDG11" s="64"/>
      <c r="GDH11" s="64"/>
      <c r="GDI11" s="64"/>
      <c r="GDJ11" s="64"/>
      <c r="GDK11" s="64"/>
      <c r="GDL11" s="64"/>
      <c r="GDM11" s="64"/>
      <c r="GDN11" s="64"/>
      <c r="GDO11" s="64"/>
      <c r="GDP11" s="64"/>
      <c r="GDQ11" s="64"/>
      <c r="GDR11" s="64"/>
      <c r="GDS11" s="64"/>
      <c r="GDT11" s="64"/>
      <c r="GDU11" s="64"/>
      <c r="GDV11" s="64"/>
      <c r="GDW11" s="64"/>
      <c r="GDX11" s="64"/>
      <c r="GDY11" s="64"/>
      <c r="GDZ11" s="64"/>
      <c r="GEA11" s="64"/>
      <c r="GEB11" s="64"/>
      <c r="GEC11" s="64"/>
      <c r="GED11" s="64"/>
      <c r="GEE11" s="64"/>
      <c r="GEF11" s="64"/>
      <c r="GEG11" s="64"/>
      <c r="GEH11" s="64"/>
      <c r="GEI11" s="64"/>
      <c r="GEJ11" s="64"/>
      <c r="GEK11" s="64"/>
      <c r="GEL11" s="64"/>
      <c r="GEM11" s="64"/>
      <c r="GEN11" s="64"/>
      <c r="GEO11" s="64"/>
      <c r="GEP11" s="64"/>
      <c r="GEQ11" s="64"/>
      <c r="GER11" s="64"/>
      <c r="GES11" s="64"/>
      <c r="GET11" s="64"/>
      <c r="GEU11" s="64"/>
      <c r="GEV11" s="64"/>
      <c r="GEW11" s="64"/>
      <c r="GEX11" s="64"/>
      <c r="GEY11" s="64"/>
      <c r="GEZ11" s="64"/>
      <c r="GFA11" s="64"/>
      <c r="GFB11" s="64"/>
      <c r="GFC11" s="64"/>
      <c r="GFD11" s="64"/>
      <c r="GFE11" s="64"/>
      <c r="GFF11" s="64"/>
      <c r="GFG11" s="64"/>
      <c r="GFH11" s="64"/>
      <c r="GFI11" s="64"/>
      <c r="GFJ11" s="64"/>
      <c r="GFK11" s="64"/>
      <c r="GFL11" s="64"/>
      <c r="GFM11" s="64"/>
      <c r="GFN11" s="64"/>
      <c r="GFO11" s="64"/>
      <c r="GFP11" s="64"/>
      <c r="GFQ11" s="64"/>
      <c r="GFR11" s="64"/>
      <c r="GFS11" s="64"/>
      <c r="GFT11" s="64"/>
      <c r="GFU11" s="64"/>
      <c r="GFV11" s="64"/>
      <c r="GFW11" s="64"/>
      <c r="GFX11" s="64"/>
      <c r="GFY11" s="64"/>
      <c r="GFZ11" s="64"/>
      <c r="GGA11" s="64"/>
      <c r="GGB11" s="64"/>
      <c r="GGC11" s="64"/>
      <c r="GGD11" s="64"/>
      <c r="GGE11" s="64"/>
      <c r="GGF11" s="64"/>
      <c r="GGG11" s="64"/>
      <c r="GGH11" s="64"/>
      <c r="GGI11" s="64"/>
      <c r="GGJ11" s="64"/>
      <c r="GGK11" s="64"/>
      <c r="GGL11" s="64"/>
      <c r="GGM11" s="64"/>
      <c r="GGN11" s="64"/>
      <c r="GGO11" s="64"/>
      <c r="GGP11" s="64"/>
      <c r="GGQ11" s="64"/>
      <c r="GGR11" s="64"/>
      <c r="GGS11" s="64"/>
      <c r="GGT11" s="64"/>
      <c r="GGU11" s="64"/>
      <c r="GGV11" s="64"/>
      <c r="GGW11" s="64"/>
      <c r="GGX11" s="64"/>
      <c r="GGY11" s="64"/>
      <c r="GGZ11" s="64"/>
      <c r="GHA11" s="64"/>
      <c r="GHB11" s="64"/>
      <c r="GHC11" s="64"/>
      <c r="GHD11" s="64"/>
      <c r="GHE11" s="64"/>
      <c r="GHF11" s="64"/>
      <c r="GHG11" s="64"/>
      <c r="GHH11" s="64"/>
      <c r="GHI11" s="64"/>
      <c r="GHJ11" s="64"/>
      <c r="GHK11" s="64"/>
      <c r="GHL11" s="64"/>
      <c r="GHM11" s="64"/>
      <c r="GHN11" s="64"/>
      <c r="GHO11" s="64"/>
      <c r="GHP11" s="64"/>
      <c r="GHQ11" s="64"/>
      <c r="GHR11" s="64"/>
      <c r="GHS11" s="64"/>
      <c r="GHT11" s="64"/>
      <c r="GHU11" s="64"/>
      <c r="GHV11" s="64"/>
      <c r="GHW11" s="64"/>
      <c r="GHX11" s="64"/>
      <c r="GHY11" s="64"/>
      <c r="GHZ11" s="64"/>
      <c r="GIA11" s="64"/>
      <c r="GIB11" s="64"/>
      <c r="GIC11" s="64"/>
      <c r="GID11" s="64"/>
      <c r="GIE11" s="64"/>
      <c r="GIF11" s="64"/>
      <c r="GIG11" s="64"/>
      <c r="GIH11" s="64"/>
      <c r="GII11" s="64"/>
      <c r="GIJ11" s="64"/>
      <c r="GIK11" s="64"/>
      <c r="GIL11" s="64"/>
      <c r="GIM11" s="64"/>
      <c r="GIN11" s="64"/>
      <c r="GIO11" s="64"/>
      <c r="GIP11" s="64"/>
      <c r="GIQ11" s="64"/>
      <c r="GIR11" s="64"/>
      <c r="GIS11" s="64"/>
      <c r="GIT11" s="64"/>
      <c r="GIU11" s="64"/>
      <c r="GIV11" s="64"/>
      <c r="GIW11" s="64"/>
      <c r="GIX11" s="64"/>
      <c r="GIY11" s="64"/>
      <c r="GIZ11" s="64"/>
      <c r="GJA11" s="64"/>
      <c r="GJB11" s="64"/>
      <c r="GJC11" s="64"/>
      <c r="GJD11" s="64"/>
      <c r="GJE11" s="64"/>
      <c r="GJF11" s="64"/>
      <c r="GJG11" s="64"/>
      <c r="GJH11" s="64"/>
      <c r="GJI11" s="64"/>
      <c r="GJJ11" s="64"/>
      <c r="GJK11" s="64"/>
      <c r="GJL11" s="64"/>
      <c r="GJM11" s="64"/>
      <c r="GJN11" s="64"/>
      <c r="GJO11" s="64"/>
      <c r="GJP11" s="64"/>
      <c r="GJQ11" s="64"/>
      <c r="GJR11" s="64"/>
      <c r="GJS11" s="64"/>
      <c r="GJT11" s="64"/>
      <c r="GJU11" s="64"/>
      <c r="GJV11" s="64"/>
      <c r="GJW11" s="64"/>
      <c r="GJX11" s="64"/>
      <c r="GJY11" s="64"/>
      <c r="GJZ11" s="64"/>
      <c r="GKA11" s="64"/>
      <c r="GKB11" s="64"/>
      <c r="GKC11" s="64"/>
      <c r="GKD11" s="64"/>
      <c r="GKE11" s="64"/>
      <c r="GKF11" s="64"/>
      <c r="GKG11" s="64"/>
      <c r="GKH11" s="64"/>
      <c r="GKI11" s="64"/>
      <c r="GKJ11" s="64"/>
      <c r="GKK11" s="64"/>
      <c r="GKL11" s="64"/>
      <c r="GKM11" s="64"/>
      <c r="GKN11" s="64"/>
      <c r="GKO11" s="64"/>
      <c r="GKP11" s="64"/>
      <c r="GKQ11" s="64"/>
      <c r="GKR11" s="64"/>
      <c r="GKS11" s="64"/>
      <c r="GKT11" s="64"/>
      <c r="GKU11" s="64"/>
      <c r="GKV11" s="64"/>
      <c r="GKW11" s="64"/>
      <c r="GKX11" s="64"/>
      <c r="GKY11" s="64"/>
      <c r="GKZ11" s="64"/>
      <c r="GLA11" s="64"/>
      <c r="GLB11" s="64"/>
      <c r="GLC11" s="64"/>
      <c r="GLD11" s="64"/>
      <c r="GLE11" s="64"/>
      <c r="GLF11" s="64"/>
      <c r="GLG11" s="64"/>
      <c r="GLH11" s="64"/>
      <c r="GLI11" s="64"/>
      <c r="GLJ11" s="64"/>
      <c r="GLK11" s="64"/>
      <c r="GLL11" s="64"/>
      <c r="GLM11" s="64"/>
      <c r="GLN11" s="64"/>
      <c r="GLO11" s="64"/>
      <c r="GLP11" s="64"/>
      <c r="GLQ11" s="64"/>
      <c r="GLR11" s="64"/>
      <c r="GLS11" s="64"/>
      <c r="GLT11" s="64"/>
      <c r="GLU11" s="64"/>
      <c r="GLV11" s="64"/>
      <c r="GLW11" s="64"/>
      <c r="GLX11" s="64"/>
      <c r="GLY11" s="64"/>
      <c r="GLZ11" s="64"/>
      <c r="GMA11" s="64"/>
      <c r="GMB11" s="64"/>
      <c r="GMC11" s="64"/>
      <c r="GMD11" s="64"/>
      <c r="GME11" s="64"/>
      <c r="GMF11" s="64"/>
      <c r="GMG11" s="64"/>
      <c r="GMH11" s="64"/>
      <c r="GMI11" s="64"/>
      <c r="GMJ11" s="64"/>
      <c r="GMK11" s="64"/>
      <c r="GML11" s="64"/>
      <c r="GMM11" s="64"/>
      <c r="GMN11" s="64"/>
      <c r="GMO11" s="64"/>
      <c r="GMP11" s="64"/>
      <c r="GMQ11" s="64"/>
      <c r="GMR11" s="64"/>
      <c r="GMS11" s="64"/>
      <c r="GMT11" s="64"/>
      <c r="GMU11" s="64"/>
      <c r="GMV11" s="64"/>
      <c r="GMW11" s="64"/>
      <c r="GMX11" s="64"/>
      <c r="GMY11" s="64"/>
      <c r="GMZ11" s="64"/>
      <c r="GNA11" s="64"/>
      <c r="GNB11" s="64"/>
      <c r="GNC11" s="64"/>
      <c r="GND11" s="64"/>
      <c r="GNE11" s="64"/>
      <c r="GNF11" s="64"/>
      <c r="GNG11" s="64"/>
      <c r="GNH11" s="64"/>
      <c r="GNI11" s="64"/>
      <c r="GNJ11" s="64"/>
      <c r="GNK11" s="64"/>
      <c r="GNL11" s="64"/>
      <c r="GNM11" s="64"/>
      <c r="GNN11" s="64"/>
      <c r="GNO11" s="64"/>
      <c r="GNP11" s="64"/>
      <c r="GNQ11" s="64"/>
      <c r="GNR11" s="64"/>
      <c r="GNS11" s="64"/>
      <c r="GNT11" s="64"/>
      <c r="GNU11" s="64"/>
      <c r="GNV11" s="64"/>
      <c r="GNW11" s="64"/>
      <c r="GNX11" s="64"/>
      <c r="GNY11" s="64"/>
      <c r="GNZ11" s="64"/>
      <c r="GOA11" s="64"/>
      <c r="GOB11" s="64"/>
      <c r="GOC11" s="64"/>
      <c r="GOD11" s="64"/>
      <c r="GOE11" s="64"/>
      <c r="GOF11" s="64"/>
      <c r="GOG11" s="64"/>
      <c r="GOH11" s="64"/>
      <c r="GOI11" s="64"/>
      <c r="GOJ11" s="64"/>
      <c r="GOK11" s="64"/>
      <c r="GOL11" s="64"/>
      <c r="GOM11" s="64"/>
      <c r="GON11" s="64"/>
      <c r="GOO11" s="64"/>
      <c r="GOP11" s="64"/>
      <c r="GOQ11" s="64"/>
      <c r="GOR11" s="64"/>
      <c r="GOS11" s="64"/>
      <c r="GOT11" s="64"/>
      <c r="GOU11" s="64"/>
      <c r="GOV11" s="64"/>
      <c r="GOW11" s="64"/>
      <c r="GOX11" s="64"/>
      <c r="GOY11" s="64"/>
      <c r="GOZ11" s="64"/>
      <c r="GPA11" s="64"/>
      <c r="GPB11" s="64"/>
      <c r="GPC11" s="64"/>
      <c r="GPD11" s="64"/>
      <c r="GPE11" s="64"/>
      <c r="GPF11" s="64"/>
      <c r="GPG11" s="64"/>
      <c r="GPH11" s="64"/>
      <c r="GPI11" s="64"/>
      <c r="GPJ11" s="64"/>
      <c r="GPK11" s="64"/>
      <c r="GPL11" s="64"/>
      <c r="GPM11" s="64"/>
      <c r="GPN11" s="64"/>
      <c r="GPO11" s="64"/>
      <c r="GPP11" s="64"/>
      <c r="GPQ11" s="64"/>
      <c r="GPR11" s="64"/>
      <c r="GPS11" s="64"/>
      <c r="GPT11" s="64"/>
      <c r="GPU11" s="64"/>
      <c r="GPV11" s="64"/>
      <c r="GPW11" s="64"/>
      <c r="GPX11" s="64"/>
      <c r="GPY11" s="64"/>
      <c r="GPZ11" s="64"/>
      <c r="GQA11" s="64"/>
      <c r="GQB11" s="64"/>
      <c r="GQC11" s="64"/>
      <c r="GQD11" s="64"/>
      <c r="GQE11" s="64"/>
      <c r="GQF11" s="64"/>
      <c r="GQG11" s="64"/>
      <c r="GQH11" s="64"/>
      <c r="GQI11" s="64"/>
      <c r="GQJ11" s="64"/>
      <c r="GQK11" s="64"/>
      <c r="GQL11" s="64"/>
      <c r="GQM11" s="64"/>
      <c r="GQN11" s="64"/>
      <c r="GQO11" s="64"/>
      <c r="GQP11" s="64"/>
      <c r="GQQ11" s="64"/>
      <c r="GQR11" s="64"/>
      <c r="GQS11" s="64"/>
      <c r="GQT11" s="64"/>
      <c r="GQU11" s="64"/>
      <c r="GQV11" s="64"/>
      <c r="GQW11" s="64"/>
      <c r="GQX11" s="64"/>
      <c r="GQY11" s="64"/>
      <c r="GQZ11" s="64"/>
      <c r="GRA11" s="64"/>
      <c r="GRB11" s="64"/>
      <c r="GRC11" s="64"/>
      <c r="GRD11" s="64"/>
      <c r="GRE11" s="64"/>
      <c r="GRF11" s="64"/>
      <c r="GRG11" s="64"/>
      <c r="GRH11" s="64"/>
      <c r="GRI11" s="64"/>
      <c r="GRJ11" s="64"/>
      <c r="GRK11" s="64"/>
      <c r="GRL11" s="64"/>
      <c r="GRM11" s="64"/>
      <c r="GRN11" s="64"/>
      <c r="GRO11" s="64"/>
      <c r="GRP11" s="64"/>
      <c r="GRQ11" s="64"/>
      <c r="GRR11" s="64"/>
      <c r="GRS11" s="64"/>
      <c r="GRT11" s="64"/>
      <c r="GRU11" s="64"/>
      <c r="GRV11" s="64"/>
      <c r="GRW11" s="64"/>
      <c r="GRX11" s="64"/>
      <c r="GRY11" s="64"/>
      <c r="GRZ11" s="64"/>
      <c r="GSA11" s="64"/>
      <c r="GSB11" s="64"/>
      <c r="GSC11" s="64"/>
      <c r="GSD11" s="64"/>
      <c r="GSE11" s="64"/>
      <c r="GSF11" s="64"/>
      <c r="GSG11" s="64"/>
      <c r="GSH11" s="64"/>
      <c r="GSI11" s="64"/>
      <c r="GSJ11" s="64"/>
      <c r="GSK11" s="64"/>
      <c r="GSL11" s="64"/>
      <c r="GSM11" s="64"/>
      <c r="GSN11" s="64"/>
      <c r="GSO11" s="64"/>
      <c r="GSP11" s="64"/>
      <c r="GSQ11" s="64"/>
      <c r="GSR11" s="64"/>
      <c r="GSS11" s="64"/>
      <c r="GST11" s="64"/>
      <c r="GSU11" s="64"/>
      <c r="GSV11" s="64"/>
      <c r="GSW11" s="64"/>
      <c r="GSX11" s="64"/>
      <c r="GSY11" s="64"/>
      <c r="GSZ11" s="64"/>
      <c r="GTA11" s="64"/>
      <c r="GTB11" s="64"/>
      <c r="GTC11" s="64"/>
      <c r="GTD11" s="64"/>
      <c r="GTE11" s="64"/>
      <c r="GTF11" s="64"/>
      <c r="GTG11" s="64"/>
      <c r="GTH11" s="64"/>
      <c r="GTI11" s="64"/>
      <c r="GTJ11" s="64"/>
      <c r="GTK11" s="64"/>
      <c r="GTL11" s="64"/>
      <c r="GTM11" s="64"/>
      <c r="GTN11" s="64"/>
      <c r="GTO11" s="64"/>
      <c r="GTP11" s="64"/>
      <c r="GTQ11" s="64"/>
      <c r="GTR11" s="64"/>
      <c r="GTS11" s="64"/>
      <c r="GTT11" s="64"/>
      <c r="GTU11" s="64"/>
      <c r="GTV11" s="64"/>
      <c r="GTW11" s="64"/>
      <c r="GTX11" s="64"/>
      <c r="GTY11" s="64"/>
      <c r="GTZ11" s="64"/>
      <c r="GUA11" s="64"/>
      <c r="GUB11" s="64"/>
      <c r="GUC11" s="64"/>
      <c r="GUD11" s="64"/>
      <c r="GUE11" s="64"/>
      <c r="GUF11" s="64"/>
      <c r="GUG11" s="64"/>
      <c r="GUH11" s="64"/>
      <c r="GUI11" s="64"/>
      <c r="GUJ11" s="64"/>
      <c r="GUK11" s="64"/>
      <c r="GUL11" s="64"/>
      <c r="GUM11" s="64"/>
      <c r="GUN11" s="64"/>
      <c r="GUO11" s="64"/>
      <c r="GUP11" s="64"/>
      <c r="GUQ11" s="64"/>
      <c r="GUR11" s="64"/>
      <c r="GUS11" s="64"/>
      <c r="GUT11" s="64"/>
      <c r="GUU11" s="64"/>
      <c r="GUV11" s="64"/>
      <c r="GUW11" s="64"/>
      <c r="GUX11" s="64"/>
      <c r="GUY11" s="64"/>
      <c r="GUZ11" s="64"/>
      <c r="GVA11" s="64"/>
      <c r="GVB11" s="64"/>
      <c r="GVC11" s="64"/>
      <c r="GVD11" s="64"/>
      <c r="GVE11" s="64"/>
      <c r="GVF11" s="64"/>
      <c r="GVG11" s="64"/>
      <c r="GVH11" s="64"/>
      <c r="GVI11" s="64"/>
      <c r="GVJ11" s="64"/>
      <c r="GVK11" s="64"/>
      <c r="GVL11" s="64"/>
      <c r="GVM11" s="64"/>
      <c r="GVN11" s="64"/>
      <c r="GVO11" s="64"/>
      <c r="GVP11" s="64"/>
      <c r="GVQ11" s="64"/>
      <c r="GVR11" s="64"/>
      <c r="GVS11" s="64"/>
      <c r="GVT11" s="64"/>
      <c r="GVU11" s="64"/>
      <c r="GVV11" s="64"/>
      <c r="GVW11" s="64"/>
      <c r="GVX11" s="64"/>
      <c r="GVY11" s="64"/>
      <c r="GVZ11" s="64"/>
      <c r="GWA11" s="64"/>
      <c r="GWB11" s="64"/>
      <c r="GWC11" s="64"/>
      <c r="GWD11" s="64"/>
      <c r="GWE11" s="64"/>
      <c r="GWF11" s="64"/>
      <c r="GWG11" s="64"/>
      <c r="GWH11" s="64"/>
      <c r="GWI11" s="64"/>
      <c r="GWJ11" s="64"/>
      <c r="GWK11" s="64"/>
      <c r="GWL11" s="64"/>
      <c r="GWM11" s="64"/>
      <c r="GWN11" s="64"/>
      <c r="GWO11" s="64"/>
      <c r="GWP11" s="64"/>
      <c r="GWQ11" s="64"/>
      <c r="GWR11" s="64"/>
      <c r="GWS11" s="64"/>
      <c r="GWT11" s="64"/>
      <c r="GWU11" s="64"/>
      <c r="GWV11" s="64"/>
      <c r="GWW11" s="64"/>
      <c r="GWX11" s="64"/>
      <c r="GWY11" s="64"/>
      <c r="GWZ11" s="64"/>
      <c r="GXA11" s="64"/>
      <c r="GXB11" s="64"/>
      <c r="GXC11" s="64"/>
      <c r="GXD11" s="64"/>
      <c r="GXE11" s="64"/>
      <c r="GXF11" s="64"/>
      <c r="GXG11" s="64"/>
      <c r="GXH11" s="64"/>
      <c r="GXI11" s="64"/>
      <c r="GXJ11" s="64"/>
      <c r="GXK11" s="64"/>
      <c r="GXL11" s="64"/>
      <c r="GXM11" s="64"/>
      <c r="GXN11" s="64"/>
      <c r="GXO11" s="64"/>
      <c r="GXP11" s="64"/>
      <c r="GXQ11" s="64"/>
      <c r="GXR11" s="64"/>
      <c r="GXS11" s="64"/>
      <c r="GXT11" s="64"/>
      <c r="GXU11" s="64"/>
      <c r="GXV11" s="64"/>
      <c r="GXW11" s="64"/>
      <c r="GXX11" s="64"/>
      <c r="GXY11" s="64"/>
      <c r="GXZ11" s="64"/>
      <c r="GYA11" s="64"/>
      <c r="GYB11" s="64"/>
      <c r="GYC11" s="64"/>
      <c r="GYD11" s="64"/>
      <c r="GYE11" s="64"/>
      <c r="GYF11" s="64"/>
      <c r="GYG11" s="64"/>
      <c r="GYH11" s="64"/>
      <c r="GYI11" s="64"/>
      <c r="GYJ11" s="64"/>
      <c r="GYK11" s="64"/>
      <c r="GYL11" s="64"/>
      <c r="GYM11" s="64"/>
      <c r="GYN11" s="64"/>
      <c r="GYO11" s="64"/>
      <c r="GYP11" s="64"/>
      <c r="GYQ11" s="64"/>
      <c r="GYR11" s="64"/>
      <c r="GYS11" s="64"/>
      <c r="GYT11" s="64"/>
      <c r="GYU11" s="64"/>
      <c r="GYV11" s="64"/>
      <c r="GYW11" s="64"/>
      <c r="GYX11" s="64"/>
      <c r="GYY11" s="64"/>
      <c r="GYZ11" s="64"/>
      <c r="GZA11" s="64"/>
      <c r="GZB11" s="64"/>
      <c r="GZC11" s="64"/>
      <c r="GZD11" s="64"/>
      <c r="GZE11" s="64"/>
      <c r="GZF11" s="64"/>
      <c r="GZG11" s="64"/>
      <c r="GZH11" s="64"/>
      <c r="GZI11" s="64"/>
      <c r="GZJ11" s="64"/>
      <c r="GZK11" s="64"/>
      <c r="GZL11" s="64"/>
      <c r="GZM11" s="64"/>
      <c r="GZN11" s="64"/>
      <c r="GZO11" s="64"/>
      <c r="GZP11" s="64"/>
      <c r="GZQ11" s="64"/>
      <c r="GZR11" s="64"/>
      <c r="GZS11" s="64"/>
      <c r="GZT11" s="64"/>
      <c r="GZU11" s="64"/>
      <c r="GZV11" s="64"/>
      <c r="GZW11" s="64"/>
      <c r="GZX11" s="64"/>
      <c r="GZY11" s="64"/>
      <c r="GZZ11" s="64"/>
      <c r="HAA11" s="64"/>
      <c r="HAB11" s="64"/>
      <c r="HAC11" s="64"/>
      <c r="HAD11" s="64"/>
      <c r="HAE11" s="64"/>
      <c r="HAF11" s="64"/>
      <c r="HAG11" s="64"/>
      <c r="HAH11" s="64"/>
      <c r="HAI11" s="64"/>
      <c r="HAJ11" s="64"/>
      <c r="HAK11" s="64"/>
      <c r="HAL11" s="64"/>
      <c r="HAM11" s="64"/>
      <c r="HAN11" s="64"/>
      <c r="HAO11" s="64"/>
      <c r="HAP11" s="64"/>
      <c r="HAQ11" s="64"/>
      <c r="HAR11" s="64"/>
      <c r="HAS11" s="64"/>
      <c r="HAT11" s="64"/>
      <c r="HAU11" s="64"/>
      <c r="HAV11" s="64"/>
      <c r="HAW11" s="64"/>
      <c r="HAX11" s="64"/>
      <c r="HAY11" s="64"/>
      <c r="HAZ11" s="64"/>
      <c r="HBA11" s="64"/>
      <c r="HBB11" s="64"/>
      <c r="HBC11" s="64"/>
      <c r="HBD11" s="64"/>
      <c r="HBE11" s="64"/>
      <c r="HBF11" s="64"/>
      <c r="HBG11" s="64"/>
      <c r="HBH11" s="64"/>
      <c r="HBI11" s="64"/>
      <c r="HBJ11" s="64"/>
      <c r="HBK11" s="64"/>
      <c r="HBL11" s="64"/>
      <c r="HBM11" s="64"/>
      <c r="HBN11" s="64"/>
      <c r="HBO11" s="64"/>
      <c r="HBP11" s="64"/>
      <c r="HBQ11" s="64"/>
      <c r="HBR11" s="64"/>
      <c r="HBS11" s="64"/>
      <c r="HBT11" s="64"/>
      <c r="HBU11" s="64"/>
      <c r="HBV11" s="64"/>
      <c r="HBW11" s="64"/>
      <c r="HBX11" s="64"/>
      <c r="HBY11" s="64"/>
      <c r="HBZ11" s="64"/>
      <c r="HCA11" s="64"/>
      <c r="HCB11" s="64"/>
      <c r="HCC11" s="64"/>
      <c r="HCD11" s="64"/>
      <c r="HCE11" s="64"/>
      <c r="HCF11" s="64"/>
      <c r="HCG11" s="64"/>
      <c r="HCH11" s="64"/>
      <c r="HCI11" s="64"/>
      <c r="HCJ11" s="64"/>
      <c r="HCK11" s="64"/>
      <c r="HCL11" s="64"/>
      <c r="HCM11" s="64"/>
      <c r="HCN11" s="64"/>
      <c r="HCO11" s="64"/>
      <c r="HCP11" s="64"/>
      <c r="HCQ11" s="64"/>
      <c r="HCR11" s="64"/>
      <c r="HCS11" s="64"/>
      <c r="HCT11" s="64"/>
      <c r="HCU11" s="64"/>
      <c r="HCV11" s="64"/>
      <c r="HCW11" s="64"/>
      <c r="HCX11" s="64"/>
      <c r="HCY11" s="64"/>
      <c r="HCZ11" s="64"/>
      <c r="HDA11" s="64"/>
      <c r="HDB11" s="64"/>
      <c r="HDC11" s="64"/>
      <c r="HDD11" s="64"/>
      <c r="HDE11" s="64"/>
      <c r="HDF11" s="64"/>
      <c r="HDG11" s="64"/>
      <c r="HDH11" s="64"/>
      <c r="HDI11" s="64"/>
      <c r="HDJ11" s="64"/>
      <c r="HDK11" s="64"/>
      <c r="HDL11" s="64"/>
      <c r="HDM11" s="64"/>
      <c r="HDN11" s="64"/>
      <c r="HDO11" s="64"/>
      <c r="HDP11" s="64"/>
      <c r="HDQ11" s="64"/>
      <c r="HDR11" s="64"/>
      <c r="HDS11" s="64"/>
      <c r="HDT11" s="64"/>
      <c r="HDU11" s="64"/>
      <c r="HDV11" s="64"/>
      <c r="HDW11" s="64"/>
      <c r="HDX11" s="64"/>
      <c r="HDY11" s="64"/>
      <c r="HDZ11" s="64"/>
      <c r="HEA11" s="64"/>
      <c r="HEB11" s="64"/>
      <c r="HEC11" s="64"/>
      <c r="HED11" s="64"/>
      <c r="HEE11" s="64"/>
      <c r="HEF11" s="64"/>
      <c r="HEG11" s="64"/>
      <c r="HEH11" s="64"/>
      <c r="HEI11" s="64"/>
      <c r="HEJ11" s="64"/>
      <c r="HEK11" s="64"/>
      <c r="HEL11" s="64"/>
      <c r="HEM11" s="64"/>
      <c r="HEN11" s="64"/>
      <c r="HEO11" s="64"/>
      <c r="HEP11" s="64"/>
      <c r="HEQ11" s="64"/>
      <c r="HER11" s="64"/>
      <c r="HES11" s="64"/>
      <c r="HET11" s="64"/>
      <c r="HEU11" s="64"/>
      <c r="HEV11" s="64"/>
      <c r="HEW11" s="64"/>
      <c r="HEX11" s="64"/>
      <c r="HEY11" s="64"/>
      <c r="HEZ11" s="64"/>
      <c r="HFA11" s="64"/>
      <c r="HFB11" s="64"/>
      <c r="HFC11" s="64"/>
      <c r="HFD11" s="64"/>
      <c r="HFE11" s="64"/>
      <c r="HFF11" s="64"/>
      <c r="HFG11" s="64"/>
      <c r="HFH11" s="64"/>
      <c r="HFI11" s="64"/>
      <c r="HFJ11" s="64"/>
      <c r="HFK11" s="64"/>
      <c r="HFL11" s="64"/>
      <c r="HFM11" s="64"/>
      <c r="HFN11" s="64"/>
      <c r="HFO11" s="64"/>
      <c r="HFP11" s="64"/>
      <c r="HFQ11" s="64"/>
      <c r="HFR11" s="64"/>
      <c r="HFS11" s="64"/>
      <c r="HFT11" s="64"/>
      <c r="HFU11" s="64"/>
      <c r="HFV11" s="64"/>
      <c r="HFW11" s="64"/>
      <c r="HFX11" s="64"/>
      <c r="HFY11" s="64"/>
      <c r="HFZ11" s="64"/>
      <c r="HGA11" s="64"/>
      <c r="HGB11" s="64"/>
      <c r="HGC11" s="64"/>
      <c r="HGD11" s="64"/>
      <c r="HGE11" s="64"/>
      <c r="HGF11" s="64"/>
      <c r="HGG11" s="64"/>
      <c r="HGH11" s="64"/>
      <c r="HGI11" s="64"/>
      <c r="HGJ11" s="64"/>
      <c r="HGK11" s="64"/>
      <c r="HGL11" s="64"/>
      <c r="HGM11" s="64"/>
      <c r="HGN11" s="64"/>
      <c r="HGO11" s="64"/>
      <c r="HGP11" s="64"/>
      <c r="HGQ11" s="64"/>
      <c r="HGR11" s="64"/>
      <c r="HGS11" s="64"/>
      <c r="HGT11" s="64"/>
      <c r="HGU11" s="64"/>
      <c r="HGV11" s="64"/>
      <c r="HGW11" s="64"/>
      <c r="HGX11" s="64"/>
      <c r="HGY11" s="64"/>
      <c r="HGZ11" s="64"/>
      <c r="HHA11" s="64"/>
      <c r="HHB11" s="64"/>
      <c r="HHC11" s="64"/>
      <c r="HHD11" s="64"/>
      <c r="HHE11" s="64"/>
      <c r="HHF11" s="64"/>
      <c r="HHG11" s="64"/>
      <c r="HHH11" s="64"/>
      <c r="HHI11" s="64"/>
      <c r="HHJ11" s="64"/>
      <c r="HHK11" s="64"/>
      <c r="HHL11" s="64"/>
      <c r="HHM11" s="64"/>
      <c r="HHN11" s="64"/>
      <c r="HHO11" s="64"/>
      <c r="HHP11" s="64"/>
      <c r="HHQ11" s="64"/>
      <c r="HHR11" s="64"/>
      <c r="HHS11" s="64"/>
      <c r="HHT11" s="64"/>
      <c r="HHU11" s="64"/>
      <c r="HHV11" s="64"/>
      <c r="HHW11" s="64"/>
      <c r="HHX11" s="64"/>
      <c r="HHY11" s="64"/>
      <c r="HHZ11" s="64"/>
      <c r="HIA11" s="64"/>
      <c r="HIB11" s="64"/>
      <c r="HIC11" s="64"/>
      <c r="HID11" s="64"/>
      <c r="HIE11" s="64"/>
      <c r="HIF11" s="64"/>
      <c r="HIG11" s="64"/>
      <c r="HIH11" s="64"/>
      <c r="HII11" s="64"/>
      <c r="HIJ11" s="64"/>
      <c r="HIK11" s="64"/>
      <c r="HIL11" s="64"/>
      <c r="HIM11" s="64"/>
      <c r="HIN11" s="64"/>
      <c r="HIO11" s="64"/>
      <c r="HIP11" s="64"/>
      <c r="HIQ11" s="64"/>
      <c r="HIR11" s="64"/>
      <c r="HIS11" s="64"/>
      <c r="HIT11" s="64"/>
      <c r="HIU11" s="64"/>
      <c r="HIV11" s="64"/>
      <c r="HIW11" s="64"/>
      <c r="HIX11" s="64"/>
      <c r="HIY11" s="64"/>
      <c r="HIZ11" s="64"/>
      <c r="HJA11" s="64"/>
      <c r="HJB11" s="64"/>
      <c r="HJC11" s="64"/>
      <c r="HJD11" s="64"/>
      <c r="HJE11" s="64"/>
      <c r="HJF11" s="64"/>
      <c r="HJG11" s="64"/>
      <c r="HJH11" s="64"/>
      <c r="HJI11" s="64"/>
      <c r="HJJ11" s="64"/>
      <c r="HJK11" s="64"/>
      <c r="HJL11" s="64"/>
      <c r="HJM11" s="64"/>
      <c r="HJN11" s="64"/>
      <c r="HJO11" s="64"/>
      <c r="HJP11" s="64"/>
      <c r="HJQ11" s="64"/>
      <c r="HJR11" s="64"/>
      <c r="HJS11" s="64"/>
      <c r="HJT11" s="64"/>
      <c r="HJU11" s="64"/>
      <c r="HJV11" s="64"/>
      <c r="HJW11" s="64"/>
      <c r="HJX11" s="64"/>
      <c r="HJY11" s="64"/>
      <c r="HJZ11" s="64"/>
      <c r="HKA11" s="64"/>
      <c r="HKB11" s="64"/>
      <c r="HKC11" s="64"/>
      <c r="HKD11" s="64"/>
      <c r="HKE11" s="64"/>
      <c r="HKF11" s="64"/>
      <c r="HKG11" s="64"/>
      <c r="HKH11" s="64"/>
      <c r="HKI11" s="64"/>
      <c r="HKJ11" s="64"/>
      <c r="HKK11" s="64"/>
      <c r="HKL11" s="64"/>
      <c r="HKM11" s="64"/>
      <c r="HKN11" s="64"/>
      <c r="HKO11" s="64"/>
      <c r="HKP11" s="64"/>
      <c r="HKQ11" s="64"/>
      <c r="HKR11" s="64"/>
      <c r="HKS11" s="64"/>
      <c r="HKT11" s="64"/>
      <c r="HKU11" s="64"/>
      <c r="HKV11" s="64"/>
      <c r="HKW11" s="64"/>
      <c r="HKX11" s="64"/>
      <c r="HKY11" s="64"/>
      <c r="HKZ11" s="64"/>
      <c r="HLA11" s="64"/>
      <c r="HLB11" s="64"/>
      <c r="HLC11" s="64"/>
      <c r="HLD11" s="64"/>
      <c r="HLE11" s="64"/>
      <c r="HLF11" s="64"/>
      <c r="HLG11" s="64"/>
      <c r="HLH11" s="64"/>
      <c r="HLI11" s="64"/>
      <c r="HLJ11" s="64"/>
      <c r="HLK11" s="64"/>
      <c r="HLL11" s="64"/>
      <c r="HLM11" s="64"/>
      <c r="HLN11" s="64"/>
      <c r="HLO11" s="64"/>
      <c r="HLP11" s="64"/>
      <c r="HLQ11" s="64"/>
      <c r="HLR11" s="64"/>
      <c r="HLS11" s="64"/>
      <c r="HLT11" s="64"/>
      <c r="HLU11" s="64"/>
      <c r="HLV11" s="64"/>
      <c r="HLW11" s="64"/>
      <c r="HLX11" s="64"/>
      <c r="HLY11" s="64"/>
      <c r="HLZ11" s="64"/>
      <c r="HMA11" s="64"/>
      <c r="HMB11" s="64"/>
      <c r="HMC11" s="64"/>
      <c r="HMD11" s="64"/>
      <c r="HME11" s="64"/>
      <c r="HMF11" s="64"/>
      <c r="HMG11" s="64"/>
      <c r="HMH11" s="64"/>
      <c r="HMI11" s="64"/>
      <c r="HMJ11" s="64"/>
      <c r="HMK11" s="64"/>
      <c r="HML11" s="64"/>
      <c r="HMM11" s="64"/>
      <c r="HMN11" s="64"/>
      <c r="HMO11" s="64"/>
      <c r="HMP11" s="64"/>
      <c r="HMQ11" s="64"/>
      <c r="HMR11" s="64"/>
      <c r="HMS11" s="64"/>
      <c r="HMT11" s="64"/>
      <c r="HMU11" s="64"/>
      <c r="HMV11" s="64"/>
      <c r="HMW11" s="64"/>
      <c r="HMX11" s="64"/>
      <c r="HMY11" s="64"/>
      <c r="HMZ11" s="64"/>
      <c r="HNA11" s="64"/>
      <c r="HNB11" s="64"/>
      <c r="HNC11" s="64"/>
      <c r="HND11" s="64"/>
      <c r="HNE11" s="64"/>
      <c r="HNF11" s="64"/>
      <c r="HNG11" s="64"/>
      <c r="HNH11" s="64"/>
      <c r="HNI11" s="64"/>
      <c r="HNJ11" s="64"/>
      <c r="HNK11" s="64"/>
      <c r="HNL11" s="64"/>
      <c r="HNM11" s="64"/>
      <c r="HNN11" s="64"/>
      <c r="HNO11" s="64"/>
      <c r="HNP11" s="64"/>
      <c r="HNQ11" s="64"/>
      <c r="HNR11" s="64"/>
      <c r="HNS11" s="64"/>
      <c r="HNT11" s="64"/>
      <c r="HNU11" s="64"/>
      <c r="HNV11" s="64"/>
      <c r="HNW11" s="64"/>
      <c r="HNX11" s="64"/>
      <c r="HNY11" s="64"/>
      <c r="HNZ11" s="64"/>
      <c r="HOA11" s="64"/>
      <c r="HOB11" s="64"/>
      <c r="HOC11" s="64"/>
      <c r="HOD11" s="64"/>
      <c r="HOE11" s="64"/>
      <c r="HOF11" s="64"/>
      <c r="HOG11" s="64"/>
      <c r="HOH11" s="64"/>
      <c r="HOI11" s="64"/>
      <c r="HOJ11" s="64"/>
      <c r="HOK11" s="64"/>
      <c r="HOL11" s="64"/>
      <c r="HOM11" s="64"/>
      <c r="HON11" s="64"/>
      <c r="HOO11" s="64"/>
      <c r="HOP11" s="64"/>
      <c r="HOQ11" s="64"/>
      <c r="HOR11" s="64"/>
      <c r="HOS11" s="64"/>
      <c r="HOT11" s="64"/>
      <c r="HOU11" s="64"/>
      <c r="HOV11" s="64"/>
      <c r="HOW11" s="64"/>
      <c r="HOX11" s="64"/>
      <c r="HOY11" s="64"/>
      <c r="HOZ11" s="64"/>
      <c r="HPA11" s="64"/>
      <c r="HPB11" s="64"/>
      <c r="HPC11" s="64"/>
      <c r="HPD11" s="64"/>
      <c r="HPE11" s="64"/>
      <c r="HPF11" s="64"/>
      <c r="HPG11" s="64"/>
      <c r="HPH11" s="64"/>
      <c r="HPI11" s="64"/>
      <c r="HPJ11" s="64"/>
      <c r="HPK11" s="64"/>
      <c r="HPL11" s="64"/>
      <c r="HPM11" s="64"/>
      <c r="HPN11" s="64"/>
      <c r="HPO11" s="64"/>
      <c r="HPP11" s="64"/>
      <c r="HPQ11" s="64"/>
      <c r="HPR11" s="64"/>
      <c r="HPS11" s="64"/>
      <c r="HPT11" s="64"/>
      <c r="HPU11" s="64"/>
      <c r="HPV11" s="64"/>
      <c r="HPW11" s="64"/>
      <c r="HPX11" s="64"/>
      <c r="HPY11" s="64"/>
      <c r="HPZ11" s="64"/>
      <c r="HQA11" s="64"/>
      <c r="HQB11" s="64"/>
      <c r="HQC11" s="64"/>
      <c r="HQD11" s="64"/>
      <c r="HQE11" s="64"/>
      <c r="HQF11" s="64"/>
      <c r="HQG11" s="64"/>
      <c r="HQH11" s="64"/>
      <c r="HQI11" s="64"/>
      <c r="HQJ11" s="64"/>
      <c r="HQK11" s="64"/>
      <c r="HQL11" s="64"/>
      <c r="HQM11" s="64"/>
      <c r="HQN11" s="64"/>
      <c r="HQO11" s="64"/>
      <c r="HQP11" s="64"/>
      <c r="HQQ11" s="64"/>
      <c r="HQR11" s="64"/>
      <c r="HQS11" s="64"/>
      <c r="HQT11" s="64"/>
      <c r="HQU11" s="64"/>
      <c r="HQV11" s="64"/>
      <c r="HQW11" s="64"/>
      <c r="HQX11" s="64"/>
      <c r="HQY11" s="64"/>
      <c r="HQZ11" s="64"/>
      <c r="HRA11" s="64"/>
      <c r="HRB11" s="64"/>
      <c r="HRC11" s="64"/>
      <c r="HRD11" s="64"/>
      <c r="HRE11" s="64"/>
      <c r="HRF11" s="64"/>
      <c r="HRG11" s="64"/>
      <c r="HRH11" s="64"/>
      <c r="HRI11" s="64"/>
      <c r="HRJ11" s="64"/>
      <c r="HRK11" s="64"/>
      <c r="HRL11" s="64"/>
      <c r="HRM11" s="64"/>
      <c r="HRN11" s="64"/>
      <c r="HRO11" s="64"/>
      <c r="HRP11" s="64"/>
      <c r="HRQ11" s="64"/>
      <c r="HRR11" s="64"/>
      <c r="HRS11" s="64"/>
      <c r="HRT11" s="64"/>
      <c r="HRU11" s="64"/>
      <c r="HRV11" s="64"/>
      <c r="HRW11" s="64"/>
      <c r="HRX11" s="64"/>
      <c r="HRY11" s="64"/>
      <c r="HRZ11" s="64"/>
      <c r="HSA11" s="64"/>
      <c r="HSB11" s="64"/>
      <c r="HSC11" s="64"/>
      <c r="HSD11" s="64"/>
      <c r="HSE11" s="64"/>
      <c r="HSF11" s="64"/>
      <c r="HSG11" s="64"/>
      <c r="HSH11" s="64"/>
      <c r="HSI11" s="64"/>
      <c r="HSJ11" s="64"/>
      <c r="HSK11" s="64"/>
      <c r="HSL11" s="64"/>
      <c r="HSM11" s="64"/>
      <c r="HSN11" s="64"/>
      <c r="HSO11" s="64"/>
      <c r="HSP11" s="64"/>
      <c r="HSQ11" s="64"/>
      <c r="HSR11" s="64"/>
      <c r="HSS11" s="64"/>
      <c r="HST11" s="64"/>
      <c r="HSU11" s="64"/>
      <c r="HSV11" s="64"/>
      <c r="HSW11" s="64"/>
      <c r="HSX11" s="64"/>
      <c r="HSY11" s="64"/>
      <c r="HSZ11" s="64"/>
      <c r="HTA11" s="64"/>
      <c r="HTB11" s="64"/>
      <c r="HTC11" s="64"/>
      <c r="HTD11" s="64"/>
      <c r="HTE11" s="64"/>
      <c r="HTF11" s="64"/>
      <c r="HTG11" s="64"/>
      <c r="HTH11" s="64"/>
      <c r="HTI11" s="64"/>
      <c r="HTJ11" s="64"/>
      <c r="HTK11" s="64"/>
      <c r="HTL11" s="64"/>
      <c r="HTM11" s="64"/>
      <c r="HTN11" s="64"/>
      <c r="HTO11" s="64"/>
      <c r="HTP11" s="64"/>
      <c r="HTQ11" s="64"/>
      <c r="HTR11" s="64"/>
      <c r="HTS11" s="64"/>
      <c r="HTT11" s="64"/>
      <c r="HTU11" s="64"/>
      <c r="HTV11" s="64"/>
      <c r="HTW11" s="64"/>
      <c r="HTX11" s="64"/>
      <c r="HTY11" s="64"/>
      <c r="HTZ11" s="64"/>
      <c r="HUA11" s="64"/>
      <c r="HUB11" s="64"/>
      <c r="HUC11" s="64"/>
      <c r="HUD11" s="64"/>
      <c r="HUE11" s="64"/>
      <c r="HUF11" s="64"/>
      <c r="HUG11" s="64"/>
      <c r="HUH11" s="64"/>
      <c r="HUI11" s="64"/>
      <c r="HUJ11" s="64"/>
      <c r="HUK11" s="64"/>
      <c r="HUL11" s="64"/>
      <c r="HUM11" s="64"/>
      <c r="HUN11" s="64"/>
      <c r="HUO11" s="64"/>
      <c r="HUP11" s="64"/>
      <c r="HUQ11" s="64"/>
      <c r="HUR11" s="64"/>
      <c r="HUS11" s="64"/>
      <c r="HUT11" s="64"/>
      <c r="HUU11" s="64"/>
      <c r="HUV11" s="64"/>
      <c r="HUW11" s="64"/>
      <c r="HUX11" s="64"/>
      <c r="HUY11" s="64"/>
      <c r="HUZ11" s="64"/>
      <c r="HVA11" s="64"/>
      <c r="HVB11" s="64"/>
      <c r="HVC11" s="64"/>
      <c r="HVD11" s="64"/>
      <c r="HVE11" s="64"/>
      <c r="HVF11" s="64"/>
      <c r="HVG11" s="64"/>
      <c r="HVH11" s="64"/>
      <c r="HVI11" s="64"/>
      <c r="HVJ11" s="64"/>
      <c r="HVK11" s="64"/>
      <c r="HVL11" s="64"/>
      <c r="HVM11" s="64"/>
      <c r="HVN11" s="64"/>
      <c r="HVO11" s="64"/>
      <c r="HVP11" s="64"/>
      <c r="HVQ11" s="64"/>
      <c r="HVR11" s="64"/>
      <c r="HVS11" s="64"/>
      <c r="HVT11" s="64"/>
      <c r="HVU11" s="64"/>
      <c r="HVV11" s="64"/>
      <c r="HVW11" s="64"/>
      <c r="HVX11" s="64"/>
      <c r="HVY11" s="64"/>
      <c r="HVZ11" s="64"/>
      <c r="HWA11" s="64"/>
      <c r="HWB11" s="64"/>
      <c r="HWC11" s="64"/>
      <c r="HWD11" s="64"/>
      <c r="HWE11" s="64"/>
      <c r="HWF11" s="64"/>
      <c r="HWG11" s="64"/>
      <c r="HWH11" s="64"/>
      <c r="HWI11" s="64"/>
      <c r="HWJ11" s="64"/>
      <c r="HWK11" s="64"/>
      <c r="HWL11" s="64"/>
      <c r="HWM11" s="64"/>
      <c r="HWN11" s="64"/>
      <c r="HWO11" s="64"/>
      <c r="HWP11" s="64"/>
      <c r="HWQ11" s="64"/>
      <c r="HWR11" s="64"/>
      <c r="HWS11" s="64"/>
      <c r="HWT11" s="64"/>
      <c r="HWU11" s="64"/>
      <c r="HWV11" s="64"/>
      <c r="HWW11" s="64"/>
      <c r="HWX11" s="64"/>
      <c r="HWY11" s="64"/>
      <c r="HWZ11" s="64"/>
      <c r="HXA11" s="64"/>
      <c r="HXB11" s="64"/>
      <c r="HXC11" s="64"/>
      <c r="HXD11" s="64"/>
      <c r="HXE11" s="64"/>
      <c r="HXF11" s="64"/>
      <c r="HXG11" s="64"/>
      <c r="HXH11" s="64"/>
      <c r="HXI11" s="64"/>
      <c r="HXJ11" s="64"/>
      <c r="HXK11" s="64"/>
      <c r="HXL11" s="64"/>
      <c r="HXM11" s="64"/>
      <c r="HXN11" s="64"/>
      <c r="HXO11" s="64"/>
      <c r="HXP11" s="64"/>
      <c r="HXQ11" s="64"/>
      <c r="HXR11" s="64"/>
      <c r="HXS11" s="64"/>
      <c r="HXT11" s="64"/>
      <c r="HXU11" s="64"/>
      <c r="HXV11" s="64"/>
      <c r="HXW11" s="64"/>
      <c r="HXX11" s="64"/>
      <c r="HXY11" s="64"/>
      <c r="HXZ11" s="64"/>
      <c r="HYA11" s="64"/>
      <c r="HYB11" s="64"/>
      <c r="HYC11" s="64"/>
      <c r="HYD11" s="64"/>
      <c r="HYE11" s="64"/>
      <c r="HYF11" s="64"/>
      <c r="HYG11" s="64"/>
      <c r="HYH11" s="64"/>
      <c r="HYI11" s="64"/>
      <c r="HYJ11" s="64"/>
      <c r="HYK11" s="64"/>
      <c r="HYL11" s="64"/>
      <c r="HYM11" s="64"/>
      <c r="HYN11" s="64"/>
      <c r="HYO11" s="64"/>
      <c r="HYP11" s="64"/>
      <c r="HYQ11" s="64"/>
      <c r="HYR11" s="64"/>
      <c r="HYS11" s="64"/>
      <c r="HYT11" s="64"/>
      <c r="HYU11" s="64"/>
      <c r="HYV11" s="64"/>
      <c r="HYW11" s="64"/>
      <c r="HYX11" s="64"/>
      <c r="HYY11" s="64"/>
      <c r="HYZ11" s="64"/>
      <c r="HZA11" s="64"/>
      <c r="HZB11" s="64"/>
      <c r="HZC11" s="64"/>
      <c r="HZD11" s="64"/>
      <c r="HZE11" s="64"/>
      <c r="HZF11" s="64"/>
      <c r="HZG11" s="64"/>
      <c r="HZH11" s="64"/>
      <c r="HZI11" s="64"/>
      <c r="HZJ11" s="64"/>
      <c r="HZK11" s="64"/>
      <c r="HZL11" s="64"/>
      <c r="HZM11" s="64"/>
      <c r="HZN11" s="64"/>
      <c r="HZO11" s="64"/>
      <c r="HZP11" s="64"/>
      <c r="HZQ11" s="64"/>
      <c r="HZR11" s="64"/>
      <c r="HZS11" s="64"/>
      <c r="HZT11" s="64"/>
      <c r="HZU11" s="64"/>
      <c r="HZV11" s="64"/>
      <c r="HZW11" s="64"/>
      <c r="HZX11" s="64"/>
      <c r="HZY11" s="64"/>
      <c r="HZZ11" s="64"/>
      <c r="IAA11" s="64"/>
      <c r="IAB11" s="64"/>
      <c r="IAC11" s="64"/>
      <c r="IAD11" s="64"/>
      <c r="IAE11" s="64"/>
      <c r="IAF11" s="64"/>
      <c r="IAG11" s="64"/>
      <c r="IAH11" s="64"/>
      <c r="IAI11" s="64"/>
      <c r="IAJ11" s="64"/>
      <c r="IAK11" s="64"/>
      <c r="IAL11" s="64"/>
      <c r="IAM11" s="64"/>
      <c r="IAN11" s="64"/>
      <c r="IAO11" s="64"/>
      <c r="IAP11" s="64"/>
      <c r="IAQ11" s="64"/>
      <c r="IAR11" s="64"/>
      <c r="IAS11" s="64"/>
      <c r="IAT11" s="64"/>
      <c r="IAU11" s="64"/>
      <c r="IAV11" s="64"/>
      <c r="IAW11" s="64"/>
      <c r="IAX11" s="64"/>
      <c r="IAY11" s="64"/>
      <c r="IAZ11" s="64"/>
      <c r="IBA11" s="64"/>
      <c r="IBB11" s="64"/>
      <c r="IBC11" s="64"/>
      <c r="IBD11" s="64"/>
      <c r="IBE11" s="64"/>
      <c r="IBF11" s="64"/>
      <c r="IBG11" s="64"/>
      <c r="IBH11" s="64"/>
      <c r="IBI11" s="64"/>
      <c r="IBJ11" s="64"/>
      <c r="IBK11" s="64"/>
      <c r="IBL11" s="64"/>
      <c r="IBM11" s="64"/>
      <c r="IBN11" s="64"/>
      <c r="IBO11" s="64"/>
      <c r="IBP11" s="64"/>
      <c r="IBQ11" s="64"/>
      <c r="IBR11" s="64"/>
      <c r="IBS11" s="64"/>
      <c r="IBT11" s="64"/>
      <c r="IBU11" s="64"/>
      <c r="IBV11" s="64"/>
      <c r="IBW11" s="64"/>
      <c r="IBX11" s="64"/>
      <c r="IBY11" s="64"/>
      <c r="IBZ11" s="64"/>
      <c r="ICA11" s="64"/>
      <c r="ICB11" s="64"/>
      <c r="ICC11" s="64"/>
      <c r="ICD11" s="64"/>
      <c r="ICE11" s="64"/>
      <c r="ICF11" s="64"/>
      <c r="ICG11" s="64"/>
      <c r="ICH11" s="64"/>
      <c r="ICI11" s="64"/>
      <c r="ICJ11" s="64"/>
      <c r="ICK11" s="64"/>
      <c r="ICL11" s="64"/>
      <c r="ICM11" s="64"/>
      <c r="ICN11" s="64"/>
      <c r="ICO11" s="64"/>
      <c r="ICP11" s="64"/>
      <c r="ICQ11" s="64"/>
      <c r="ICR11" s="64"/>
      <c r="ICS11" s="64"/>
      <c r="ICT11" s="64"/>
      <c r="ICU11" s="64"/>
      <c r="ICV11" s="64"/>
      <c r="ICW11" s="64"/>
      <c r="ICX11" s="64"/>
      <c r="ICY11" s="64"/>
      <c r="ICZ11" s="64"/>
      <c r="IDA11" s="64"/>
      <c r="IDB11" s="64"/>
      <c r="IDC11" s="64"/>
      <c r="IDD11" s="64"/>
      <c r="IDE11" s="64"/>
      <c r="IDF11" s="64"/>
      <c r="IDG11" s="64"/>
      <c r="IDH11" s="64"/>
      <c r="IDI11" s="64"/>
      <c r="IDJ11" s="64"/>
      <c r="IDK11" s="64"/>
      <c r="IDL11" s="64"/>
      <c r="IDM11" s="64"/>
      <c r="IDN11" s="64"/>
      <c r="IDO11" s="64"/>
      <c r="IDP11" s="64"/>
      <c r="IDQ11" s="64"/>
      <c r="IDR11" s="64"/>
      <c r="IDS11" s="64"/>
      <c r="IDT11" s="64"/>
      <c r="IDU11" s="64"/>
      <c r="IDV11" s="64"/>
      <c r="IDW11" s="64"/>
      <c r="IDX11" s="64"/>
      <c r="IDY11" s="64"/>
      <c r="IDZ11" s="64"/>
      <c r="IEA11" s="64"/>
      <c r="IEB11" s="64"/>
      <c r="IEC11" s="64"/>
      <c r="IED11" s="64"/>
      <c r="IEE11" s="64"/>
      <c r="IEF11" s="64"/>
      <c r="IEG11" s="64"/>
      <c r="IEH11" s="64"/>
      <c r="IEI11" s="64"/>
      <c r="IEJ11" s="64"/>
      <c r="IEK11" s="64"/>
      <c r="IEL11" s="64"/>
      <c r="IEM11" s="64"/>
      <c r="IEN11" s="64"/>
      <c r="IEO11" s="64"/>
      <c r="IEP11" s="64"/>
      <c r="IEQ11" s="64"/>
      <c r="IER11" s="64"/>
      <c r="IES11" s="64"/>
      <c r="IET11" s="64"/>
      <c r="IEU11" s="64"/>
      <c r="IEV11" s="64"/>
      <c r="IEW11" s="64"/>
      <c r="IEX11" s="64"/>
      <c r="IEY11" s="64"/>
      <c r="IEZ11" s="64"/>
      <c r="IFA11" s="64"/>
      <c r="IFB11" s="64"/>
      <c r="IFC11" s="64"/>
      <c r="IFD11" s="64"/>
      <c r="IFE11" s="64"/>
      <c r="IFF11" s="64"/>
      <c r="IFG11" s="64"/>
      <c r="IFH11" s="64"/>
      <c r="IFI11" s="64"/>
      <c r="IFJ11" s="64"/>
      <c r="IFK11" s="64"/>
      <c r="IFL11" s="64"/>
      <c r="IFM11" s="64"/>
      <c r="IFN11" s="64"/>
      <c r="IFO11" s="64"/>
      <c r="IFP11" s="64"/>
      <c r="IFQ11" s="64"/>
      <c r="IFR11" s="64"/>
      <c r="IFS11" s="64"/>
      <c r="IFT11" s="64"/>
      <c r="IFU11" s="64"/>
      <c r="IFV11" s="64"/>
      <c r="IFW11" s="64"/>
      <c r="IFX11" s="64"/>
      <c r="IFY11" s="64"/>
      <c r="IFZ11" s="64"/>
      <c r="IGA11" s="64"/>
      <c r="IGB11" s="64"/>
      <c r="IGC11" s="64"/>
      <c r="IGD11" s="64"/>
      <c r="IGE11" s="64"/>
      <c r="IGF11" s="64"/>
      <c r="IGG11" s="64"/>
      <c r="IGH11" s="64"/>
      <c r="IGI11" s="64"/>
      <c r="IGJ11" s="64"/>
      <c r="IGK11" s="64"/>
      <c r="IGL11" s="64"/>
      <c r="IGM11" s="64"/>
      <c r="IGN11" s="64"/>
      <c r="IGO11" s="64"/>
      <c r="IGP11" s="64"/>
      <c r="IGQ11" s="64"/>
      <c r="IGR11" s="64"/>
      <c r="IGS11" s="64"/>
      <c r="IGT11" s="64"/>
      <c r="IGU11" s="64"/>
      <c r="IGV11" s="64"/>
      <c r="IGW11" s="64"/>
      <c r="IGX11" s="64"/>
      <c r="IGY11" s="64"/>
      <c r="IGZ11" s="64"/>
      <c r="IHA11" s="64"/>
      <c r="IHB11" s="64"/>
      <c r="IHC11" s="64"/>
      <c r="IHD11" s="64"/>
      <c r="IHE11" s="64"/>
      <c r="IHF11" s="64"/>
      <c r="IHG11" s="64"/>
      <c r="IHH11" s="64"/>
      <c r="IHI11" s="64"/>
      <c r="IHJ11" s="64"/>
      <c r="IHK11" s="64"/>
      <c r="IHL11" s="64"/>
      <c r="IHM11" s="64"/>
      <c r="IHN11" s="64"/>
      <c r="IHO11" s="64"/>
      <c r="IHP11" s="64"/>
      <c r="IHQ11" s="64"/>
      <c r="IHR11" s="64"/>
      <c r="IHS11" s="64"/>
      <c r="IHT11" s="64"/>
      <c r="IHU11" s="64"/>
      <c r="IHV11" s="64"/>
      <c r="IHW11" s="64"/>
      <c r="IHX11" s="64"/>
      <c r="IHY11" s="64"/>
      <c r="IHZ11" s="64"/>
      <c r="IIA11" s="64"/>
      <c r="IIB11" s="64"/>
      <c r="IIC11" s="64"/>
      <c r="IID11" s="64"/>
      <c r="IIE11" s="64"/>
      <c r="IIF11" s="64"/>
      <c r="IIG11" s="64"/>
      <c r="IIH11" s="64"/>
      <c r="III11" s="64"/>
      <c r="IIJ11" s="64"/>
      <c r="IIK11" s="64"/>
      <c r="IIL11" s="64"/>
      <c r="IIM11" s="64"/>
      <c r="IIN11" s="64"/>
      <c r="IIO11" s="64"/>
      <c r="IIP11" s="64"/>
      <c r="IIQ11" s="64"/>
      <c r="IIR11" s="64"/>
      <c r="IIS11" s="64"/>
      <c r="IIT11" s="64"/>
      <c r="IIU11" s="64"/>
      <c r="IIV11" s="64"/>
      <c r="IIW11" s="64"/>
      <c r="IIX11" s="64"/>
      <c r="IIY11" s="64"/>
      <c r="IIZ11" s="64"/>
      <c r="IJA11" s="64"/>
      <c r="IJB11" s="64"/>
      <c r="IJC11" s="64"/>
      <c r="IJD11" s="64"/>
      <c r="IJE11" s="64"/>
      <c r="IJF11" s="64"/>
      <c r="IJG11" s="64"/>
      <c r="IJH11" s="64"/>
      <c r="IJI11" s="64"/>
      <c r="IJJ11" s="64"/>
      <c r="IJK11" s="64"/>
      <c r="IJL11" s="64"/>
      <c r="IJM11" s="64"/>
      <c r="IJN11" s="64"/>
      <c r="IJO11" s="64"/>
      <c r="IJP11" s="64"/>
      <c r="IJQ11" s="64"/>
      <c r="IJR11" s="64"/>
      <c r="IJS11" s="64"/>
      <c r="IJT11" s="64"/>
      <c r="IJU11" s="64"/>
      <c r="IJV11" s="64"/>
      <c r="IJW11" s="64"/>
      <c r="IJX11" s="64"/>
      <c r="IJY11" s="64"/>
      <c r="IJZ11" s="64"/>
      <c r="IKA11" s="64"/>
      <c r="IKB11" s="64"/>
      <c r="IKC11" s="64"/>
      <c r="IKD11" s="64"/>
      <c r="IKE11" s="64"/>
      <c r="IKF11" s="64"/>
      <c r="IKG11" s="64"/>
      <c r="IKH11" s="64"/>
      <c r="IKI11" s="64"/>
      <c r="IKJ11" s="64"/>
      <c r="IKK11" s="64"/>
      <c r="IKL11" s="64"/>
      <c r="IKM11" s="64"/>
      <c r="IKN11" s="64"/>
      <c r="IKO11" s="64"/>
      <c r="IKP11" s="64"/>
      <c r="IKQ11" s="64"/>
      <c r="IKR11" s="64"/>
      <c r="IKS11" s="64"/>
      <c r="IKT11" s="64"/>
      <c r="IKU11" s="64"/>
      <c r="IKV11" s="64"/>
      <c r="IKW11" s="64"/>
      <c r="IKX11" s="64"/>
      <c r="IKY11" s="64"/>
      <c r="IKZ11" s="64"/>
      <c r="ILA11" s="64"/>
      <c r="ILB11" s="64"/>
      <c r="ILC11" s="64"/>
      <c r="ILD11" s="64"/>
      <c r="ILE11" s="64"/>
      <c r="ILF11" s="64"/>
      <c r="ILG11" s="64"/>
      <c r="ILH11" s="64"/>
      <c r="ILI11" s="64"/>
      <c r="ILJ11" s="64"/>
      <c r="ILK11" s="64"/>
      <c r="ILL11" s="64"/>
      <c r="ILM11" s="64"/>
      <c r="ILN11" s="64"/>
      <c r="ILO11" s="64"/>
      <c r="ILP11" s="64"/>
      <c r="ILQ11" s="64"/>
      <c r="ILR11" s="64"/>
      <c r="ILS11" s="64"/>
      <c r="ILT11" s="64"/>
      <c r="ILU11" s="64"/>
      <c r="ILV11" s="64"/>
      <c r="ILW11" s="64"/>
      <c r="ILX11" s="64"/>
      <c r="ILY11" s="64"/>
      <c r="ILZ11" s="64"/>
      <c r="IMA11" s="64"/>
      <c r="IMB11" s="64"/>
      <c r="IMC11" s="64"/>
      <c r="IMD11" s="64"/>
      <c r="IME11" s="64"/>
      <c r="IMF11" s="64"/>
      <c r="IMG11" s="64"/>
      <c r="IMH11" s="64"/>
      <c r="IMI11" s="64"/>
      <c r="IMJ11" s="64"/>
      <c r="IMK11" s="64"/>
      <c r="IML11" s="64"/>
      <c r="IMM11" s="64"/>
      <c r="IMN11" s="64"/>
      <c r="IMO11" s="64"/>
      <c r="IMP11" s="64"/>
      <c r="IMQ11" s="64"/>
      <c r="IMR11" s="64"/>
      <c r="IMS11" s="64"/>
      <c r="IMT11" s="64"/>
      <c r="IMU11" s="64"/>
      <c r="IMV11" s="64"/>
      <c r="IMW11" s="64"/>
      <c r="IMX11" s="64"/>
      <c r="IMY11" s="64"/>
      <c r="IMZ11" s="64"/>
      <c r="INA11" s="64"/>
      <c r="INB11" s="64"/>
      <c r="INC11" s="64"/>
      <c r="IND11" s="64"/>
      <c r="INE11" s="64"/>
      <c r="INF11" s="64"/>
      <c r="ING11" s="64"/>
      <c r="INH11" s="64"/>
      <c r="INI11" s="64"/>
      <c r="INJ11" s="64"/>
      <c r="INK11" s="64"/>
      <c r="INL11" s="64"/>
      <c r="INM11" s="64"/>
      <c r="INN11" s="64"/>
      <c r="INO11" s="64"/>
      <c r="INP11" s="64"/>
      <c r="INQ11" s="64"/>
      <c r="INR11" s="64"/>
      <c r="INS11" s="64"/>
      <c r="INT11" s="64"/>
      <c r="INU11" s="64"/>
      <c r="INV11" s="64"/>
      <c r="INW11" s="64"/>
      <c r="INX11" s="64"/>
      <c r="INY11" s="64"/>
      <c r="INZ11" s="64"/>
      <c r="IOA11" s="64"/>
      <c r="IOB11" s="64"/>
      <c r="IOC11" s="64"/>
      <c r="IOD11" s="64"/>
      <c r="IOE11" s="64"/>
      <c r="IOF11" s="64"/>
      <c r="IOG11" s="64"/>
      <c r="IOH11" s="64"/>
      <c r="IOI11" s="64"/>
      <c r="IOJ11" s="64"/>
      <c r="IOK11" s="64"/>
      <c r="IOL11" s="64"/>
      <c r="IOM11" s="64"/>
      <c r="ION11" s="64"/>
      <c r="IOO11" s="64"/>
      <c r="IOP11" s="64"/>
      <c r="IOQ11" s="64"/>
      <c r="IOR11" s="64"/>
      <c r="IOS11" s="64"/>
      <c r="IOT11" s="64"/>
      <c r="IOU11" s="64"/>
      <c r="IOV11" s="64"/>
      <c r="IOW11" s="64"/>
      <c r="IOX11" s="64"/>
      <c r="IOY11" s="64"/>
      <c r="IOZ11" s="64"/>
      <c r="IPA11" s="64"/>
      <c r="IPB11" s="64"/>
      <c r="IPC11" s="64"/>
      <c r="IPD11" s="64"/>
      <c r="IPE11" s="64"/>
      <c r="IPF11" s="64"/>
      <c r="IPG11" s="64"/>
      <c r="IPH11" s="64"/>
      <c r="IPI11" s="64"/>
      <c r="IPJ11" s="64"/>
      <c r="IPK11" s="64"/>
      <c r="IPL11" s="64"/>
      <c r="IPM11" s="64"/>
      <c r="IPN11" s="64"/>
      <c r="IPO11" s="64"/>
      <c r="IPP11" s="64"/>
      <c r="IPQ11" s="64"/>
      <c r="IPR11" s="64"/>
      <c r="IPS11" s="64"/>
      <c r="IPT11" s="64"/>
      <c r="IPU11" s="64"/>
      <c r="IPV11" s="64"/>
      <c r="IPW11" s="64"/>
      <c r="IPX11" s="64"/>
      <c r="IPY11" s="64"/>
      <c r="IPZ11" s="64"/>
      <c r="IQA11" s="64"/>
      <c r="IQB11" s="64"/>
      <c r="IQC11" s="64"/>
      <c r="IQD11" s="64"/>
      <c r="IQE11" s="64"/>
      <c r="IQF11" s="64"/>
      <c r="IQG11" s="64"/>
      <c r="IQH11" s="64"/>
      <c r="IQI11" s="64"/>
      <c r="IQJ11" s="64"/>
      <c r="IQK11" s="64"/>
      <c r="IQL11" s="64"/>
      <c r="IQM11" s="64"/>
      <c r="IQN11" s="64"/>
      <c r="IQO11" s="64"/>
      <c r="IQP11" s="64"/>
      <c r="IQQ11" s="64"/>
      <c r="IQR11" s="64"/>
      <c r="IQS11" s="64"/>
      <c r="IQT11" s="64"/>
      <c r="IQU11" s="64"/>
      <c r="IQV11" s="64"/>
      <c r="IQW11" s="64"/>
      <c r="IQX11" s="64"/>
      <c r="IQY11" s="64"/>
      <c r="IQZ11" s="64"/>
      <c r="IRA11" s="64"/>
      <c r="IRB11" s="64"/>
      <c r="IRC11" s="64"/>
      <c r="IRD11" s="64"/>
      <c r="IRE11" s="64"/>
      <c r="IRF11" s="64"/>
      <c r="IRG11" s="64"/>
      <c r="IRH11" s="64"/>
      <c r="IRI11" s="64"/>
      <c r="IRJ11" s="64"/>
      <c r="IRK11" s="64"/>
      <c r="IRL11" s="64"/>
      <c r="IRM11" s="64"/>
      <c r="IRN11" s="64"/>
      <c r="IRO11" s="64"/>
      <c r="IRP11" s="64"/>
      <c r="IRQ11" s="64"/>
      <c r="IRR11" s="64"/>
      <c r="IRS11" s="64"/>
      <c r="IRT11" s="64"/>
      <c r="IRU11" s="64"/>
      <c r="IRV11" s="64"/>
      <c r="IRW11" s="64"/>
      <c r="IRX11" s="64"/>
      <c r="IRY11" s="64"/>
      <c r="IRZ11" s="64"/>
      <c r="ISA11" s="64"/>
      <c r="ISB11" s="64"/>
      <c r="ISC11" s="64"/>
      <c r="ISD11" s="64"/>
      <c r="ISE11" s="64"/>
      <c r="ISF11" s="64"/>
      <c r="ISG11" s="64"/>
      <c r="ISH11" s="64"/>
      <c r="ISI11" s="64"/>
      <c r="ISJ11" s="64"/>
      <c r="ISK11" s="64"/>
      <c r="ISL11" s="64"/>
      <c r="ISM11" s="64"/>
      <c r="ISN11" s="64"/>
      <c r="ISO11" s="64"/>
      <c r="ISP11" s="64"/>
      <c r="ISQ11" s="64"/>
      <c r="ISR11" s="64"/>
      <c r="ISS11" s="64"/>
      <c r="IST11" s="64"/>
      <c r="ISU11" s="64"/>
      <c r="ISV11" s="64"/>
      <c r="ISW11" s="64"/>
      <c r="ISX11" s="64"/>
      <c r="ISY11" s="64"/>
      <c r="ISZ11" s="64"/>
      <c r="ITA11" s="64"/>
      <c r="ITB11" s="64"/>
      <c r="ITC11" s="64"/>
      <c r="ITD11" s="64"/>
      <c r="ITE11" s="64"/>
      <c r="ITF11" s="64"/>
      <c r="ITG11" s="64"/>
      <c r="ITH11" s="64"/>
      <c r="ITI11" s="64"/>
      <c r="ITJ11" s="64"/>
      <c r="ITK11" s="64"/>
      <c r="ITL11" s="64"/>
      <c r="ITM11" s="64"/>
      <c r="ITN11" s="64"/>
      <c r="ITO11" s="64"/>
      <c r="ITP11" s="64"/>
      <c r="ITQ11" s="64"/>
      <c r="ITR11" s="64"/>
      <c r="ITS11" s="64"/>
      <c r="ITT11" s="64"/>
      <c r="ITU11" s="64"/>
      <c r="ITV11" s="64"/>
      <c r="ITW11" s="64"/>
      <c r="ITX11" s="64"/>
      <c r="ITY11" s="64"/>
      <c r="ITZ11" s="64"/>
      <c r="IUA11" s="64"/>
      <c r="IUB11" s="64"/>
      <c r="IUC11" s="64"/>
      <c r="IUD11" s="64"/>
      <c r="IUE11" s="64"/>
      <c r="IUF11" s="64"/>
      <c r="IUG11" s="64"/>
      <c r="IUH11" s="64"/>
      <c r="IUI11" s="64"/>
      <c r="IUJ11" s="64"/>
      <c r="IUK11" s="64"/>
      <c r="IUL11" s="64"/>
      <c r="IUM11" s="64"/>
      <c r="IUN11" s="64"/>
      <c r="IUO11" s="64"/>
      <c r="IUP11" s="64"/>
      <c r="IUQ11" s="64"/>
      <c r="IUR11" s="64"/>
      <c r="IUS11" s="64"/>
      <c r="IUT11" s="64"/>
      <c r="IUU11" s="64"/>
      <c r="IUV11" s="64"/>
      <c r="IUW11" s="64"/>
      <c r="IUX11" s="64"/>
      <c r="IUY11" s="64"/>
      <c r="IUZ11" s="64"/>
      <c r="IVA11" s="64"/>
      <c r="IVB11" s="64"/>
      <c r="IVC11" s="64"/>
      <c r="IVD11" s="64"/>
      <c r="IVE11" s="64"/>
      <c r="IVF11" s="64"/>
      <c r="IVG11" s="64"/>
      <c r="IVH11" s="64"/>
      <c r="IVI11" s="64"/>
      <c r="IVJ11" s="64"/>
      <c r="IVK11" s="64"/>
      <c r="IVL11" s="64"/>
      <c r="IVM11" s="64"/>
      <c r="IVN11" s="64"/>
      <c r="IVO11" s="64"/>
      <c r="IVP11" s="64"/>
      <c r="IVQ11" s="64"/>
      <c r="IVR11" s="64"/>
      <c r="IVS11" s="64"/>
      <c r="IVT11" s="64"/>
      <c r="IVU11" s="64"/>
      <c r="IVV11" s="64"/>
      <c r="IVW11" s="64"/>
      <c r="IVX11" s="64"/>
      <c r="IVY11" s="64"/>
      <c r="IVZ11" s="64"/>
      <c r="IWA11" s="64"/>
      <c r="IWB11" s="64"/>
      <c r="IWC11" s="64"/>
      <c r="IWD11" s="64"/>
      <c r="IWE11" s="64"/>
      <c r="IWF11" s="64"/>
      <c r="IWG11" s="64"/>
      <c r="IWH11" s="64"/>
      <c r="IWI11" s="64"/>
      <c r="IWJ11" s="64"/>
      <c r="IWK11" s="64"/>
      <c r="IWL11" s="64"/>
      <c r="IWM11" s="64"/>
      <c r="IWN11" s="64"/>
      <c r="IWO11" s="64"/>
      <c r="IWP11" s="64"/>
      <c r="IWQ11" s="64"/>
      <c r="IWR11" s="64"/>
      <c r="IWS11" s="64"/>
      <c r="IWT11" s="64"/>
      <c r="IWU11" s="64"/>
      <c r="IWV11" s="64"/>
      <c r="IWW11" s="64"/>
      <c r="IWX11" s="64"/>
      <c r="IWY11" s="64"/>
      <c r="IWZ11" s="64"/>
      <c r="IXA11" s="64"/>
      <c r="IXB11" s="64"/>
      <c r="IXC11" s="64"/>
      <c r="IXD11" s="64"/>
      <c r="IXE11" s="64"/>
      <c r="IXF11" s="64"/>
      <c r="IXG11" s="64"/>
      <c r="IXH11" s="64"/>
      <c r="IXI11" s="64"/>
      <c r="IXJ11" s="64"/>
      <c r="IXK11" s="64"/>
      <c r="IXL11" s="64"/>
      <c r="IXM11" s="64"/>
      <c r="IXN11" s="64"/>
      <c r="IXO11" s="64"/>
      <c r="IXP11" s="64"/>
      <c r="IXQ11" s="64"/>
      <c r="IXR11" s="64"/>
      <c r="IXS11" s="64"/>
      <c r="IXT11" s="64"/>
      <c r="IXU11" s="64"/>
      <c r="IXV11" s="64"/>
      <c r="IXW11" s="64"/>
      <c r="IXX11" s="64"/>
      <c r="IXY11" s="64"/>
      <c r="IXZ11" s="64"/>
      <c r="IYA11" s="64"/>
      <c r="IYB11" s="64"/>
      <c r="IYC11" s="64"/>
      <c r="IYD11" s="64"/>
      <c r="IYE11" s="64"/>
      <c r="IYF11" s="64"/>
      <c r="IYG11" s="64"/>
      <c r="IYH11" s="64"/>
      <c r="IYI11" s="64"/>
      <c r="IYJ11" s="64"/>
      <c r="IYK11" s="64"/>
      <c r="IYL11" s="64"/>
      <c r="IYM11" s="64"/>
      <c r="IYN11" s="64"/>
      <c r="IYO11" s="64"/>
      <c r="IYP11" s="64"/>
      <c r="IYQ11" s="64"/>
      <c r="IYR11" s="64"/>
      <c r="IYS11" s="64"/>
      <c r="IYT11" s="64"/>
      <c r="IYU11" s="64"/>
      <c r="IYV11" s="64"/>
      <c r="IYW11" s="64"/>
      <c r="IYX11" s="64"/>
      <c r="IYY11" s="64"/>
      <c r="IYZ11" s="64"/>
      <c r="IZA11" s="64"/>
      <c r="IZB11" s="64"/>
      <c r="IZC11" s="64"/>
      <c r="IZD11" s="64"/>
      <c r="IZE11" s="64"/>
      <c r="IZF11" s="64"/>
      <c r="IZG11" s="64"/>
      <c r="IZH11" s="64"/>
      <c r="IZI11" s="64"/>
      <c r="IZJ11" s="64"/>
      <c r="IZK11" s="64"/>
      <c r="IZL11" s="64"/>
      <c r="IZM11" s="64"/>
      <c r="IZN11" s="64"/>
      <c r="IZO11" s="64"/>
      <c r="IZP11" s="64"/>
      <c r="IZQ11" s="64"/>
      <c r="IZR11" s="64"/>
      <c r="IZS11" s="64"/>
      <c r="IZT11" s="64"/>
      <c r="IZU11" s="64"/>
      <c r="IZV11" s="64"/>
      <c r="IZW11" s="64"/>
      <c r="IZX11" s="64"/>
      <c r="IZY11" s="64"/>
      <c r="IZZ11" s="64"/>
      <c r="JAA11" s="64"/>
      <c r="JAB11" s="64"/>
      <c r="JAC11" s="64"/>
      <c r="JAD11" s="64"/>
      <c r="JAE11" s="64"/>
      <c r="JAF11" s="64"/>
      <c r="JAG11" s="64"/>
      <c r="JAH11" s="64"/>
      <c r="JAI11" s="64"/>
      <c r="JAJ11" s="64"/>
      <c r="JAK11" s="64"/>
      <c r="JAL11" s="64"/>
      <c r="JAM11" s="64"/>
      <c r="JAN11" s="64"/>
      <c r="JAO11" s="64"/>
      <c r="JAP11" s="64"/>
      <c r="JAQ11" s="64"/>
      <c r="JAR11" s="64"/>
      <c r="JAS11" s="64"/>
      <c r="JAT11" s="64"/>
      <c r="JAU11" s="64"/>
      <c r="JAV11" s="64"/>
      <c r="JAW11" s="64"/>
      <c r="JAX11" s="64"/>
      <c r="JAY11" s="64"/>
      <c r="JAZ11" s="64"/>
      <c r="JBA11" s="64"/>
      <c r="JBB11" s="64"/>
      <c r="JBC11" s="64"/>
      <c r="JBD11" s="64"/>
      <c r="JBE11" s="64"/>
      <c r="JBF11" s="64"/>
      <c r="JBG11" s="64"/>
      <c r="JBH11" s="64"/>
      <c r="JBI11" s="64"/>
      <c r="JBJ11" s="64"/>
      <c r="JBK11" s="64"/>
      <c r="JBL11" s="64"/>
      <c r="JBM11" s="64"/>
      <c r="JBN11" s="64"/>
      <c r="JBO11" s="64"/>
      <c r="JBP11" s="64"/>
      <c r="JBQ11" s="64"/>
      <c r="JBR11" s="64"/>
      <c r="JBS11" s="64"/>
      <c r="JBT11" s="64"/>
      <c r="JBU11" s="64"/>
      <c r="JBV11" s="64"/>
      <c r="JBW11" s="64"/>
      <c r="JBX11" s="64"/>
      <c r="JBY11" s="64"/>
      <c r="JBZ11" s="64"/>
      <c r="JCA11" s="64"/>
      <c r="JCB11" s="64"/>
      <c r="JCC11" s="64"/>
      <c r="JCD11" s="64"/>
      <c r="JCE11" s="64"/>
      <c r="JCF11" s="64"/>
      <c r="JCG11" s="64"/>
      <c r="JCH11" s="64"/>
      <c r="JCI11" s="64"/>
      <c r="JCJ11" s="64"/>
      <c r="JCK11" s="64"/>
      <c r="JCL11" s="64"/>
      <c r="JCM11" s="64"/>
      <c r="JCN11" s="64"/>
      <c r="JCO11" s="64"/>
      <c r="JCP11" s="64"/>
      <c r="JCQ11" s="64"/>
      <c r="JCR11" s="64"/>
      <c r="JCS11" s="64"/>
      <c r="JCT11" s="64"/>
      <c r="JCU11" s="64"/>
      <c r="JCV11" s="64"/>
      <c r="JCW11" s="64"/>
      <c r="JCX11" s="64"/>
      <c r="JCY11" s="64"/>
      <c r="JCZ11" s="64"/>
      <c r="JDA11" s="64"/>
      <c r="JDB11" s="64"/>
      <c r="JDC11" s="64"/>
      <c r="JDD11" s="64"/>
      <c r="JDE11" s="64"/>
      <c r="JDF11" s="64"/>
      <c r="JDG11" s="64"/>
      <c r="JDH11" s="64"/>
      <c r="JDI11" s="64"/>
      <c r="JDJ11" s="64"/>
      <c r="JDK11" s="64"/>
      <c r="JDL11" s="64"/>
      <c r="JDM11" s="64"/>
      <c r="JDN11" s="64"/>
      <c r="JDO11" s="64"/>
      <c r="JDP11" s="64"/>
      <c r="JDQ11" s="64"/>
      <c r="JDR11" s="64"/>
      <c r="JDS11" s="64"/>
      <c r="JDT11" s="64"/>
      <c r="JDU11" s="64"/>
      <c r="JDV11" s="64"/>
      <c r="JDW11" s="64"/>
      <c r="JDX11" s="64"/>
      <c r="JDY11" s="64"/>
      <c r="JDZ11" s="64"/>
      <c r="JEA11" s="64"/>
      <c r="JEB11" s="64"/>
      <c r="JEC11" s="64"/>
      <c r="JED11" s="64"/>
      <c r="JEE11" s="64"/>
      <c r="JEF11" s="64"/>
      <c r="JEG11" s="64"/>
      <c r="JEH11" s="64"/>
      <c r="JEI11" s="64"/>
      <c r="JEJ11" s="64"/>
      <c r="JEK11" s="64"/>
      <c r="JEL11" s="64"/>
      <c r="JEM11" s="64"/>
      <c r="JEN11" s="64"/>
      <c r="JEO11" s="64"/>
      <c r="JEP11" s="64"/>
      <c r="JEQ11" s="64"/>
      <c r="JER11" s="64"/>
      <c r="JES11" s="64"/>
      <c r="JET11" s="64"/>
      <c r="JEU11" s="64"/>
      <c r="JEV11" s="64"/>
      <c r="JEW11" s="64"/>
      <c r="JEX11" s="64"/>
      <c r="JEY11" s="64"/>
      <c r="JEZ11" s="64"/>
      <c r="JFA11" s="64"/>
      <c r="JFB11" s="64"/>
      <c r="JFC11" s="64"/>
      <c r="JFD11" s="64"/>
      <c r="JFE11" s="64"/>
      <c r="JFF11" s="64"/>
      <c r="JFG11" s="64"/>
      <c r="JFH11" s="64"/>
      <c r="JFI11" s="64"/>
      <c r="JFJ11" s="64"/>
      <c r="JFK11" s="64"/>
      <c r="JFL11" s="64"/>
      <c r="JFM11" s="64"/>
      <c r="JFN11" s="64"/>
      <c r="JFO11" s="64"/>
      <c r="JFP11" s="64"/>
      <c r="JFQ11" s="64"/>
      <c r="JFR11" s="64"/>
      <c r="JFS11" s="64"/>
      <c r="JFT11" s="64"/>
      <c r="JFU11" s="64"/>
      <c r="JFV11" s="64"/>
      <c r="JFW11" s="64"/>
      <c r="JFX11" s="64"/>
      <c r="JFY11" s="64"/>
      <c r="JFZ11" s="64"/>
      <c r="JGA11" s="64"/>
      <c r="JGB11" s="64"/>
      <c r="JGC11" s="64"/>
      <c r="JGD11" s="64"/>
      <c r="JGE11" s="64"/>
      <c r="JGF11" s="64"/>
      <c r="JGG11" s="64"/>
      <c r="JGH11" s="64"/>
      <c r="JGI11" s="64"/>
      <c r="JGJ11" s="64"/>
      <c r="JGK11" s="64"/>
      <c r="JGL11" s="64"/>
      <c r="JGM11" s="64"/>
      <c r="JGN11" s="64"/>
      <c r="JGO11" s="64"/>
      <c r="JGP11" s="64"/>
      <c r="JGQ11" s="64"/>
      <c r="JGR11" s="64"/>
      <c r="JGS11" s="64"/>
      <c r="JGT11" s="64"/>
      <c r="JGU11" s="64"/>
      <c r="JGV11" s="64"/>
      <c r="JGW11" s="64"/>
      <c r="JGX11" s="64"/>
      <c r="JGY11" s="64"/>
      <c r="JGZ11" s="64"/>
      <c r="JHA11" s="64"/>
      <c r="JHB11" s="64"/>
      <c r="JHC11" s="64"/>
      <c r="JHD11" s="64"/>
      <c r="JHE11" s="64"/>
      <c r="JHF11" s="64"/>
      <c r="JHG11" s="64"/>
      <c r="JHH11" s="64"/>
      <c r="JHI11" s="64"/>
      <c r="JHJ11" s="64"/>
      <c r="JHK11" s="64"/>
      <c r="JHL11" s="64"/>
      <c r="JHM11" s="64"/>
      <c r="JHN11" s="64"/>
      <c r="JHO11" s="64"/>
      <c r="JHP11" s="64"/>
      <c r="JHQ11" s="64"/>
      <c r="JHR11" s="64"/>
      <c r="JHS11" s="64"/>
      <c r="JHT11" s="64"/>
      <c r="JHU11" s="64"/>
      <c r="JHV11" s="64"/>
      <c r="JHW11" s="64"/>
      <c r="JHX11" s="64"/>
      <c r="JHY11" s="64"/>
      <c r="JHZ11" s="64"/>
      <c r="JIA11" s="64"/>
      <c r="JIB11" s="64"/>
      <c r="JIC11" s="64"/>
      <c r="JID11" s="64"/>
      <c r="JIE11" s="64"/>
      <c r="JIF11" s="64"/>
      <c r="JIG11" s="64"/>
      <c r="JIH11" s="64"/>
      <c r="JII11" s="64"/>
      <c r="JIJ11" s="64"/>
      <c r="JIK11" s="64"/>
      <c r="JIL11" s="64"/>
      <c r="JIM11" s="64"/>
      <c r="JIN11" s="64"/>
      <c r="JIO11" s="64"/>
      <c r="JIP11" s="64"/>
      <c r="JIQ11" s="64"/>
      <c r="JIR11" s="64"/>
      <c r="JIS11" s="64"/>
      <c r="JIT11" s="64"/>
      <c r="JIU11" s="64"/>
      <c r="JIV11" s="64"/>
      <c r="JIW11" s="64"/>
      <c r="JIX11" s="64"/>
      <c r="JIY11" s="64"/>
      <c r="JIZ11" s="64"/>
      <c r="JJA11" s="64"/>
      <c r="JJB11" s="64"/>
      <c r="JJC11" s="64"/>
      <c r="JJD11" s="64"/>
      <c r="JJE11" s="64"/>
      <c r="JJF11" s="64"/>
      <c r="JJG11" s="64"/>
      <c r="JJH11" s="64"/>
      <c r="JJI11" s="64"/>
      <c r="JJJ11" s="64"/>
      <c r="JJK11" s="64"/>
      <c r="JJL11" s="64"/>
      <c r="JJM11" s="64"/>
      <c r="JJN11" s="64"/>
      <c r="JJO11" s="64"/>
      <c r="JJP11" s="64"/>
      <c r="JJQ11" s="64"/>
      <c r="JJR11" s="64"/>
      <c r="JJS11" s="64"/>
      <c r="JJT11" s="64"/>
      <c r="JJU11" s="64"/>
      <c r="JJV11" s="64"/>
      <c r="JJW11" s="64"/>
      <c r="JJX11" s="64"/>
      <c r="JJY11" s="64"/>
      <c r="JJZ11" s="64"/>
      <c r="JKA11" s="64"/>
      <c r="JKB11" s="64"/>
      <c r="JKC11" s="64"/>
      <c r="JKD11" s="64"/>
      <c r="JKE11" s="64"/>
      <c r="JKF11" s="64"/>
      <c r="JKG11" s="64"/>
      <c r="JKH11" s="64"/>
      <c r="JKI11" s="64"/>
      <c r="JKJ11" s="64"/>
      <c r="JKK11" s="64"/>
      <c r="JKL11" s="64"/>
      <c r="JKM11" s="64"/>
      <c r="JKN11" s="64"/>
      <c r="JKO11" s="64"/>
      <c r="JKP11" s="64"/>
      <c r="JKQ11" s="64"/>
      <c r="JKR11" s="64"/>
      <c r="JKS11" s="64"/>
      <c r="JKT11" s="64"/>
      <c r="JKU11" s="64"/>
      <c r="JKV11" s="64"/>
      <c r="JKW11" s="64"/>
      <c r="JKX11" s="64"/>
      <c r="JKY11" s="64"/>
      <c r="JKZ11" s="64"/>
      <c r="JLA11" s="64"/>
      <c r="JLB11" s="64"/>
      <c r="JLC11" s="64"/>
      <c r="JLD11" s="64"/>
      <c r="JLE11" s="64"/>
      <c r="JLF11" s="64"/>
      <c r="JLG11" s="64"/>
      <c r="JLH11" s="64"/>
      <c r="JLI11" s="64"/>
      <c r="JLJ11" s="64"/>
      <c r="JLK11" s="64"/>
      <c r="JLL11" s="64"/>
      <c r="JLM11" s="64"/>
      <c r="JLN11" s="64"/>
      <c r="JLO11" s="64"/>
      <c r="JLP11" s="64"/>
      <c r="JLQ11" s="64"/>
      <c r="JLR11" s="64"/>
      <c r="JLS11" s="64"/>
      <c r="JLT11" s="64"/>
      <c r="JLU11" s="64"/>
      <c r="JLV11" s="64"/>
      <c r="JLW11" s="64"/>
      <c r="JLX11" s="64"/>
      <c r="JLY11" s="64"/>
      <c r="JLZ11" s="64"/>
      <c r="JMA11" s="64"/>
      <c r="JMB11" s="64"/>
      <c r="JMC11" s="64"/>
      <c r="JMD11" s="64"/>
      <c r="JME11" s="64"/>
      <c r="JMF11" s="64"/>
      <c r="JMG11" s="64"/>
      <c r="JMH11" s="64"/>
      <c r="JMI11" s="64"/>
      <c r="JMJ11" s="64"/>
      <c r="JMK11" s="64"/>
      <c r="JML11" s="64"/>
      <c r="JMM11" s="64"/>
      <c r="JMN11" s="64"/>
      <c r="JMO11" s="64"/>
      <c r="JMP11" s="64"/>
      <c r="JMQ11" s="64"/>
      <c r="JMR11" s="64"/>
      <c r="JMS11" s="64"/>
      <c r="JMT11" s="64"/>
      <c r="JMU11" s="64"/>
      <c r="JMV11" s="64"/>
      <c r="JMW11" s="64"/>
      <c r="JMX11" s="64"/>
      <c r="JMY11" s="64"/>
      <c r="JMZ11" s="64"/>
      <c r="JNA11" s="64"/>
      <c r="JNB11" s="64"/>
      <c r="JNC11" s="64"/>
      <c r="JND11" s="64"/>
      <c r="JNE11" s="64"/>
      <c r="JNF11" s="64"/>
      <c r="JNG11" s="64"/>
      <c r="JNH11" s="64"/>
      <c r="JNI11" s="64"/>
      <c r="JNJ11" s="64"/>
      <c r="JNK11" s="64"/>
      <c r="JNL11" s="64"/>
      <c r="JNM11" s="64"/>
      <c r="JNN11" s="64"/>
      <c r="JNO11" s="64"/>
      <c r="JNP11" s="64"/>
      <c r="JNQ11" s="64"/>
      <c r="JNR11" s="64"/>
      <c r="JNS11" s="64"/>
      <c r="JNT11" s="64"/>
      <c r="JNU11" s="64"/>
      <c r="JNV11" s="64"/>
      <c r="JNW11" s="64"/>
      <c r="JNX11" s="64"/>
      <c r="JNY11" s="64"/>
      <c r="JNZ11" s="64"/>
      <c r="JOA11" s="64"/>
      <c r="JOB11" s="64"/>
      <c r="JOC11" s="64"/>
      <c r="JOD11" s="64"/>
      <c r="JOE11" s="64"/>
      <c r="JOF11" s="64"/>
      <c r="JOG11" s="64"/>
      <c r="JOH11" s="64"/>
      <c r="JOI11" s="64"/>
      <c r="JOJ11" s="64"/>
      <c r="JOK11" s="64"/>
      <c r="JOL11" s="64"/>
      <c r="JOM11" s="64"/>
      <c r="JON11" s="64"/>
      <c r="JOO11" s="64"/>
      <c r="JOP11" s="64"/>
      <c r="JOQ11" s="64"/>
      <c r="JOR11" s="64"/>
      <c r="JOS11" s="64"/>
      <c r="JOT11" s="64"/>
      <c r="JOU11" s="64"/>
      <c r="JOV11" s="64"/>
      <c r="JOW11" s="64"/>
      <c r="JOX11" s="64"/>
      <c r="JOY11" s="64"/>
      <c r="JOZ11" s="64"/>
      <c r="JPA11" s="64"/>
      <c r="JPB11" s="64"/>
      <c r="JPC11" s="64"/>
      <c r="JPD11" s="64"/>
      <c r="JPE11" s="64"/>
      <c r="JPF11" s="64"/>
      <c r="JPG11" s="64"/>
      <c r="JPH11" s="64"/>
      <c r="JPI11" s="64"/>
      <c r="JPJ11" s="64"/>
      <c r="JPK11" s="64"/>
      <c r="JPL11" s="64"/>
      <c r="JPM11" s="64"/>
      <c r="JPN11" s="64"/>
      <c r="JPO11" s="64"/>
      <c r="JPP11" s="64"/>
      <c r="JPQ11" s="64"/>
      <c r="JPR11" s="64"/>
      <c r="JPS11" s="64"/>
      <c r="JPT11" s="64"/>
      <c r="JPU11" s="64"/>
      <c r="JPV11" s="64"/>
      <c r="JPW11" s="64"/>
      <c r="JPX11" s="64"/>
      <c r="JPY11" s="64"/>
      <c r="JPZ11" s="64"/>
      <c r="JQA11" s="64"/>
      <c r="JQB11" s="64"/>
      <c r="JQC11" s="64"/>
      <c r="JQD11" s="64"/>
      <c r="JQE11" s="64"/>
      <c r="JQF11" s="64"/>
      <c r="JQG11" s="64"/>
      <c r="JQH11" s="64"/>
      <c r="JQI11" s="64"/>
      <c r="JQJ11" s="64"/>
      <c r="JQK11" s="64"/>
      <c r="JQL11" s="64"/>
      <c r="JQM11" s="64"/>
      <c r="JQN11" s="64"/>
      <c r="JQO11" s="64"/>
      <c r="JQP11" s="64"/>
      <c r="JQQ11" s="64"/>
      <c r="JQR11" s="64"/>
      <c r="JQS11" s="64"/>
      <c r="JQT11" s="64"/>
      <c r="JQU11" s="64"/>
      <c r="JQV11" s="64"/>
      <c r="JQW11" s="64"/>
      <c r="JQX11" s="64"/>
      <c r="JQY11" s="64"/>
      <c r="JQZ11" s="64"/>
      <c r="JRA11" s="64"/>
      <c r="JRB11" s="64"/>
      <c r="JRC11" s="64"/>
      <c r="JRD11" s="64"/>
      <c r="JRE11" s="64"/>
      <c r="JRF11" s="64"/>
      <c r="JRG11" s="64"/>
      <c r="JRH11" s="64"/>
      <c r="JRI11" s="64"/>
      <c r="JRJ11" s="64"/>
      <c r="JRK11" s="64"/>
      <c r="JRL11" s="64"/>
      <c r="JRM11" s="64"/>
      <c r="JRN11" s="64"/>
      <c r="JRO11" s="64"/>
      <c r="JRP11" s="64"/>
      <c r="JRQ11" s="64"/>
      <c r="JRR11" s="64"/>
      <c r="JRS11" s="64"/>
      <c r="JRT11" s="64"/>
      <c r="JRU11" s="64"/>
      <c r="JRV11" s="64"/>
      <c r="JRW11" s="64"/>
      <c r="JRX11" s="64"/>
      <c r="JRY11" s="64"/>
      <c r="JRZ11" s="64"/>
      <c r="JSA11" s="64"/>
      <c r="JSB11" s="64"/>
      <c r="JSC11" s="64"/>
      <c r="JSD11" s="64"/>
      <c r="JSE11" s="64"/>
      <c r="JSF11" s="64"/>
      <c r="JSG11" s="64"/>
      <c r="JSH11" s="64"/>
      <c r="JSI11" s="64"/>
      <c r="JSJ11" s="64"/>
      <c r="JSK11" s="64"/>
      <c r="JSL11" s="64"/>
      <c r="JSM11" s="64"/>
      <c r="JSN11" s="64"/>
      <c r="JSO11" s="64"/>
      <c r="JSP11" s="64"/>
      <c r="JSQ11" s="64"/>
      <c r="JSR11" s="64"/>
      <c r="JSS11" s="64"/>
      <c r="JST11" s="64"/>
      <c r="JSU11" s="64"/>
      <c r="JSV11" s="64"/>
      <c r="JSW11" s="64"/>
      <c r="JSX11" s="64"/>
      <c r="JSY11" s="64"/>
      <c r="JSZ11" s="64"/>
      <c r="JTA11" s="64"/>
      <c r="JTB11" s="64"/>
      <c r="JTC11" s="64"/>
      <c r="JTD11" s="64"/>
      <c r="JTE11" s="64"/>
      <c r="JTF11" s="64"/>
      <c r="JTG11" s="64"/>
      <c r="JTH11" s="64"/>
      <c r="JTI11" s="64"/>
      <c r="JTJ11" s="64"/>
      <c r="JTK11" s="64"/>
      <c r="JTL11" s="64"/>
      <c r="JTM11" s="64"/>
      <c r="JTN11" s="64"/>
      <c r="JTO11" s="64"/>
      <c r="JTP11" s="64"/>
      <c r="JTQ11" s="64"/>
      <c r="JTR11" s="64"/>
      <c r="JTS11" s="64"/>
      <c r="JTT11" s="64"/>
      <c r="JTU11" s="64"/>
      <c r="JTV11" s="64"/>
      <c r="JTW11" s="64"/>
      <c r="JTX11" s="64"/>
      <c r="JTY11" s="64"/>
      <c r="JTZ11" s="64"/>
      <c r="JUA11" s="64"/>
      <c r="JUB11" s="64"/>
      <c r="JUC11" s="64"/>
      <c r="JUD11" s="64"/>
      <c r="JUE11" s="64"/>
      <c r="JUF11" s="64"/>
      <c r="JUG11" s="64"/>
      <c r="JUH11" s="64"/>
      <c r="JUI11" s="64"/>
      <c r="JUJ11" s="64"/>
      <c r="JUK11" s="64"/>
      <c r="JUL11" s="64"/>
      <c r="JUM11" s="64"/>
      <c r="JUN11" s="64"/>
      <c r="JUO11" s="64"/>
      <c r="JUP11" s="64"/>
      <c r="JUQ11" s="64"/>
      <c r="JUR11" s="64"/>
      <c r="JUS11" s="64"/>
      <c r="JUT11" s="64"/>
      <c r="JUU11" s="64"/>
      <c r="JUV11" s="64"/>
      <c r="JUW11" s="64"/>
      <c r="JUX11" s="64"/>
      <c r="JUY11" s="64"/>
      <c r="JUZ11" s="64"/>
      <c r="JVA11" s="64"/>
      <c r="JVB11" s="64"/>
      <c r="JVC11" s="64"/>
      <c r="JVD11" s="64"/>
      <c r="JVE11" s="64"/>
      <c r="JVF11" s="64"/>
      <c r="JVG11" s="64"/>
      <c r="JVH11" s="64"/>
      <c r="JVI11" s="64"/>
      <c r="JVJ11" s="64"/>
      <c r="JVK11" s="64"/>
      <c r="JVL11" s="64"/>
      <c r="JVM11" s="64"/>
      <c r="JVN11" s="64"/>
      <c r="JVO11" s="64"/>
      <c r="JVP11" s="64"/>
      <c r="JVQ11" s="64"/>
      <c r="JVR11" s="64"/>
      <c r="JVS11" s="64"/>
      <c r="JVT11" s="64"/>
      <c r="JVU11" s="64"/>
      <c r="JVV11" s="64"/>
      <c r="JVW11" s="64"/>
      <c r="JVX11" s="64"/>
      <c r="JVY11" s="64"/>
      <c r="JVZ11" s="64"/>
      <c r="JWA11" s="64"/>
      <c r="JWB11" s="64"/>
      <c r="JWC11" s="64"/>
      <c r="JWD11" s="64"/>
      <c r="JWE11" s="64"/>
      <c r="JWF11" s="64"/>
      <c r="JWG11" s="64"/>
      <c r="JWH11" s="64"/>
      <c r="JWI11" s="64"/>
      <c r="JWJ11" s="64"/>
      <c r="JWK11" s="64"/>
      <c r="JWL11" s="64"/>
      <c r="JWM11" s="64"/>
      <c r="JWN11" s="64"/>
      <c r="JWO11" s="64"/>
      <c r="JWP11" s="64"/>
      <c r="JWQ11" s="64"/>
      <c r="JWR11" s="64"/>
      <c r="JWS11" s="64"/>
      <c r="JWT11" s="64"/>
      <c r="JWU11" s="64"/>
      <c r="JWV11" s="64"/>
      <c r="JWW11" s="64"/>
      <c r="JWX11" s="64"/>
      <c r="JWY11" s="64"/>
      <c r="JWZ11" s="64"/>
      <c r="JXA11" s="64"/>
      <c r="JXB11" s="64"/>
      <c r="JXC11" s="64"/>
      <c r="JXD11" s="64"/>
      <c r="JXE11" s="64"/>
      <c r="JXF11" s="64"/>
      <c r="JXG11" s="64"/>
      <c r="JXH11" s="64"/>
      <c r="JXI11" s="64"/>
      <c r="JXJ11" s="64"/>
      <c r="JXK11" s="64"/>
      <c r="JXL11" s="64"/>
      <c r="JXM11" s="64"/>
      <c r="JXN11" s="64"/>
      <c r="JXO11" s="64"/>
      <c r="JXP11" s="64"/>
      <c r="JXQ11" s="64"/>
      <c r="JXR11" s="64"/>
      <c r="JXS11" s="64"/>
      <c r="JXT11" s="64"/>
      <c r="JXU11" s="64"/>
      <c r="JXV11" s="64"/>
      <c r="JXW11" s="64"/>
      <c r="JXX11" s="64"/>
      <c r="JXY11" s="64"/>
      <c r="JXZ11" s="64"/>
      <c r="JYA11" s="64"/>
      <c r="JYB11" s="64"/>
      <c r="JYC11" s="64"/>
      <c r="JYD11" s="64"/>
      <c r="JYE11" s="64"/>
      <c r="JYF11" s="64"/>
      <c r="JYG11" s="64"/>
      <c r="JYH11" s="64"/>
      <c r="JYI11" s="64"/>
      <c r="JYJ11" s="64"/>
      <c r="JYK11" s="64"/>
      <c r="JYL11" s="64"/>
      <c r="JYM11" s="64"/>
      <c r="JYN11" s="64"/>
      <c r="JYO11" s="64"/>
      <c r="JYP11" s="64"/>
      <c r="JYQ11" s="64"/>
      <c r="JYR11" s="64"/>
      <c r="JYS11" s="64"/>
      <c r="JYT11" s="64"/>
      <c r="JYU11" s="64"/>
      <c r="JYV11" s="64"/>
      <c r="JYW11" s="64"/>
      <c r="JYX11" s="64"/>
      <c r="JYY11" s="64"/>
      <c r="JYZ11" s="64"/>
      <c r="JZA11" s="64"/>
      <c r="JZB11" s="64"/>
      <c r="JZC11" s="64"/>
      <c r="JZD11" s="64"/>
      <c r="JZE11" s="64"/>
      <c r="JZF11" s="64"/>
      <c r="JZG11" s="64"/>
      <c r="JZH11" s="64"/>
      <c r="JZI11" s="64"/>
      <c r="JZJ11" s="64"/>
      <c r="JZK11" s="64"/>
      <c r="JZL11" s="64"/>
      <c r="JZM11" s="64"/>
      <c r="JZN11" s="64"/>
      <c r="JZO11" s="64"/>
      <c r="JZP11" s="64"/>
      <c r="JZQ11" s="64"/>
      <c r="JZR11" s="64"/>
      <c r="JZS11" s="64"/>
      <c r="JZT11" s="64"/>
      <c r="JZU11" s="64"/>
      <c r="JZV11" s="64"/>
      <c r="JZW11" s="64"/>
      <c r="JZX11" s="64"/>
      <c r="JZY11" s="64"/>
      <c r="JZZ11" s="64"/>
      <c r="KAA11" s="64"/>
      <c r="KAB11" s="64"/>
      <c r="KAC11" s="64"/>
      <c r="KAD11" s="64"/>
      <c r="KAE11" s="64"/>
      <c r="KAF11" s="64"/>
      <c r="KAG11" s="64"/>
      <c r="KAH11" s="64"/>
      <c r="KAI11" s="64"/>
      <c r="KAJ11" s="64"/>
      <c r="KAK11" s="64"/>
      <c r="KAL11" s="64"/>
      <c r="KAM11" s="64"/>
      <c r="KAN11" s="64"/>
      <c r="KAO11" s="64"/>
      <c r="KAP11" s="64"/>
      <c r="KAQ11" s="64"/>
      <c r="KAR11" s="64"/>
      <c r="KAS11" s="64"/>
      <c r="KAT11" s="64"/>
      <c r="KAU11" s="64"/>
      <c r="KAV11" s="64"/>
      <c r="KAW11" s="64"/>
      <c r="KAX11" s="64"/>
      <c r="KAY11" s="64"/>
      <c r="KAZ11" s="64"/>
      <c r="KBA11" s="64"/>
      <c r="KBB11" s="64"/>
      <c r="KBC11" s="64"/>
      <c r="KBD11" s="64"/>
      <c r="KBE11" s="64"/>
      <c r="KBF11" s="64"/>
      <c r="KBG11" s="64"/>
      <c r="KBH11" s="64"/>
      <c r="KBI11" s="64"/>
      <c r="KBJ11" s="64"/>
      <c r="KBK11" s="64"/>
      <c r="KBL11" s="64"/>
      <c r="KBM11" s="64"/>
      <c r="KBN11" s="64"/>
      <c r="KBO11" s="64"/>
      <c r="KBP11" s="64"/>
      <c r="KBQ11" s="64"/>
      <c r="KBR11" s="64"/>
      <c r="KBS11" s="64"/>
      <c r="KBT11" s="64"/>
      <c r="KBU11" s="64"/>
      <c r="KBV11" s="64"/>
      <c r="KBW11" s="64"/>
      <c r="KBX11" s="64"/>
      <c r="KBY11" s="64"/>
      <c r="KBZ11" s="64"/>
      <c r="KCA11" s="64"/>
      <c r="KCB11" s="64"/>
      <c r="KCC11" s="64"/>
      <c r="KCD11" s="64"/>
      <c r="KCE11" s="64"/>
      <c r="KCF11" s="64"/>
      <c r="KCG11" s="64"/>
      <c r="KCH11" s="64"/>
      <c r="KCI11" s="64"/>
      <c r="KCJ11" s="64"/>
      <c r="KCK11" s="64"/>
      <c r="KCL11" s="64"/>
      <c r="KCM11" s="64"/>
      <c r="KCN11" s="64"/>
      <c r="KCO11" s="64"/>
      <c r="KCP11" s="64"/>
      <c r="KCQ11" s="64"/>
      <c r="KCR11" s="64"/>
      <c r="KCS11" s="64"/>
      <c r="KCT11" s="64"/>
      <c r="KCU11" s="64"/>
      <c r="KCV11" s="64"/>
      <c r="KCW11" s="64"/>
      <c r="KCX11" s="64"/>
      <c r="KCY11" s="64"/>
      <c r="KCZ11" s="64"/>
      <c r="KDA11" s="64"/>
      <c r="KDB11" s="64"/>
      <c r="KDC11" s="64"/>
      <c r="KDD11" s="64"/>
      <c r="KDE11" s="64"/>
      <c r="KDF11" s="64"/>
      <c r="KDG11" s="64"/>
      <c r="KDH11" s="64"/>
      <c r="KDI11" s="64"/>
      <c r="KDJ11" s="64"/>
      <c r="KDK11" s="64"/>
      <c r="KDL11" s="64"/>
      <c r="KDM11" s="64"/>
      <c r="KDN11" s="64"/>
      <c r="KDO11" s="64"/>
      <c r="KDP11" s="64"/>
      <c r="KDQ11" s="64"/>
      <c r="KDR11" s="64"/>
      <c r="KDS11" s="64"/>
      <c r="KDT11" s="64"/>
      <c r="KDU11" s="64"/>
      <c r="KDV11" s="64"/>
      <c r="KDW11" s="64"/>
      <c r="KDX11" s="64"/>
      <c r="KDY11" s="64"/>
      <c r="KDZ11" s="64"/>
      <c r="KEA11" s="64"/>
      <c r="KEB11" s="64"/>
      <c r="KEC11" s="64"/>
      <c r="KED11" s="64"/>
      <c r="KEE11" s="64"/>
      <c r="KEF11" s="64"/>
      <c r="KEG11" s="64"/>
      <c r="KEH11" s="64"/>
      <c r="KEI11" s="64"/>
      <c r="KEJ11" s="64"/>
      <c r="KEK11" s="64"/>
      <c r="KEL11" s="64"/>
      <c r="KEM11" s="64"/>
      <c r="KEN11" s="64"/>
      <c r="KEO11" s="64"/>
      <c r="KEP11" s="64"/>
      <c r="KEQ11" s="64"/>
      <c r="KER11" s="64"/>
      <c r="KES11" s="64"/>
      <c r="KET11" s="64"/>
      <c r="KEU11" s="64"/>
      <c r="KEV11" s="64"/>
      <c r="KEW11" s="64"/>
      <c r="KEX11" s="64"/>
      <c r="KEY11" s="64"/>
      <c r="KEZ11" s="64"/>
      <c r="KFA11" s="64"/>
      <c r="KFB11" s="64"/>
      <c r="KFC11" s="64"/>
      <c r="KFD11" s="64"/>
      <c r="KFE11" s="64"/>
      <c r="KFF11" s="64"/>
      <c r="KFG11" s="64"/>
      <c r="KFH11" s="64"/>
      <c r="KFI11" s="64"/>
      <c r="KFJ11" s="64"/>
      <c r="KFK11" s="64"/>
      <c r="KFL11" s="64"/>
      <c r="KFM11" s="64"/>
      <c r="KFN11" s="64"/>
      <c r="KFO11" s="64"/>
      <c r="KFP11" s="64"/>
      <c r="KFQ11" s="64"/>
      <c r="KFR11" s="64"/>
      <c r="KFS11" s="64"/>
      <c r="KFT11" s="64"/>
      <c r="KFU11" s="64"/>
      <c r="KFV11" s="64"/>
      <c r="KFW11" s="64"/>
      <c r="KFX11" s="64"/>
      <c r="KFY11" s="64"/>
      <c r="KFZ11" s="64"/>
      <c r="KGA11" s="64"/>
      <c r="KGB11" s="64"/>
      <c r="KGC11" s="64"/>
      <c r="KGD11" s="64"/>
      <c r="KGE11" s="64"/>
      <c r="KGF11" s="64"/>
      <c r="KGG11" s="64"/>
      <c r="KGH11" s="64"/>
      <c r="KGI11" s="64"/>
      <c r="KGJ11" s="64"/>
      <c r="KGK11" s="64"/>
      <c r="KGL11" s="64"/>
      <c r="KGM11" s="64"/>
      <c r="KGN11" s="64"/>
      <c r="KGO11" s="64"/>
      <c r="KGP11" s="64"/>
      <c r="KGQ11" s="64"/>
      <c r="KGR11" s="64"/>
      <c r="KGS11" s="64"/>
      <c r="KGT11" s="64"/>
      <c r="KGU11" s="64"/>
      <c r="KGV11" s="64"/>
      <c r="KGW11" s="64"/>
      <c r="KGX11" s="64"/>
      <c r="KGY11" s="64"/>
      <c r="KGZ11" s="64"/>
      <c r="KHA11" s="64"/>
      <c r="KHB11" s="64"/>
      <c r="KHC11" s="64"/>
      <c r="KHD11" s="64"/>
      <c r="KHE11" s="64"/>
      <c r="KHF11" s="64"/>
      <c r="KHG11" s="64"/>
      <c r="KHH11" s="64"/>
      <c r="KHI11" s="64"/>
      <c r="KHJ11" s="64"/>
      <c r="KHK11" s="64"/>
      <c r="KHL11" s="64"/>
      <c r="KHM11" s="64"/>
      <c r="KHN11" s="64"/>
      <c r="KHO11" s="64"/>
      <c r="KHP11" s="64"/>
      <c r="KHQ11" s="64"/>
      <c r="KHR11" s="64"/>
      <c r="KHS11" s="64"/>
      <c r="KHT11" s="64"/>
      <c r="KHU11" s="64"/>
      <c r="KHV11" s="64"/>
      <c r="KHW11" s="64"/>
      <c r="KHX11" s="64"/>
      <c r="KHY11" s="64"/>
      <c r="KHZ11" s="64"/>
      <c r="KIA11" s="64"/>
      <c r="KIB11" s="64"/>
      <c r="KIC11" s="64"/>
      <c r="KID11" s="64"/>
      <c r="KIE11" s="64"/>
      <c r="KIF11" s="64"/>
      <c r="KIG11" s="64"/>
      <c r="KIH11" s="64"/>
      <c r="KII11" s="64"/>
      <c r="KIJ11" s="64"/>
      <c r="KIK11" s="64"/>
      <c r="KIL11" s="64"/>
      <c r="KIM11" s="64"/>
      <c r="KIN11" s="64"/>
      <c r="KIO11" s="64"/>
      <c r="KIP11" s="64"/>
      <c r="KIQ11" s="64"/>
      <c r="KIR11" s="64"/>
      <c r="KIS11" s="64"/>
      <c r="KIT11" s="64"/>
      <c r="KIU11" s="64"/>
      <c r="KIV11" s="64"/>
      <c r="KIW11" s="64"/>
      <c r="KIX11" s="64"/>
      <c r="KIY11" s="64"/>
      <c r="KIZ11" s="64"/>
      <c r="KJA11" s="64"/>
      <c r="KJB11" s="64"/>
      <c r="KJC11" s="64"/>
      <c r="KJD11" s="64"/>
      <c r="KJE11" s="64"/>
      <c r="KJF11" s="64"/>
      <c r="KJG11" s="64"/>
      <c r="KJH11" s="64"/>
      <c r="KJI11" s="64"/>
      <c r="KJJ11" s="64"/>
      <c r="KJK11" s="64"/>
      <c r="KJL11" s="64"/>
      <c r="KJM11" s="64"/>
      <c r="KJN11" s="64"/>
      <c r="KJO11" s="64"/>
      <c r="KJP11" s="64"/>
      <c r="KJQ11" s="64"/>
      <c r="KJR11" s="64"/>
      <c r="KJS11" s="64"/>
      <c r="KJT11" s="64"/>
      <c r="KJU11" s="64"/>
      <c r="KJV11" s="64"/>
      <c r="KJW11" s="64"/>
      <c r="KJX11" s="64"/>
      <c r="KJY11" s="64"/>
      <c r="KJZ11" s="64"/>
      <c r="KKA11" s="64"/>
      <c r="KKB11" s="64"/>
      <c r="KKC11" s="64"/>
      <c r="KKD11" s="64"/>
      <c r="KKE11" s="64"/>
      <c r="KKF11" s="64"/>
      <c r="KKG11" s="64"/>
      <c r="KKH11" s="64"/>
      <c r="KKI11" s="64"/>
      <c r="KKJ11" s="64"/>
      <c r="KKK11" s="64"/>
      <c r="KKL11" s="64"/>
      <c r="KKM11" s="64"/>
      <c r="KKN11" s="64"/>
      <c r="KKO11" s="64"/>
      <c r="KKP11" s="64"/>
      <c r="KKQ11" s="64"/>
      <c r="KKR11" s="64"/>
      <c r="KKS11" s="64"/>
      <c r="KKT11" s="64"/>
      <c r="KKU11" s="64"/>
      <c r="KKV11" s="64"/>
      <c r="KKW11" s="64"/>
      <c r="KKX11" s="64"/>
      <c r="KKY11" s="64"/>
      <c r="KKZ11" s="64"/>
      <c r="KLA11" s="64"/>
      <c r="KLB11" s="64"/>
      <c r="KLC11" s="64"/>
      <c r="KLD11" s="64"/>
      <c r="KLE11" s="64"/>
      <c r="KLF11" s="64"/>
      <c r="KLG11" s="64"/>
      <c r="KLH11" s="64"/>
      <c r="KLI11" s="64"/>
      <c r="KLJ11" s="64"/>
      <c r="KLK11" s="64"/>
      <c r="KLL11" s="64"/>
      <c r="KLM11" s="64"/>
      <c r="KLN11" s="64"/>
      <c r="KLO11" s="64"/>
      <c r="KLP11" s="64"/>
      <c r="KLQ11" s="64"/>
      <c r="KLR11" s="64"/>
      <c r="KLS11" s="64"/>
      <c r="KLT11" s="64"/>
      <c r="KLU11" s="64"/>
      <c r="KLV11" s="64"/>
      <c r="KLW11" s="64"/>
      <c r="KLX11" s="64"/>
      <c r="KLY11" s="64"/>
      <c r="KLZ11" s="64"/>
      <c r="KMA11" s="64"/>
      <c r="KMB11" s="64"/>
      <c r="KMC11" s="64"/>
      <c r="KMD11" s="64"/>
      <c r="KME11" s="64"/>
      <c r="KMF11" s="64"/>
      <c r="KMG11" s="64"/>
      <c r="KMH11" s="64"/>
      <c r="KMI11" s="64"/>
      <c r="KMJ11" s="64"/>
      <c r="KMK11" s="64"/>
      <c r="KML11" s="64"/>
      <c r="KMM11" s="64"/>
      <c r="KMN11" s="64"/>
      <c r="KMO11" s="64"/>
      <c r="KMP11" s="64"/>
      <c r="KMQ11" s="64"/>
      <c r="KMR11" s="64"/>
      <c r="KMS11" s="64"/>
      <c r="KMT11" s="64"/>
      <c r="KMU11" s="64"/>
      <c r="KMV11" s="64"/>
      <c r="KMW11" s="64"/>
      <c r="KMX11" s="64"/>
      <c r="KMY11" s="64"/>
      <c r="KMZ11" s="64"/>
      <c r="KNA11" s="64"/>
      <c r="KNB11" s="64"/>
      <c r="KNC11" s="64"/>
      <c r="KND11" s="64"/>
      <c r="KNE11" s="64"/>
      <c r="KNF11" s="64"/>
      <c r="KNG11" s="64"/>
      <c r="KNH11" s="64"/>
      <c r="KNI11" s="64"/>
      <c r="KNJ11" s="64"/>
      <c r="KNK11" s="64"/>
      <c r="KNL11" s="64"/>
      <c r="KNM11" s="64"/>
      <c r="KNN11" s="64"/>
      <c r="KNO11" s="64"/>
      <c r="KNP11" s="64"/>
      <c r="KNQ11" s="64"/>
      <c r="KNR11" s="64"/>
      <c r="KNS11" s="64"/>
      <c r="KNT11" s="64"/>
      <c r="KNU11" s="64"/>
      <c r="KNV11" s="64"/>
      <c r="KNW11" s="64"/>
      <c r="KNX11" s="64"/>
      <c r="KNY11" s="64"/>
      <c r="KNZ11" s="64"/>
      <c r="KOA11" s="64"/>
      <c r="KOB11" s="64"/>
      <c r="KOC11" s="64"/>
      <c r="KOD11" s="64"/>
      <c r="KOE11" s="64"/>
      <c r="KOF11" s="64"/>
      <c r="KOG11" s="64"/>
      <c r="KOH11" s="64"/>
      <c r="KOI11" s="64"/>
      <c r="KOJ11" s="64"/>
      <c r="KOK11" s="64"/>
      <c r="KOL11" s="64"/>
      <c r="KOM11" s="64"/>
      <c r="KON11" s="64"/>
      <c r="KOO11" s="64"/>
      <c r="KOP11" s="64"/>
      <c r="KOQ11" s="64"/>
      <c r="KOR11" s="64"/>
      <c r="KOS11" s="64"/>
      <c r="KOT11" s="64"/>
      <c r="KOU11" s="64"/>
      <c r="KOV11" s="64"/>
      <c r="KOW11" s="64"/>
      <c r="KOX11" s="64"/>
      <c r="KOY11" s="64"/>
      <c r="KOZ11" s="64"/>
      <c r="KPA11" s="64"/>
      <c r="KPB11" s="64"/>
      <c r="KPC11" s="64"/>
      <c r="KPD11" s="64"/>
      <c r="KPE11" s="64"/>
      <c r="KPF11" s="64"/>
      <c r="KPG11" s="64"/>
      <c r="KPH11" s="64"/>
      <c r="KPI11" s="64"/>
      <c r="KPJ11" s="64"/>
      <c r="KPK11" s="64"/>
      <c r="KPL11" s="64"/>
      <c r="KPM11" s="64"/>
      <c r="KPN11" s="64"/>
      <c r="KPO11" s="64"/>
      <c r="KPP11" s="64"/>
      <c r="KPQ11" s="64"/>
      <c r="KPR11" s="64"/>
      <c r="KPS11" s="64"/>
      <c r="KPT11" s="64"/>
      <c r="KPU11" s="64"/>
      <c r="KPV11" s="64"/>
      <c r="KPW11" s="64"/>
      <c r="KPX11" s="64"/>
      <c r="KPY11" s="64"/>
      <c r="KPZ11" s="64"/>
      <c r="KQA11" s="64"/>
      <c r="KQB11" s="64"/>
      <c r="KQC11" s="64"/>
      <c r="KQD11" s="64"/>
      <c r="KQE11" s="64"/>
      <c r="KQF11" s="64"/>
      <c r="KQG11" s="64"/>
      <c r="KQH11" s="64"/>
      <c r="KQI11" s="64"/>
      <c r="KQJ11" s="64"/>
      <c r="KQK11" s="64"/>
      <c r="KQL11" s="64"/>
      <c r="KQM11" s="64"/>
      <c r="KQN11" s="64"/>
      <c r="KQO11" s="64"/>
      <c r="KQP11" s="64"/>
      <c r="KQQ11" s="64"/>
      <c r="KQR11" s="64"/>
      <c r="KQS11" s="64"/>
      <c r="KQT11" s="64"/>
      <c r="KQU11" s="64"/>
      <c r="KQV11" s="64"/>
      <c r="KQW11" s="64"/>
      <c r="KQX11" s="64"/>
      <c r="KQY11" s="64"/>
      <c r="KQZ11" s="64"/>
      <c r="KRA11" s="64"/>
      <c r="KRB11" s="64"/>
      <c r="KRC11" s="64"/>
      <c r="KRD11" s="64"/>
      <c r="KRE11" s="64"/>
      <c r="KRF11" s="64"/>
      <c r="KRG11" s="64"/>
      <c r="KRH11" s="64"/>
      <c r="KRI11" s="64"/>
      <c r="KRJ11" s="64"/>
      <c r="KRK11" s="64"/>
      <c r="KRL11" s="64"/>
      <c r="KRM11" s="64"/>
      <c r="KRN11" s="64"/>
      <c r="KRO11" s="64"/>
      <c r="KRP11" s="64"/>
      <c r="KRQ11" s="64"/>
      <c r="KRR11" s="64"/>
      <c r="KRS11" s="64"/>
      <c r="KRT11" s="64"/>
      <c r="KRU11" s="64"/>
      <c r="KRV11" s="64"/>
      <c r="KRW11" s="64"/>
      <c r="KRX11" s="64"/>
      <c r="KRY11" s="64"/>
      <c r="KRZ11" s="64"/>
      <c r="KSA11" s="64"/>
      <c r="KSB11" s="64"/>
      <c r="KSC11" s="64"/>
      <c r="KSD11" s="64"/>
      <c r="KSE11" s="64"/>
      <c r="KSF11" s="64"/>
      <c r="KSG11" s="64"/>
      <c r="KSH11" s="64"/>
      <c r="KSI11" s="64"/>
      <c r="KSJ11" s="64"/>
      <c r="KSK11" s="64"/>
      <c r="KSL11" s="64"/>
      <c r="KSM11" s="64"/>
      <c r="KSN11" s="64"/>
      <c r="KSO11" s="64"/>
      <c r="KSP11" s="64"/>
      <c r="KSQ11" s="64"/>
      <c r="KSR11" s="64"/>
      <c r="KSS11" s="64"/>
      <c r="KST11" s="64"/>
      <c r="KSU11" s="64"/>
      <c r="KSV11" s="64"/>
      <c r="KSW11" s="64"/>
      <c r="KSX11" s="64"/>
      <c r="KSY11" s="64"/>
      <c r="KSZ11" s="64"/>
      <c r="KTA11" s="64"/>
      <c r="KTB11" s="64"/>
      <c r="KTC11" s="64"/>
      <c r="KTD11" s="64"/>
      <c r="KTE11" s="64"/>
      <c r="KTF11" s="64"/>
      <c r="KTG11" s="64"/>
      <c r="KTH11" s="64"/>
      <c r="KTI11" s="64"/>
      <c r="KTJ11" s="64"/>
      <c r="KTK11" s="64"/>
      <c r="KTL11" s="64"/>
      <c r="KTM11" s="64"/>
      <c r="KTN11" s="64"/>
      <c r="KTO11" s="64"/>
      <c r="KTP11" s="64"/>
      <c r="KTQ11" s="64"/>
      <c r="KTR11" s="64"/>
      <c r="KTS11" s="64"/>
      <c r="KTT11" s="64"/>
      <c r="KTU11" s="64"/>
      <c r="KTV11" s="64"/>
      <c r="KTW11" s="64"/>
      <c r="KTX11" s="64"/>
      <c r="KTY11" s="64"/>
      <c r="KTZ11" s="64"/>
      <c r="KUA11" s="64"/>
      <c r="KUB11" s="64"/>
      <c r="KUC11" s="64"/>
      <c r="KUD11" s="64"/>
      <c r="KUE11" s="64"/>
      <c r="KUF11" s="64"/>
      <c r="KUG11" s="64"/>
      <c r="KUH11" s="64"/>
      <c r="KUI11" s="64"/>
      <c r="KUJ11" s="64"/>
      <c r="KUK11" s="64"/>
      <c r="KUL11" s="64"/>
      <c r="KUM11" s="64"/>
      <c r="KUN11" s="64"/>
      <c r="KUO11" s="64"/>
      <c r="KUP11" s="64"/>
      <c r="KUQ11" s="64"/>
      <c r="KUR11" s="64"/>
      <c r="KUS11" s="64"/>
      <c r="KUT11" s="64"/>
      <c r="KUU11" s="64"/>
      <c r="KUV11" s="64"/>
      <c r="KUW11" s="64"/>
      <c r="KUX11" s="64"/>
      <c r="KUY11" s="64"/>
      <c r="KUZ11" s="64"/>
      <c r="KVA11" s="64"/>
      <c r="KVB11" s="64"/>
      <c r="KVC11" s="64"/>
      <c r="KVD11" s="64"/>
      <c r="KVE11" s="64"/>
      <c r="KVF11" s="64"/>
      <c r="KVG11" s="64"/>
      <c r="KVH11" s="64"/>
      <c r="KVI11" s="64"/>
      <c r="KVJ11" s="64"/>
      <c r="KVK11" s="64"/>
      <c r="KVL11" s="64"/>
      <c r="KVM11" s="64"/>
      <c r="KVN11" s="64"/>
      <c r="KVO11" s="64"/>
      <c r="KVP11" s="64"/>
      <c r="KVQ11" s="64"/>
      <c r="KVR11" s="64"/>
      <c r="KVS11" s="64"/>
      <c r="KVT11" s="64"/>
      <c r="KVU11" s="64"/>
      <c r="KVV11" s="64"/>
      <c r="KVW11" s="64"/>
      <c r="KVX11" s="64"/>
      <c r="KVY11" s="64"/>
      <c r="KVZ11" s="64"/>
      <c r="KWA11" s="64"/>
      <c r="KWB11" s="64"/>
      <c r="KWC11" s="64"/>
      <c r="KWD11" s="64"/>
      <c r="KWE11" s="64"/>
      <c r="KWF11" s="64"/>
      <c r="KWG11" s="64"/>
      <c r="KWH11" s="64"/>
      <c r="KWI11" s="64"/>
      <c r="KWJ11" s="64"/>
      <c r="KWK11" s="64"/>
      <c r="KWL11" s="64"/>
      <c r="KWM11" s="64"/>
      <c r="KWN11" s="64"/>
      <c r="KWO11" s="64"/>
      <c r="KWP11" s="64"/>
      <c r="KWQ11" s="64"/>
      <c r="KWR11" s="64"/>
      <c r="KWS11" s="64"/>
      <c r="KWT11" s="64"/>
      <c r="KWU11" s="64"/>
      <c r="KWV11" s="64"/>
      <c r="KWW11" s="64"/>
      <c r="KWX11" s="64"/>
      <c r="KWY11" s="64"/>
      <c r="KWZ11" s="64"/>
      <c r="KXA11" s="64"/>
      <c r="KXB11" s="64"/>
      <c r="KXC11" s="64"/>
      <c r="KXD11" s="64"/>
      <c r="KXE11" s="64"/>
      <c r="KXF11" s="64"/>
      <c r="KXG11" s="64"/>
      <c r="KXH11" s="64"/>
      <c r="KXI11" s="64"/>
      <c r="KXJ11" s="64"/>
      <c r="KXK11" s="64"/>
      <c r="KXL11" s="64"/>
      <c r="KXM11" s="64"/>
      <c r="KXN11" s="64"/>
      <c r="KXO11" s="64"/>
      <c r="KXP11" s="64"/>
      <c r="KXQ11" s="64"/>
      <c r="KXR11" s="64"/>
      <c r="KXS11" s="64"/>
      <c r="KXT11" s="64"/>
      <c r="KXU11" s="64"/>
      <c r="KXV11" s="64"/>
      <c r="KXW11" s="64"/>
      <c r="KXX11" s="64"/>
      <c r="KXY11" s="64"/>
      <c r="KXZ11" s="64"/>
      <c r="KYA11" s="64"/>
      <c r="KYB11" s="64"/>
      <c r="KYC11" s="64"/>
      <c r="KYD11" s="64"/>
      <c r="KYE11" s="64"/>
      <c r="KYF11" s="64"/>
      <c r="KYG11" s="64"/>
      <c r="KYH11" s="64"/>
      <c r="KYI11" s="64"/>
      <c r="KYJ11" s="64"/>
      <c r="KYK11" s="64"/>
      <c r="KYL11" s="64"/>
      <c r="KYM11" s="64"/>
      <c r="KYN11" s="64"/>
      <c r="KYO11" s="64"/>
      <c r="KYP11" s="64"/>
      <c r="KYQ11" s="64"/>
      <c r="KYR11" s="64"/>
      <c r="KYS11" s="64"/>
      <c r="KYT11" s="64"/>
      <c r="KYU11" s="64"/>
      <c r="KYV11" s="64"/>
      <c r="KYW11" s="64"/>
      <c r="KYX11" s="64"/>
      <c r="KYY11" s="64"/>
      <c r="KYZ11" s="64"/>
      <c r="KZA11" s="64"/>
      <c r="KZB11" s="64"/>
      <c r="KZC11" s="64"/>
      <c r="KZD11" s="64"/>
      <c r="KZE11" s="64"/>
      <c r="KZF11" s="64"/>
      <c r="KZG11" s="64"/>
      <c r="KZH11" s="64"/>
      <c r="KZI11" s="64"/>
      <c r="KZJ11" s="64"/>
      <c r="KZK11" s="64"/>
      <c r="KZL11" s="64"/>
      <c r="KZM11" s="64"/>
      <c r="KZN11" s="64"/>
      <c r="KZO11" s="64"/>
      <c r="KZP11" s="64"/>
      <c r="KZQ11" s="64"/>
      <c r="KZR11" s="64"/>
      <c r="KZS11" s="64"/>
      <c r="KZT11" s="64"/>
      <c r="KZU11" s="64"/>
      <c r="KZV11" s="64"/>
      <c r="KZW11" s="64"/>
      <c r="KZX11" s="64"/>
      <c r="KZY11" s="64"/>
      <c r="KZZ11" s="64"/>
      <c r="LAA11" s="64"/>
      <c r="LAB11" s="64"/>
      <c r="LAC11" s="64"/>
      <c r="LAD11" s="64"/>
      <c r="LAE11" s="64"/>
      <c r="LAF11" s="64"/>
      <c r="LAG11" s="64"/>
      <c r="LAH11" s="64"/>
      <c r="LAI11" s="64"/>
      <c r="LAJ11" s="64"/>
      <c r="LAK11" s="64"/>
      <c r="LAL11" s="64"/>
      <c r="LAM11" s="64"/>
      <c r="LAN11" s="64"/>
      <c r="LAO11" s="64"/>
      <c r="LAP11" s="64"/>
      <c r="LAQ11" s="64"/>
      <c r="LAR11" s="64"/>
      <c r="LAS11" s="64"/>
      <c r="LAT11" s="64"/>
      <c r="LAU11" s="64"/>
      <c r="LAV11" s="64"/>
      <c r="LAW11" s="64"/>
      <c r="LAX11" s="64"/>
      <c r="LAY11" s="64"/>
      <c r="LAZ11" s="64"/>
      <c r="LBA11" s="64"/>
      <c r="LBB11" s="64"/>
      <c r="LBC11" s="64"/>
      <c r="LBD11" s="64"/>
      <c r="LBE11" s="64"/>
      <c r="LBF11" s="64"/>
      <c r="LBG11" s="64"/>
      <c r="LBH11" s="64"/>
      <c r="LBI11" s="64"/>
      <c r="LBJ11" s="64"/>
      <c r="LBK11" s="64"/>
      <c r="LBL11" s="64"/>
      <c r="LBM11" s="64"/>
      <c r="LBN11" s="64"/>
      <c r="LBO11" s="64"/>
      <c r="LBP11" s="64"/>
      <c r="LBQ11" s="64"/>
      <c r="LBR11" s="64"/>
      <c r="LBS11" s="64"/>
      <c r="LBT11" s="64"/>
      <c r="LBU11" s="64"/>
      <c r="LBV11" s="64"/>
      <c r="LBW11" s="64"/>
      <c r="LBX11" s="64"/>
      <c r="LBY11" s="64"/>
      <c r="LBZ11" s="64"/>
      <c r="LCA11" s="64"/>
      <c r="LCB11" s="64"/>
      <c r="LCC11" s="64"/>
      <c r="LCD11" s="64"/>
      <c r="LCE11" s="64"/>
      <c r="LCF11" s="64"/>
      <c r="LCG11" s="64"/>
      <c r="LCH11" s="64"/>
      <c r="LCI11" s="64"/>
      <c r="LCJ11" s="64"/>
      <c r="LCK11" s="64"/>
      <c r="LCL11" s="64"/>
      <c r="LCM11" s="64"/>
      <c r="LCN11" s="64"/>
      <c r="LCO11" s="64"/>
      <c r="LCP11" s="64"/>
      <c r="LCQ11" s="64"/>
      <c r="LCR11" s="64"/>
      <c r="LCS11" s="64"/>
      <c r="LCT11" s="64"/>
      <c r="LCU11" s="64"/>
      <c r="LCV11" s="64"/>
      <c r="LCW11" s="64"/>
      <c r="LCX11" s="64"/>
      <c r="LCY11" s="64"/>
      <c r="LCZ11" s="64"/>
      <c r="LDA11" s="64"/>
      <c r="LDB11" s="64"/>
      <c r="LDC11" s="64"/>
      <c r="LDD11" s="64"/>
      <c r="LDE11" s="64"/>
      <c r="LDF11" s="64"/>
      <c r="LDG11" s="64"/>
      <c r="LDH11" s="64"/>
      <c r="LDI11" s="64"/>
      <c r="LDJ11" s="64"/>
      <c r="LDK11" s="64"/>
      <c r="LDL11" s="64"/>
      <c r="LDM11" s="64"/>
      <c r="LDN11" s="64"/>
      <c r="LDO11" s="64"/>
      <c r="LDP11" s="64"/>
      <c r="LDQ11" s="64"/>
      <c r="LDR11" s="64"/>
      <c r="LDS11" s="64"/>
      <c r="LDT11" s="64"/>
      <c r="LDU11" s="64"/>
      <c r="LDV11" s="64"/>
      <c r="LDW11" s="64"/>
      <c r="LDX11" s="64"/>
      <c r="LDY11" s="64"/>
      <c r="LDZ11" s="64"/>
      <c r="LEA11" s="64"/>
      <c r="LEB11" s="64"/>
      <c r="LEC11" s="64"/>
      <c r="LED11" s="64"/>
      <c r="LEE11" s="64"/>
      <c r="LEF11" s="64"/>
      <c r="LEG11" s="64"/>
      <c r="LEH11" s="64"/>
      <c r="LEI11" s="64"/>
      <c r="LEJ11" s="64"/>
      <c r="LEK11" s="64"/>
      <c r="LEL11" s="64"/>
      <c r="LEM11" s="64"/>
      <c r="LEN11" s="64"/>
      <c r="LEO11" s="64"/>
      <c r="LEP11" s="64"/>
      <c r="LEQ11" s="64"/>
      <c r="LER11" s="64"/>
      <c r="LES11" s="64"/>
      <c r="LET11" s="64"/>
      <c r="LEU11" s="64"/>
      <c r="LEV11" s="64"/>
      <c r="LEW11" s="64"/>
      <c r="LEX11" s="64"/>
      <c r="LEY11" s="64"/>
      <c r="LEZ11" s="64"/>
      <c r="LFA11" s="64"/>
      <c r="LFB11" s="64"/>
      <c r="LFC11" s="64"/>
      <c r="LFD11" s="64"/>
      <c r="LFE11" s="64"/>
      <c r="LFF11" s="64"/>
      <c r="LFG11" s="64"/>
      <c r="LFH11" s="64"/>
      <c r="LFI11" s="64"/>
      <c r="LFJ11" s="64"/>
      <c r="LFK11" s="64"/>
      <c r="LFL11" s="64"/>
      <c r="LFM11" s="64"/>
      <c r="LFN11" s="64"/>
      <c r="LFO11" s="64"/>
      <c r="LFP11" s="64"/>
      <c r="LFQ11" s="64"/>
      <c r="LFR11" s="64"/>
      <c r="LFS11" s="64"/>
      <c r="LFT11" s="64"/>
      <c r="LFU11" s="64"/>
      <c r="LFV11" s="64"/>
      <c r="LFW11" s="64"/>
      <c r="LFX11" s="64"/>
      <c r="LFY11" s="64"/>
      <c r="LFZ11" s="64"/>
      <c r="LGA11" s="64"/>
      <c r="LGB11" s="64"/>
      <c r="LGC11" s="64"/>
      <c r="LGD11" s="64"/>
      <c r="LGE11" s="64"/>
      <c r="LGF11" s="64"/>
      <c r="LGG11" s="64"/>
      <c r="LGH11" s="64"/>
      <c r="LGI11" s="64"/>
      <c r="LGJ11" s="64"/>
      <c r="LGK11" s="64"/>
      <c r="LGL11" s="64"/>
      <c r="LGM11" s="64"/>
      <c r="LGN11" s="64"/>
      <c r="LGO11" s="64"/>
      <c r="LGP11" s="64"/>
      <c r="LGQ11" s="64"/>
      <c r="LGR11" s="64"/>
      <c r="LGS11" s="64"/>
      <c r="LGT11" s="64"/>
      <c r="LGU11" s="64"/>
      <c r="LGV11" s="64"/>
      <c r="LGW11" s="64"/>
      <c r="LGX11" s="64"/>
      <c r="LGY11" s="64"/>
      <c r="LGZ11" s="64"/>
      <c r="LHA11" s="64"/>
      <c r="LHB11" s="64"/>
      <c r="LHC11" s="64"/>
      <c r="LHD11" s="64"/>
      <c r="LHE11" s="64"/>
      <c r="LHF11" s="64"/>
      <c r="LHG11" s="64"/>
      <c r="LHH11" s="64"/>
      <c r="LHI11" s="64"/>
      <c r="LHJ11" s="64"/>
      <c r="LHK11" s="64"/>
      <c r="LHL11" s="64"/>
      <c r="LHM11" s="64"/>
      <c r="LHN11" s="64"/>
      <c r="LHO11" s="64"/>
      <c r="LHP11" s="64"/>
      <c r="LHQ11" s="64"/>
      <c r="LHR11" s="64"/>
      <c r="LHS11" s="64"/>
      <c r="LHT11" s="64"/>
      <c r="LHU11" s="64"/>
      <c r="LHV11" s="64"/>
      <c r="LHW11" s="64"/>
      <c r="LHX11" s="64"/>
      <c r="LHY11" s="64"/>
      <c r="LHZ11" s="64"/>
      <c r="LIA11" s="64"/>
      <c r="LIB11" s="64"/>
      <c r="LIC11" s="64"/>
      <c r="LID11" s="64"/>
      <c r="LIE11" s="64"/>
      <c r="LIF11" s="64"/>
      <c r="LIG11" s="64"/>
      <c r="LIH11" s="64"/>
      <c r="LII11" s="64"/>
      <c r="LIJ11" s="64"/>
      <c r="LIK11" s="64"/>
      <c r="LIL11" s="64"/>
      <c r="LIM11" s="64"/>
      <c r="LIN11" s="64"/>
      <c r="LIO11" s="64"/>
      <c r="LIP11" s="64"/>
      <c r="LIQ11" s="64"/>
      <c r="LIR11" s="64"/>
      <c r="LIS11" s="64"/>
      <c r="LIT11" s="64"/>
      <c r="LIU11" s="64"/>
      <c r="LIV11" s="64"/>
      <c r="LIW11" s="64"/>
      <c r="LIX11" s="64"/>
      <c r="LIY11" s="64"/>
      <c r="LIZ11" s="64"/>
      <c r="LJA11" s="64"/>
      <c r="LJB11" s="64"/>
      <c r="LJC11" s="64"/>
      <c r="LJD11" s="64"/>
      <c r="LJE11" s="64"/>
      <c r="LJF11" s="64"/>
      <c r="LJG11" s="64"/>
      <c r="LJH11" s="64"/>
      <c r="LJI11" s="64"/>
      <c r="LJJ11" s="64"/>
      <c r="LJK11" s="64"/>
      <c r="LJL11" s="64"/>
      <c r="LJM11" s="64"/>
      <c r="LJN11" s="64"/>
      <c r="LJO11" s="64"/>
      <c r="LJP11" s="64"/>
      <c r="LJQ11" s="64"/>
      <c r="LJR11" s="64"/>
      <c r="LJS11" s="64"/>
      <c r="LJT11" s="64"/>
      <c r="LJU11" s="64"/>
      <c r="LJV11" s="64"/>
      <c r="LJW11" s="64"/>
      <c r="LJX11" s="64"/>
      <c r="LJY11" s="64"/>
      <c r="LJZ11" s="64"/>
      <c r="LKA11" s="64"/>
      <c r="LKB11" s="64"/>
      <c r="LKC11" s="64"/>
      <c r="LKD11" s="64"/>
      <c r="LKE11" s="64"/>
      <c r="LKF11" s="64"/>
      <c r="LKG11" s="64"/>
      <c r="LKH11" s="64"/>
      <c r="LKI11" s="64"/>
      <c r="LKJ11" s="64"/>
      <c r="LKK11" s="64"/>
      <c r="LKL11" s="64"/>
      <c r="LKM11" s="64"/>
      <c r="LKN11" s="64"/>
      <c r="LKO11" s="64"/>
      <c r="LKP11" s="64"/>
      <c r="LKQ11" s="64"/>
      <c r="LKR11" s="64"/>
      <c r="LKS11" s="64"/>
      <c r="LKT11" s="64"/>
      <c r="LKU11" s="64"/>
      <c r="LKV11" s="64"/>
      <c r="LKW11" s="64"/>
      <c r="LKX11" s="64"/>
      <c r="LKY11" s="64"/>
      <c r="LKZ11" s="64"/>
      <c r="LLA11" s="64"/>
      <c r="LLB11" s="64"/>
      <c r="LLC11" s="64"/>
      <c r="LLD11" s="64"/>
      <c r="LLE11" s="64"/>
      <c r="LLF11" s="64"/>
      <c r="LLG11" s="64"/>
      <c r="LLH11" s="64"/>
      <c r="LLI11" s="64"/>
      <c r="LLJ11" s="64"/>
      <c r="LLK11" s="64"/>
      <c r="LLL11" s="64"/>
      <c r="LLM11" s="64"/>
      <c r="LLN11" s="64"/>
      <c r="LLO11" s="64"/>
      <c r="LLP11" s="64"/>
      <c r="LLQ11" s="64"/>
      <c r="LLR11" s="64"/>
      <c r="LLS11" s="64"/>
      <c r="LLT11" s="64"/>
      <c r="LLU11" s="64"/>
      <c r="LLV11" s="64"/>
      <c r="LLW11" s="64"/>
      <c r="LLX11" s="64"/>
      <c r="LLY11" s="64"/>
      <c r="LLZ11" s="64"/>
      <c r="LMA11" s="64"/>
      <c r="LMB11" s="64"/>
      <c r="LMC11" s="64"/>
      <c r="LMD11" s="64"/>
      <c r="LME11" s="64"/>
      <c r="LMF11" s="64"/>
      <c r="LMG11" s="64"/>
      <c r="LMH11" s="64"/>
      <c r="LMI11" s="64"/>
      <c r="LMJ11" s="64"/>
      <c r="LMK11" s="64"/>
      <c r="LML11" s="64"/>
      <c r="LMM11" s="64"/>
      <c r="LMN11" s="64"/>
      <c r="LMO11" s="64"/>
      <c r="LMP11" s="64"/>
      <c r="LMQ11" s="64"/>
      <c r="LMR11" s="64"/>
      <c r="LMS11" s="64"/>
      <c r="LMT11" s="64"/>
      <c r="LMU11" s="64"/>
      <c r="LMV11" s="64"/>
      <c r="LMW11" s="64"/>
      <c r="LMX11" s="64"/>
      <c r="LMY11" s="64"/>
      <c r="LMZ11" s="64"/>
      <c r="LNA11" s="64"/>
      <c r="LNB11" s="64"/>
      <c r="LNC11" s="64"/>
      <c r="LND11" s="64"/>
      <c r="LNE11" s="64"/>
      <c r="LNF11" s="64"/>
      <c r="LNG11" s="64"/>
      <c r="LNH11" s="64"/>
      <c r="LNI11" s="64"/>
      <c r="LNJ11" s="64"/>
      <c r="LNK11" s="64"/>
      <c r="LNL11" s="64"/>
      <c r="LNM11" s="64"/>
      <c r="LNN11" s="64"/>
      <c r="LNO11" s="64"/>
      <c r="LNP11" s="64"/>
      <c r="LNQ11" s="64"/>
      <c r="LNR11" s="64"/>
      <c r="LNS11" s="64"/>
      <c r="LNT11" s="64"/>
      <c r="LNU11" s="64"/>
      <c r="LNV11" s="64"/>
      <c r="LNW11" s="64"/>
      <c r="LNX11" s="64"/>
      <c r="LNY11" s="64"/>
      <c r="LNZ11" s="64"/>
      <c r="LOA11" s="64"/>
      <c r="LOB11" s="64"/>
      <c r="LOC11" s="64"/>
      <c r="LOD11" s="64"/>
      <c r="LOE11" s="64"/>
      <c r="LOF11" s="64"/>
      <c r="LOG11" s="64"/>
      <c r="LOH11" s="64"/>
      <c r="LOI11" s="64"/>
      <c r="LOJ11" s="64"/>
      <c r="LOK11" s="64"/>
      <c r="LOL11" s="64"/>
      <c r="LOM11" s="64"/>
      <c r="LON11" s="64"/>
      <c r="LOO11" s="64"/>
      <c r="LOP11" s="64"/>
      <c r="LOQ11" s="64"/>
      <c r="LOR11" s="64"/>
      <c r="LOS11" s="64"/>
      <c r="LOT11" s="64"/>
      <c r="LOU11" s="64"/>
      <c r="LOV11" s="64"/>
      <c r="LOW11" s="64"/>
      <c r="LOX11" s="64"/>
      <c r="LOY11" s="64"/>
      <c r="LOZ11" s="64"/>
      <c r="LPA11" s="64"/>
      <c r="LPB11" s="64"/>
      <c r="LPC11" s="64"/>
      <c r="LPD11" s="64"/>
      <c r="LPE11" s="64"/>
      <c r="LPF11" s="64"/>
      <c r="LPG11" s="64"/>
      <c r="LPH11" s="64"/>
      <c r="LPI11" s="64"/>
      <c r="LPJ11" s="64"/>
      <c r="LPK11" s="64"/>
      <c r="LPL11" s="64"/>
      <c r="LPM11" s="64"/>
      <c r="LPN11" s="64"/>
      <c r="LPO11" s="64"/>
      <c r="LPP11" s="64"/>
      <c r="LPQ11" s="64"/>
      <c r="LPR11" s="64"/>
      <c r="LPS11" s="64"/>
      <c r="LPT11" s="64"/>
      <c r="LPU11" s="64"/>
      <c r="LPV11" s="64"/>
      <c r="LPW11" s="64"/>
      <c r="LPX11" s="64"/>
      <c r="LPY11" s="64"/>
      <c r="LPZ11" s="64"/>
      <c r="LQA11" s="64"/>
      <c r="LQB11" s="64"/>
      <c r="LQC11" s="64"/>
      <c r="LQD11" s="64"/>
      <c r="LQE11" s="64"/>
      <c r="LQF11" s="64"/>
      <c r="LQG11" s="64"/>
      <c r="LQH11" s="64"/>
      <c r="LQI11" s="64"/>
      <c r="LQJ11" s="64"/>
      <c r="LQK11" s="64"/>
      <c r="LQL11" s="64"/>
      <c r="LQM11" s="64"/>
      <c r="LQN11" s="64"/>
      <c r="LQO11" s="64"/>
      <c r="LQP11" s="64"/>
      <c r="LQQ11" s="64"/>
      <c r="LQR11" s="64"/>
      <c r="LQS11" s="64"/>
      <c r="LQT11" s="64"/>
      <c r="LQU11" s="64"/>
      <c r="LQV11" s="64"/>
      <c r="LQW11" s="64"/>
      <c r="LQX11" s="64"/>
      <c r="LQY11" s="64"/>
      <c r="LQZ11" s="64"/>
      <c r="LRA11" s="64"/>
      <c r="LRB11" s="64"/>
      <c r="LRC11" s="64"/>
      <c r="LRD11" s="64"/>
      <c r="LRE11" s="64"/>
      <c r="LRF11" s="64"/>
      <c r="LRG11" s="64"/>
      <c r="LRH11" s="64"/>
      <c r="LRI11" s="64"/>
      <c r="LRJ11" s="64"/>
      <c r="LRK11" s="64"/>
      <c r="LRL11" s="64"/>
      <c r="LRM11" s="64"/>
      <c r="LRN11" s="64"/>
      <c r="LRO11" s="64"/>
      <c r="LRP11" s="64"/>
      <c r="LRQ11" s="64"/>
      <c r="LRR11" s="64"/>
      <c r="LRS11" s="64"/>
      <c r="LRT11" s="64"/>
      <c r="LRU11" s="64"/>
      <c r="LRV11" s="64"/>
      <c r="LRW11" s="64"/>
      <c r="LRX11" s="64"/>
      <c r="LRY11" s="64"/>
      <c r="LRZ11" s="64"/>
      <c r="LSA11" s="64"/>
      <c r="LSB11" s="64"/>
      <c r="LSC11" s="64"/>
      <c r="LSD11" s="64"/>
      <c r="LSE11" s="64"/>
      <c r="LSF11" s="64"/>
      <c r="LSG11" s="64"/>
      <c r="LSH11" s="64"/>
      <c r="LSI11" s="64"/>
      <c r="LSJ11" s="64"/>
      <c r="LSK11" s="64"/>
      <c r="LSL11" s="64"/>
      <c r="LSM11" s="64"/>
      <c r="LSN11" s="64"/>
      <c r="LSO11" s="64"/>
      <c r="LSP11" s="64"/>
      <c r="LSQ11" s="64"/>
      <c r="LSR11" s="64"/>
      <c r="LSS11" s="64"/>
      <c r="LST11" s="64"/>
      <c r="LSU11" s="64"/>
      <c r="LSV11" s="64"/>
      <c r="LSW11" s="64"/>
      <c r="LSX11" s="64"/>
      <c r="LSY11" s="64"/>
      <c r="LSZ11" s="64"/>
      <c r="LTA11" s="64"/>
      <c r="LTB11" s="64"/>
      <c r="LTC11" s="64"/>
      <c r="LTD11" s="64"/>
      <c r="LTE11" s="64"/>
      <c r="LTF11" s="64"/>
      <c r="LTG11" s="64"/>
      <c r="LTH11" s="64"/>
      <c r="LTI11" s="64"/>
      <c r="LTJ11" s="64"/>
      <c r="LTK11" s="64"/>
      <c r="LTL11" s="64"/>
      <c r="LTM11" s="64"/>
      <c r="LTN11" s="64"/>
      <c r="LTO11" s="64"/>
      <c r="LTP11" s="64"/>
      <c r="LTQ11" s="64"/>
      <c r="LTR11" s="64"/>
      <c r="LTS11" s="64"/>
      <c r="LTT11" s="64"/>
      <c r="LTU11" s="64"/>
      <c r="LTV11" s="64"/>
      <c r="LTW11" s="64"/>
      <c r="LTX11" s="64"/>
      <c r="LTY11" s="64"/>
      <c r="LTZ11" s="64"/>
      <c r="LUA11" s="64"/>
      <c r="LUB11" s="64"/>
      <c r="LUC11" s="64"/>
      <c r="LUD11" s="64"/>
      <c r="LUE11" s="64"/>
      <c r="LUF11" s="64"/>
      <c r="LUG11" s="64"/>
      <c r="LUH11" s="64"/>
      <c r="LUI11" s="64"/>
      <c r="LUJ11" s="64"/>
      <c r="LUK11" s="64"/>
      <c r="LUL11" s="64"/>
      <c r="LUM11" s="64"/>
      <c r="LUN11" s="64"/>
      <c r="LUO11" s="64"/>
      <c r="LUP11" s="64"/>
      <c r="LUQ11" s="64"/>
      <c r="LUR11" s="64"/>
      <c r="LUS11" s="64"/>
      <c r="LUT11" s="64"/>
      <c r="LUU11" s="64"/>
      <c r="LUV11" s="64"/>
      <c r="LUW11" s="64"/>
      <c r="LUX11" s="64"/>
      <c r="LUY11" s="64"/>
      <c r="LUZ11" s="64"/>
      <c r="LVA11" s="64"/>
      <c r="LVB11" s="64"/>
      <c r="LVC11" s="64"/>
      <c r="LVD11" s="64"/>
      <c r="LVE11" s="64"/>
      <c r="LVF11" s="64"/>
      <c r="LVG11" s="64"/>
      <c r="LVH11" s="64"/>
      <c r="LVI11" s="64"/>
      <c r="LVJ11" s="64"/>
      <c r="LVK11" s="64"/>
      <c r="LVL11" s="64"/>
      <c r="LVM11" s="64"/>
      <c r="LVN11" s="64"/>
      <c r="LVO11" s="64"/>
      <c r="LVP11" s="64"/>
      <c r="LVQ11" s="64"/>
      <c r="LVR11" s="64"/>
      <c r="LVS11" s="64"/>
      <c r="LVT11" s="64"/>
      <c r="LVU11" s="64"/>
      <c r="LVV11" s="64"/>
      <c r="LVW11" s="64"/>
      <c r="LVX11" s="64"/>
      <c r="LVY11" s="64"/>
      <c r="LVZ11" s="64"/>
      <c r="LWA11" s="64"/>
      <c r="LWB11" s="64"/>
      <c r="LWC11" s="64"/>
      <c r="LWD11" s="64"/>
      <c r="LWE11" s="64"/>
      <c r="LWF11" s="64"/>
      <c r="LWG11" s="64"/>
      <c r="LWH11" s="64"/>
      <c r="LWI11" s="64"/>
      <c r="LWJ11" s="64"/>
      <c r="LWK11" s="64"/>
      <c r="LWL11" s="64"/>
      <c r="LWM11" s="64"/>
      <c r="LWN11" s="64"/>
      <c r="LWO11" s="64"/>
      <c r="LWP11" s="64"/>
      <c r="LWQ11" s="64"/>
      <c r="LWR11" s="64"/>
      <c r="LWS11" s="64"/>
      <c r="LWT11" s="64"/>
      <c r="LWU11" s="64"/>
      <c r="LWV11" s="64"/>
      <c r="LWW11" s="64"/>
      <c r="LWX11" s="64"/>
      <c r="LWY11" s="64"/>
      <c r="LWZ11" s="64"/>
      <c r="LXA11" s="64"/>
      <c r="LXB11" s="64"/>
      <c r="LXC11" s="64"/>
      <c r="LXD11" s="64"/>
      <c r="LXE11" s="64"/>
      <c r="LXF11" s="64"/>
      <c r="LXG11" s="64"/>
      <c r="LXH11" s="64"/>
      <c r="LXI11" s="64"/>
      <c r="LXJ11" s="64"/>
      <c r="LXK11" s="64"/>
      <c r="LXL11" s="64"/>
      <c r="LXM11" s="64"/>
      <c r="LXN11" s="64"/>
      <c r="LXO11" s="64"/>
      <c r="LXP11" s="64"/>
      <c r="LXQ11" s="64"/>
      <c r="LXR11" s="64"/>
      <c r="LXS11" s="64"/>
      <c r="LXT11" s="64"/>
      <c r="LXU11" s="64"/>
      <c r="LXV11" s="64"/>
      <c r="LXW11" s="64"/>
      <c r="LXX11" s="64"/>
      <c r="LXY11" s="64"/>
      <c r="LXZ11" s="64"/>
      <c r="LYA11" s="64"/>
      <c r="LYB11" s="64"/>
      <c r="LYC11" s="64"/>
      <c r="LYD11" s="64"/>
      <c r="LYE11" s="64"/>
      <c r="LYF11" s="64"/>
      <c r="LYG11" s="64"/>
      <c r="LYH11" s="64"/>
      <c r="LYI11" s="64"/>
      <c r="LYJ11" s="64"/>
      <c r="LYK11" s="64"/>
      <c r="LYL11" s="64"/>
      <c r="LYM11" s="64"/>
      <c r="LYN11" s="64"/>
      <c r="LYO11" s="64"/>
      <c r="LYP11" s="64"/>
      <c r="LYQ11" s="64"/>
      <c r="LYR11" s="64"/>
      <c r="LYS11" s="64"/>
      <c r="LYT11" s="64"/>
      <c r="LYU11" s="64"/>
      <c r="LYV11" s="64"/>
      <c r="LYW11" s="64"/>
      <c r="LYX11" s="64"/>
      <c r="LYY11" s="64"/>
      <c r="LYZ11" s="64"/>
      <c r="LZA11" s="64"/>
      <c r="LZB11" s="64"/>
      <c r="LZC11" s="64"/>
      <c r="LZD11" s="64"/>
      <c r="LZE11" s="64"/>
      <c r="LZF11" s="64"/>
      <c r="LZG11" s="64"/>
      <c r="LZH11" s="64"/>
      <c r="LZI11" s="64"/>
      <c r="LZJ11" s="64"/>
      <c r="LZK11" s="64"/>
      <c r="LZL11" s="64"/>
      <c r="LZM11" s="64"/>
      <c r="LZN11" s="64"/>
      <c r="LZO11" s="64"/>
      <c r="LZP11" s="64"/>
      <c r="LZQ11" s="64"/>
      <c r="LZR11" s="64"/>
      <c r="LZS11" s="64"/>
      <c r="LZT11" s="64"/>
      <c r="LZU11" s="64"/>
      <c r="LZV11" s="64"/>
      <c r="LZW11" s="64"/>
      <c r="LZX11" s="64"/>
      <c r="LZY11" s="64"/>
      <c r="LZZ11" s="64"/>
      <c r="MAA11" s="64"/>
      <c r="MAB11" s="64"/>
      <c r="MAC11" s="64"/>
      <c r="MAD11" s="64"/>
      <c r="MAE11" s="64"/>
      <c r="MAF11" s="64"/>
      <c r="MAG11" s="64"/>
      <c r="MAH11" s="64"/>
      <c r="MAI11" s="64"/>
      <c r="MAJ11" s="64"/>
      <c r="MAK11" s="64"/>
      <c r="MAL11" s="64"/>
      <c r="MAM11" s="64"/>
      <c r="MAN11" s="64"/>
      <c r="MAO11" s="64"/>
      <c r="MAP11" s="64"/>
      <c r="MAQ11" s="64"/>
      <c r="MAR11" s="64"/>
      <c r="MAS11" s="64"/>
      <c r="MAT11" s="64"/>
      <c r="MAU11" s="64"/>
      <c r="MAV11" s="64"/>
      <c r="MAW11" s="64"/>
      <c r="MAX11" s="64"/>
      <c r="MAY11" s="64"/>
      <c r="MAZ11" s="64"/>
      <c r="MBA11" s="64"/>
      <c r="MBB11" s="64"/>
      <c r="MBC11" s="64"/>
      <c r="MBD11" s="64"/>
      <c r="MBE11" s="64"/>
      <c r="MBF11" s="64"/>
      <c r="MBG11" s="64"/>
      <c r="MBH11" s="64"/>
      <c r="MBI11" s="64"/>
      <c r="MBJ11" s="64"/>
      <c r="MBK11" s="64"/>
      <c r="MBL11" s="64"/>
      <c r="MBM11" s="64"/>
      <c r="MBN11" s="64"/>
      <c r="MBO11" s="64"/>
      <c r="MBP11" s="64"/>
      <c r="MBQ11" s="64"/>
      <c r="MBR11" s="64"/>
      <c r="MBS11" s="64"/>
      <c r="MBT11" s="64"/>
      <c r="MBU11" s="64"/>
      <c r="MBV11" s="64"/>
      <c r="MBW11" s="64"/>
      <c r="MBX11" s="64"/>
      <c r="MBY11" s="64"/>
      <c r="MBZ11" s="64"/>
      <c r="MCA11" s="64"/>
      <c r="MCB11" s="64"/>
      <c r="MCC11" s="64"/>
      <c r="MCD11" s="64"/>
      <c r="MCE11" s="64"/>
      <c r="MCF11" s="64"/>
      <c r="MCG11" s="64"/>
      <c r="MCH11" s="64"/>
      <c r="MCI11" s="64"/>
      <c r="MCJ11" s="64"/>
      <c r="MCK11" s="64"/>
      <c r="MCL11" s="64"/>
      <c r="MCM11" s="64"/>
      <c r="MCN11" s="64"/>
      <c r="MCO11" s="64"/>
      <c r="MCP11" s="64"/>
      <c r="MCQ11" s="64"/>
      <c r="MCR11" s="64"/>
      <c r="MCS11" s="64"/>
      <c r="MCT11" s="64"/>
      <c r="MCU11" s="64"/>
      <c r="MCV11" s="64"/>
      <c r="MCW11" s="64"/>
      <c r="MCX11" s="64"/>
      <c r="MCY11" s="64"/>
      <c r="MCZ11" s="64"/>
      <c r="MDA11" s="64"/>
      <c r="MDB11" s="64"/>
      <c r="MDC11" s="64"/>
      <c r="MDD11" s="64"/>
      <c r="MDE11" s="64"/>
      <c r="MDF11" s="64"/>
      <c r="MDG11" s="64"/>
      <c r="MDH11" s="64"/>
      <c r="MDI11" s="64"/>
      <c r="MDJ11" s="64"/>
      <c r="MDK11" s="64"/>
      <c r="MDL11" s="64"/>
      <c r="MDM11" s="64"/>
      <c r="MDN11" s="64"/>
      <c r="MDO11" s="64"/>
      <c r="MDP11" s="64"/>
      <c r="MDQ11" s="64"/>
      <c r="MDR11" s="64"/>
      <c r="MDS11" s="64"/>
      <c r="MDT11" s="64"/>
      <c r="MDU11" s="64"/>
      <c r="MDV11" s="64"/>
      <c r="MDW11" s="64"/>
      <c r="MDX11" s="64"/>
      <c r="MDY11" s="64"/>
      <c r="MDZ11" s="64"/>
      <c r="MEA11" s="64"/>
      <c r="MEB11" s="64"/>
      <c r="MEC11" s="64"/>
      <c r="MED11" s="64"/>
      <c r="MEE11" s="64"/>
      <c r="MEF11" s="64"/>
      <c r="MEG11" s="64"/>
      <c r="MEH11" s="64"/>
      <c r="MEI11" s="64"/>
      <c r="MEJ11" s="64"/>
      <c r="MEK11" s="64"/>
      <c r="MEL11" s="64"/>
      <c r="MEM11" s="64"/>
      <c r="MEN11" s="64"/>
      <c r="MEO11" s="64"/>
      <c r="MEP11" s="64"/>
      <c r="MEQ11" s="64"/>
      <c r="MER11" s="64"/>
      <c r="MES11" s="64"/>
      <c r="MET11" s="64"/>
      <c r="MEU11" s="64"/>
      <c r="MEV11" s="64"/>
      <c r="MEW11" s="64"/>
      <c r="MEX11" s="64"/>
      <c r="MEY11" s="64"/>
      <c r="MEZ11" s="64"/>
      <c r="MFA11" s="64"/>
      <c r="MFB11" s="64"/>
      <c r="MFC11" s="64"/>
      <c r="MFD11" s="64"/>
      <c r="MFE11" s="64"/>
      <c r="MFF11" s="64"/>
      <c r="MFG11" s="64"/>
      <c r="MFH11" s="64"/>
      <c r="MFI11" s="64"/>
      <c r="MFJ11" s="64"/>
      <c r="MFK11" s="64"/>
      <c r="MFL11" s="64"/>
      <c r="MFM11" s="64"/>
      <c r="MFN11" s="64"/>
      <c r="MFO11" s="64"/>
      <c r="MFP11" s="64"/>
      <c r="MFQ11" s="64"/>
      <c r="MFR11" s="64"/>
      <c r="MFS11" s="64"/>
      <c r="MFT11" s="64"/>
      <c r="MFU11" s="64"/>
      <c r="MFV11" s="64"/>
      <c r="MFW11" s="64"/>
      <c r="MFX11" s="64"/>
      <c r="MFY11" s="64"/>
      <c r="MFZ11" s="64"/>
      <c r="MGA11" s="64"/>
      <c r="MGB11" s="64"/>
      <c r="MGC11" s="64"/>
      <c r="MGD11" s="64"/>
      <c r="MGE11" s="64"/>
      <c r="MGF11" s="64"/>
      <c r="MGG11" s="64"/>
      <c r="MGH11" s="64"/>
      <c r="MGI11" s="64"/>
      <c r="MGJ11" s="64"/>
      <c r="MGK11" s="64"/>
      <c r="MGL11" s="64"/>
      <c r="MGM11" s="64"/>
      <c r="MGN11" s="64"/>
      <c r="MGO11" s="64"/>
      <c r="MGP11" s="64"/>
      <c r="MGQ11" s="64"/>
      <c r="MGR11" s="64"/>
      <c r="MGS11" s="64"/>
      <c r="MGT11" s="64"/>
      <c r="MGU11" s="64"/>
      <c r="MGV11" s="64"/>
      <c r="MGW11" s="64"/>
      <c r="MGX11" s="64"/>
      <c r="MGY11" s="64"/>
      <c r="MGZ11" s="64"/>
      <c r="MHA11" s="64"/>
      <c r="MHB11" s="64"/>
      <c r="MHC11" s="64"/>
      <c r="MHD11" s="64"/>
      <c r="MHE11" s="64"/>
      <c r="MHF11" s="64"/>
      <c r="MHG11" s="64"/>
      <c r="MHH11" s="64"/>
      <c r="MHI11" s="64"/>
      <c r="MHJ11" s="64"/>
      <c r="MHK11" s="64"/>
      <c r="MHL11" s="64"/>
      <c r="MHM11" s="64"/>
      <c r="MHN11" s="64"/>
      <c r="MHO11" s="64"/>
      <c r="MHP11" s="64"/>
      <c r="MHQ11" s="64"/>
      <c r="MHR11" s="64"/>
      <c r="MHS11" s="64"/>
      <c r="MHT11" s="64"/>
      <c r="MHU11" s="64"/>
      <c r="MHV11" s="64"/>
      <c r="MHW11" s="64"/>
      <c r="MHX11" s="64"/>
      <c r="MHY11" s="64"/>
      <c r="MHZ11" s="64"/>
      <c r="MIA11" s="64"/>
      <c r="MIB11" s="64"/>
      <c r="MIC11" s="64"/>
      <c r="MID11" s="64"/>
      <c r="MIE11" s="64"/>
      <c r="MIF11" s="64"/>
      <c r="MIG11" s="64"/>
      <c r="MIH11" s="64"/>
      <c r="MII11" s="64"/>
      <c r="MIJ11" s="64"/>
      <c r="MIK11" s="64"/>
      <c r="MIL11" s="64"/>
      <c r="MIM11" s="64"/>
      <c r="MIN11" s="64"/>
      <c r="MIO11" s="64"/>
      <c r="MIP11" s="64"/>
      <c r="MIQ11" s="64"/>
      <c r="MIR11" s="64"/>
      <c r="MIS11" s="64"/>
      <c r="MIT11" s="64"/>
      <c r="MIU11" s="64"/>
      <c r="MIV11" s="64"/>
      <c r="MIW11" s="64"/>
      <c r="MIX11" s="64"/>
      <c r="MIY11" s="64"/>
      <c r="MIZ11" s="64"/>
      <c r="MJA11" s="64"/>
      <c r="MJB11" s="64"/>
      <c r="MJC11" s="64"/>
      <c r="MJD11" s="64"/>
      <c r="MJE11" s="64"/>
      <c r="MJF11" s="64"/>
      <c r="MJG11" s="64"/>
      <c r="MJH11" s="64"/>
      <c r="MJI11" s="64"/>
      <c r="MJJ11" s="64"/>
      <c r="MJK11" s="64"/>
      <c r="MJL11" s="64"/>
      <c r="MJM11" s="64"/>
      <c r="MJN11" s="64"/>
      <c r="MJO11" s="64"/>
      <c r="MJP11" s="64"/>
      <c r="MJQ11" s="64"/>
      <c r="MJR11" s="64"/>
      <c r="MJS11" s="64"/>
      <c r="MJT11" s="64"/>
      <c r="MJU11" s="64"/>
      <c r="MJV11" s="64"/>
      <c r="MJW11" s="64"/>
      <c r="MJX11" s="64"/>
      <c r="MJY11" s="64"/>
      <c r="MJZ11" s="64"/>
      <c r="MKA11" s="64"/>
      <c r="MKB11" s="64"/>
      <c r="MKC11" s="64"/>
      <c r="MKD11" s="64"/>
      <c r="MKE11" s="64"/>
      <c r="MKF11" s="64"/>
      <c r="MKG11" s="64"/>
      <c r="MKH11" s="64"/>
      <c r="MKI11" s="64"/>
      <c r="MKJ11" s="64"/>
      <c r="MKK11" s="64"/>
      <c r="MKL11" s="64"/>
      <c r="MKM11" s="64"/>
      <c r="MKN11" s="64"/>
      <c r="MKO11" s="64"/>
      <c r="MKP11" s="64"/>
      <c r="MKQ11" s="64"/>
      <c r="MKR11" s="64"/>
      <c r="MKS11" s="64"/>
      <c r="MKT11" s="64"/>
      <c r="MKU11" s="64"/>
      <c r="MKV11" s="64"/>
      <c r="MKW11" s="64"/>
      <c r="MKX11" s="64"/>
      <c r="MKY11" s="64"/>
      <c r="MKZ11" s="64"/>
      <c r="MLA11" s="64"/>
      <c r="MLB11" s="64"/>
      <c r="MLC11" s="64"/>
      <c r="MLD11" s="64"/>
      <c r="MLE11" s="64"/>
      <c r="MLF11" s="64"/>
      <c r="MLG11" s="64"/>
      <c r="MLH11" s="64"/>
      <c r="MLI11" s="64"/>
      <c r="MLJ11" s="64"/>
      <c r="MLK11" s="64"/>
      <c r="MLL11" s="64"/>
      <c r="MLM11" s="64"/>
      <c r="MLN11" s="64"/>
      <c r="MLO11" s="64"/>
      <c r="MLP11" s="64"/>
      <c r="MLQ11" s="64"/>
      <c r="MLR11" s="64"/>
      <c r="MLS11" s="64"/>
      <c r="MLT11" s="64"/>
      <c r="MLU11" s="64"/>
      <c r="MLV11" s="64"/>
      <c r="MLW11" s="64"/>
      <c r="MLX11" s="64"/>
      <c r="MLY11" s="64"/>
      <c r="MLZ11" s="64"/>
      <c r="MMA11" s="64"/>
      <c r="MMB11" s="64"/>
      <c r="MMC11" s="64"/>
      <c r="MMD11" s="64"/>
      <c r="MME11" s="64"/>
      <c r="MMF11" s="64"/>
      <c r="MMG11" s="64"/>
      <c r="MMH11" s="64"/>
      <c r="MMI11" s="64"/>
      <c r="MMJ11" s="64"/>
      <c r="MMK11" s="64"/>
      <c r="MML11" s="64"/>
      <c r="MMM11" s="64"/>
      <c r="MMN11" s="64"/>
      <c r="MMO11" s="64"/>
      <c r="MMP11" s="64"/>
      <c r="MMQ11" s="64"/>
      <c r="MMR11" s="64"/>
      <c r="MMS11" s="64"/>
      <c r="MMT11" s="64"/>
      <c r="MMU11" s="64"/>
      <c r="MMV11" s="64"/>
      <c r="MMW11" s="64"/>
      <c r="MMX11" s="64"/>
      <c r="MMY11" s="64"/>
      <c r="MMZ11" s="64"/>
      <c r="MNA11" s="64"/>
      <c r="MNB11" s="64"/>
      <c r="MNC11" s="64"/>
      <c r="MND11" s="64"/>
      <c r="MNE11" s="64"/>
      <c r="MNF11" s="64"/>
      <c r="MNG11" s="64"/>
      <c r="MNH11" s="64"/>
      <c r="MNI11" s="64"/>
      <c r="MNJ11" s="64"/>
      <c r="MNK11" s="64"/>
      <c r="MNL11" s="64"/>
      <c r="MNM11" s="64"/>
      <c r="MNN11" s="64"/>
      <c r="MNO11" s="64"/>
      <c r="MNP11" s="64"/>
      <c r="MNQ11" s="64"/>
      <c r="MNR11" s="64"/>
      <c r="MNS11" s="64"/>
      <c r="MNT11" s="64"/>
      <c r="MNU11" s="64"/>
      <c r="MNV11" s="64"/>
      <c r="MNW11" s="64"/>
      <c r="MNX11" s="64"/>
      <c r="MNY11" s="64"/>
      <c r="MNZ11" s="64"/>
      <c r="MOA11" s="64"/>
      <c r="MOB11" s="64"/>
      <c r="MOC11" s="64"/>
      <c r="MOD11" s="64"/>
      <c r="MOE11" s="64"/>
      <c r="MOF11" s="64"/>
      <c r="MOG11" s="64"/>
      <c r="MOH11" s="64"/>
      <c r="MOI11" s="64"/>
      <c r="MOJ11" s="64"/>
      <c r="MOK11" s="64"/>
      <c r="MOL11" s="64"/>
      <c r="MOM11" s="64"/>
      <c r="MON11" s="64"/>
      <c r="MOO11" s="64"/>
      <c r="MOP11" s="64"/>
      <c r="MOQ11" s="64"/>
      <c r="MOR11" s="64"/>
      <c r="MOS11" s="64"/>
      <c r="MOT11" s="64"/>
      <c r="MOU11" s="64"/>
      <c r="MOV11" s="64"/>
      <c r="MOW11" s="64"/>
      <c r="MOX11" s="64"/>
      <c r="MOY11" s="64"/>
      <c r="MOZ11" s="64"/>
      <c r="MPA11" s="64"/>
      <c r="MPB11" s="64"/>
      <c r="MPC11" s="64"/>
      <c r="MPD11" s="64"/>
      <c r="MPE11" s="64"/>
      <c r="MPF11" s="64"/>
      <c r="MPG11" s="64"/>
      <c r="MPH11" s="64"/>
      <c r="MPI11" s="64"/>
      <c r="MPJ11" s="64"/>
      <c r="MPK11" s="64"/>
      <c r="MPL11" s="64"/>
      <c r="MPM11" s="64"/>
      <c r="MPN11" s="64"/>
      <c r="MPO11" s="64"/>
      <c r="MPP11" s="64"/>
      <c r="MPQ11" s="64"/>
      <c r="MPR11" s="64"/>
      <c r="MPS11" s="64"/>
      <c r="MPT11" s="64"/>
      <c r="MPU11" s="64"/>
      <c r="MPV11" s="64"/>
      <c r="MPW11" s="64"/>
      <c r="MPX11" s="64"/>
      <c r="MPY11" s="64"/>
      <c r="MPZ11" s="64"/>
      <c r="MQA11" s="64"/>
      <c r="MQB11" s="64"/>
      <c r="MQC11" s="64"/>
      <c r="MQD11" s="64"/>
      <c r="MQE11" s="64"/>
      <c r="MQF11" s="64"/>
      <c r="MQG11" s="64"/>
      <c r="MQH11" s="64"/>
      <c r="MQI11" s="64"/>
      <c r="MQJ11" s="64"/>
      <c r="MQK11" s="64"/>
      <c r="MQL11" s="64"/>
      <c r="MQM11" s="64"/>
      <c r="MQN11" s="64"/>
      <c r="MQO11" s="64"/>
      <c r="MQP11" s="64"/>
      <c r="MQQ11" s="64"/>
      <c r="MQR11" s="64"/>
      <c r="MQS11" s="64"/>
      <c r="MQT11" s="64"/>
      <c r="MQU11" s="64"/>
      <c r="MQV11" s="64"/>
      <c r="MQW11" s="64"/>
      <c r="MQX11" s="64"/>
      <c r="MQY11" s="64"/>
      <c r="MQZ11" s="64"/>
      <c r="MRA11" s="64"/>
      <c r="MRB11" s="64"/>
      <c r="MRC11" s="64"/>
      <c r="MRD11" s="64"/>
      <c r="MRE11" s="64"/>
      <c r="MRF11" s="64"/>
      <c r="MRG11" s="64"/>
      <c r="MRH11" s="64"/>
      <c r="MRI11" s="64"/>
      <c r="MRJ11" s="64"/>
      <c r="MRK11" s="64"/>
      <c r="MRL11" s="64"/>
      <c r="MRM11" s="64"/>
      <c r="MRN11" s="64"/>
      <c r="MRO11" s="64"/>
      <c r="MRP11" s="64"/>
      <c r="MRQ11" s="64"/>
      <c r="MRR11" s="64"/>
      <c r="MRS11" s="64"/>
      <c r="MRT11" s="64"/>
      <c r="MRU11" s="64"/>
      <c r="MRV11" s="64"/>
      <c r="MRW11" s="64"/>
      <c r="MRX11" s="64"/>
      <c r="MRY11" s="64"/>
      <c r="MRZ11" s="64"/>
      <c r="MSA11" s="64"/>
      <c r="MSB11" s="64"/>
      <c r="MSC11" s="64"/>
      <c r="MSD11" s="64"/>
      <c r="MSE11" s="64"/>
      <c r="MSF11" s="64"/>
      <c r="MSG11" s="64"/>
      <c r="MSH11" s="64"/>
      <c r="MSI11" s="64"/>
      <c r="MSJ11" s="64"/>
      <c r="MSK11" s="64"/>
      <c r="MSL11" s="64"/>
      <c r="MSM11" s="64"/>
      <c r="MSN11" s="64"/>
      <c r="MSO11" s="64"/>
      <c r="MSP11" s="64"/>
      <c r="MSQ11" s="64"/>
      <c r="MSR11" s="64"/>
      <c r="MSS11" s="64"/>
      <c r="MST11" s="64"/>
      <c r="MSU11" s="64"/>
      <c r="MSV11" s="64"/>
      <c r="MSW11" s="64"/>
      <c r="MSX11" s="64"/>
      <c r="MSY11" s="64"/>
      <c r="MSZ11" s="64"/>
      <c r="MTA11" s="64"/>
      <c r="MTB11" s="64"/>
      <c r="MTC11" s="64"/>
      <c r="MTD11" s="64"/>
      <c r="MTE11" s="64"/>
      <c r="MTF11" s="64"/>
      <c r="MTG11" s="64"/>
      <c r="MTH11" s="64"/>
      <c r="MTI11" s="64"/>
      <c r="MTJ11" s="64"/>
      <c r="MTK11" s="64"/>
      <c r="MTL11" s="64"/>
      <c r="MTM11" s="64"/>
      <c r="MTN11" s="64"/>
      <c r="MTO11" s="64"/>
      <c r="MTP11" s="64"/>
      <c r="MTQ11" s="64"/>
      <c r="MTR11" s="64"/>
      <c r="MTS11" s="64"/>
      <c r="MTT11" s="64"/>
      <c r="MTU11" s="64"/>
      <c r="MTV11" s="64"/>
      <c r="MTW11" s="64"/>
      <c r="MTX11" s="64"/>
      <c r="MTY11" s="64"/>
      <c r="MTZ11" s="64"/>
      <c r="MUA11" s="64"/>
      <c r="MUB11" s="64"/>
      <c r="MUC11" s="64"/>
      <c r="MUD11" s="64"/>
      <c r="MUE11" s="64"/>
      <c r="MUF11" s="64"/>
      <c r="MUG11" s="64"/>
      <c r="MUH11" s="64"/>
      <c r="MUI11" s="64"/>
      <c r="MUJ11" s="64"/>
      <c r="MUK11" s="64"/>
      <c r="MUL11" s="64"/>
      <c r="MUM11" s="64"/>
      <c r="MUN11" s="64"/>
      <c r="MUO11" s="64"/>
      <c r="MUP11" s="64"/>
      <c r="MUQ11" s="64"/>
      <c r="MUR11" s="64"/>
      <c r="MUS11" s="64"/>
      <c r="MUT11" s="64"/>
      <c r="MUU11" s="64"/>
      <c r="MUV11" s="64"/>
      <c r="MUW11" s="64"/>
      <c r="MUX11" s="64"/>
      <c r="MUY11" s="64"/>
      <c r="MUZ11" s="64"/>
      <c r="MVA11" s="64"/>
      <c r="MVB11" s="64"/>
      <c r="MVC11" s="64"/>
      <c r="MVD11" s="64"/>
      <c r="MVE11" s="64"/>
      <c r="MVF11" s="64"/>
      <c r="MVG11" s="64"/>
      <c r="MVH11" s="64"/>
      <c r="MVI11" s="64"/>
      <c r="MVJ11" s="64"/>
      <c r="MVK11" s="64"/>
      <c r="MVL11" s="64"/>
      <c r="MVM11" s="64"/>
      <c r="MVN11" s="64"/>
      <c r="MVO11" s="64"/>
      <c r="MVP11" s="64"/>
      <c r="MVQ11" s="64"/>
      <c r="MVR11" s="64"/>
      <c r="MVS11" s="64"/>
      <c r="MVT11" s="64"/>
      <c r="MVU11" s="64"/>
      <c r="MVV11" s="64"/>
      <c r="MVW11" s="64"/>
      <c r="MVX11" s="64"/>
      <c r="MVY11" s="64"/>
      <c r="MVZ11" s="64"/>
      <c r="MWA11" s="64"/>
      <c r="MWB11" s="64"/>
      <c r="MWC11" s="64"/>
      <c r="MWD11" s="64"/>
      <c r="MWE11" s="64"/>
      <c r="MWF11" s="64"/>
      <c r="MWG11" s="64"/>
      <c r="MWH11" s="64"/>
      <c r="MWI11" s="64"/>
      <c r="MWJ11" s="64"/>
      <c r="MWK11" s="64"/>
      <c r="MWL11" s="64"/>
      <c r="MWM11" s="64"/>
      <c r="MWN11" s="64"/>
      <c r="MWO11" s="64"/>
      <c r="MWP11" s="64"/>
      <c r="MWQ11" s="64"/>
      <c r="MWR11" s="64"/>
      <c r="MWS11" s="64"/>
      <c r="MWT11" s="64"/>
      <c r="MWU11" s="64"/>
      <c r="MWV11" s="64"/>
      <c r="MWW11" s="64"/>
      <c r="MWX11" s="64"/>
      <c r="MWY11" s="64"/>
      <c r="MWZ11" s="64"/>
      <c r="MXA11" s="64"/>
      <c r="MXB11" s="64"/>
      <c r="MXC11" s="64"/>
      <c r="MXD11" s="64"/>
      <c r="MXE11" s="64"/>
      <c r="MXF11" s="64"/>
      <c r="MXG11" s="64"/>
      <c r="MXH11" s="64"/>
      <c r="MXI11" s="64"/>
      <c r="MXJ11" s="64"/>
      <c r="MXK11" s="64"/>
      <c r="MXL11" s="64"/>
      <c r="MXM11" s="64"/>
      <c r="MXN11" s="64"/>
      <c r="MXO11" s="64"/>
      <c r="MXP11" s="64"/>
      <c r="MXQ11" s="64"/>
      <c r="MXR11" s="64"/>
      <c r="MXS11" s="64"/>
      <c r="MXT11" s="64"/>
      <c r="MXU11" s="64"/>
      <c r="MXV11" s="64"/>
      <c r="MXW11" s="64"/>
      <c r="MXX11" s="64"/>
      <c r="MXY11" s="64"/>
      <c r="MXZ11" s="64"/>
      <c r="MYA11" s="64"/>
      <c r="MYB11" s="64"/>
      <c r="MYC11" s="64"/>
      <c r="MYD11" s="64"/>
      <c r="MYE11" s="64"/>
      <c r="MYF11" s="64"/>
      <c r="MYG11" s="64"/>
      <c r="MYH11" s="64"/>
      <c r="MYI11" s="64"/>
      <c r="MYJ11" s="64"/>
      <c r="MYK11" s="64"/>
      <c r="MYL11" s="64"/>
      <c r="MYM11" s="64"/>
      <c r="MYN11" s="64"/>
      <c r="MYO11" s="64"/>
      <c r="MYP11" s="64"/>
      <c r="MYQ11" s="64"/>
      <c r="MYR11" s="64"/>
      <c r="MYS11" s="64"/>
      <c r="MYT11" s="64"/>
      <c r="MYU11" s="64"/>
      <c r="MYV11" s="64"/>
      <c r="MYW11" s="64"/>
      <c r="MYX11" s="64"/>
      <c r="MYY11" s="64"/>
      <c r="MYZ11" s="64"/>
      <c r="MZA11" s="64"/>
      <c r="MZB11" s="64"/>
      <c r="MZC11" s="64"/>
      <c r="MZD11" s="64"/>
      <c r="MZE11" s="64"/>
      <c r="MZF11" s="64"/>
      <c r="MZG11" s="64"/>
      <c r="MZH11" s="64"/>
      <c r="MZI11" s="64"/>
      <c r="MZJ11" s="64"/>
      <c r="MZK11" s="64"/>
      <c r="MZL11" s="64"/>
      <c r="MZM11" s="64"/>
      <c r="MZN11" s="64"/>
      <c r="MZO11" s="64"/>
      <c r="MZP11" s="64"/>
      <c r="MZQ11" s="64"/>
      <c r="MZR11" s="64"/>
      <c r="MZS11" s="64"/>
      <c r="MZT11" s="64"/>
      <c r="MZU11" s="64"/>
      <c r="MZV11" s="64"/>
      <c r="MZW11" s="64"/>
      <c r="MZX11" s="64"/>
      <c r="MZY11" s="64"/>
      <c r="MZZ11" s="64"/>
      <c r="NAA11" s="64"/>
      <c r="NAB11" s="64"/>
      <c r="NAC11" s="64"/>
      <c r="NAD11" s="64"/>
      <c r="NAE11" s="64"/>
      <c r="NAF11" s="64"/>
      <c r="NAG11" s="64"/>
      <c r="NAH11" s="64"/>
      <c r="NAI11" s="64"/>
      <c r="NAJ11" s="64"/>
      <c r="NAK11" s="64"/>
      <c r="NAL11" s="64"/>
      <c r="NAM11" s="64"/>
      <c r="NAN11" s="64"/>
      <c r="NAO11" s="64"/>
      <c r="NAP11" s="64"/>
      <c r="NAQ11" s="64"/>
      <c r="NAR11" s="64"/>
      <c r="NAS11" s="64"/>
      <c r="NAT11" s="64"/>
      <c r="NAU11" s="64"/>
      <c r="NAV11" s="64"/>
      <c r="NAW11" s="64"/>
      <c r="NAX11" s="64"/>
      <c r="NAY11" s="64"/>
      <c r="NAZ11" s="64"/>
      <c r="NBA11" s="64"/>
      <c r="NBB11" s="64"/>
      <c r="NBC11" s="64"/>
      <c r="NBD11" s="64"/>
      <c r="NBE11" s="64"/>
      <c r="NBF11" s="64"/>
      <c r="NBG11" s="64"/>
      <c r="NBH11" s="64"/>
      <c r="NBI11" s="64"/>
      <c r="NBJ11" s="64"/>
      <c r="NBK11" s="64"/>
      <c r="NBL11" s="64"/>
      <c r="NBM11" s="64"/>
      <c r="NBN11" s="64"/>
      <c r="NBO11" s="64"/>
      <c r="NBP11" s="64"/>
      <c r="NBQ11" s="64"/>
      <c r="NBR11" s="64"/>
      <c r="NBS11" s="64"/>
      <c r="NBT11" s="64"/>
      <c r="NBU11" s="64"/>
      <c r="NBV11" s="64"/>
      <c r="NBW11" s="64"/>
      <c r="NBX11" s="64"/>
      <c r="NBY11" s="64"/>
      <c r="NBZ11" s="64"/>
      <c r="NCA11" s="64"/>
      <c r="NCB11" s="64"/>
      <c r="NCC11" s="64"/>
      <c r="NCD11" s="64"/>
      <c r="NCE11" s="64"/>
      <c r="NCF11" s="64"/>
      <c r="NCG11" s="64"/>
      <c r="NCH11" s="64"/>
      <c r="NCI11" s="64"/>
      <c r="NCJ11" s="64"/>
      <c r="NCK11" s="64"/>
      <c r="NCL11" s="64"/>
      <c r="NCM11" s="64"/>
      <c r="NCN11" s="64"/>
      <c r="NCO11" s="64"/>
      <c r="NCP11" s="64"/>
      <c r="NCQ11" s="64"/>
      <c r="NCR11" s="64"/>
      <c r="NCS11" s="64"/>
      <c r="NCT11" s="64"/>
      <c r="NCU11" s="64"/>
      <c r="NCV11" s="64"/>
      <c r="NCW11" s="64"/>
      <c r="NCX11" s="64"/>
      <c r="NCY11" s="64"/>
      <c r="NCZ11" s="64"/>
      <c r="NDA11" s="64"/>
      <c r="NDB11" s="64"/>
      <c r="NDC11" s="64"/>
      <c r="NDD11" s="64"/>
      <c r="NDE11" s="64"/>
      <c r="NDF11" s="64"/>
      <c r="NDG11" s="64"/>
      <c r="NDH11" s="64"/>
      <c r="NDI11" s="64"/>
      <c r="NDJ11" s="64"/>
      <c r="NDK11" s="64"/>
      <c r="NDL11" s="64"/>
      <c r="NDM11" s="64"/>
      <c r="NDN11" s="64"/>
      <c r="NDO11" s="64"/>
      <c r="NDP11" s="64"/>
      <c r="NDQ11" s="64"/>
      <c r="NDR11" s="64"/>
      <c r="NDS11" s="64"/>
      <c r="NDT11" s="64"/>
      <c r="NDU11" s="64"/>
      <c r="NDV11" s="64"/>
      <c r="NDW11" s="64"/>
      <c r="NDX11" s="64"/>
      <c r="NDY11" s="64"/>
      <c r="NDZ11" s="64"/>
      <c r="NEA11" s="64"/>
      <c r="NEB11" s="64"/>
      <c r="NEC11" s="64"/>
      <c r="NED11" s="64"/>
      <c r="NEE11" s="64"/>
      <c r="NEF11" s="64"/>
      <c r="NEG11" s="64"/>
      <c r="NEH11" s="64"/>
      <c r="NEI11" s="64"/>
      <c r="NEJ11" s="64"/>
      <c r="NEK11" s="64"/>
      <c r="NEL11" s="64"/>
      <c r="NEM11" s="64"/>
      <c r="NEN11" s="64"/>
      <c r="NEO11" s="64"/>
      <c r="NEP11" s="64"/>
      <c r="NEQ11" s="64"/>
      <c r="NER11" s="64"/>
      <c r="NES11" s="64"/>
      <c r="NET11" s="64"/>
      <c r="NEU11" s="64"/>
      <c r="NEV11" s="64"/>
      <c r="NEW11" s="64"/>
      <c r="NEX11" s="64"/>
      <c r="NEY11" s="64"/>
      <c r="NEZ11" s="64"/>
      <c r="NFA11" s="64"/>
      <c r="NFB11" s="64"/>
      <c r="NFC11" s="64"/>
      <c r="NFD11" s="64"/>
      <c r="NFE11" s="64"/>
      <c r="NFF11" s="64"/>
      <c r="NFG11" s="64"/>
      <c r="NFH11" s="64"/>
      <c r="NFI11" s="64"/>
      <c r="NFJ11" s="64"/>
      <c r="NFK11" s="64"/>
      <c r="NFL11" s="64"/>
      <c r="NFM11" s="64"/>
      <c r="NFN11" s="64"/>
      <c r="NFO11" s="64"/>
      <c r="NFP11" s="64"/>
      <c r="NFQ11" s="64"/>
      <c r="NFR11" s="64"/>
      <c r="NFS11" s="64"/>
      <c r="NFT11" s="64"/>
      <c r="NFU11" s="64"/>
      <c r="NFV11" s="64"/>
      <c r="NFW11" s="64"/>
      <c r="NFX11" s="64"/>
      <c r="NFY11" s="64"/>
      <c r="NFZ11" s="64"/>
      <c r="NGA11" s="64"/>
      <c r="NGB11" s="64"/>
      <c r="NGC11" s="64"/>
      <c r="NGD11" s="64"/>
      <c r="NGE11" s="64"/>
      <c r="NGF11" s="64"/>
      <c r="NGG11" s="64"/>
      <c r="NGH11" s="64"/>
      <c r="NGI11" s="64"/>
      <c r="NGJ11" s="64"/>
      <c r="NGK11" s="64"/>
      <c r="NGL11" s="64"/>
      <c r="NGM11" s="64"/>
      <c r="NGN11" s="64"/>
      <c r="NGO11" s="64"/>
      <c r="NGP11" s="64"/>
      <c r="NGQ11" s="64"/>
      <c r="NGR11" s="64"/>
      <c r="NGS11" s="64"/>
      <c r="NGT11" s="64"/>
      <c r="NGU11" s="64"/>
      <c r="NGV11" s="64"/>
      <c r="NGW11" s="64"/>
      <c r="NGX11" s="64"/>
      <c r="NGY11" s="64"/>
      <c r="NGZ11" s="64"/>
      <c r="NHA11" s="64"/>
      <c r="NHB11" s="64"/>
      <c r="NHC11" s="64"/>
      <c r="NHD11" s="64"/>
      <c r="NHE11" s="64"/>
      <c r="NHF11" s="64"/>
      <c r="NHG11" s="64"/>
      <c r="NHH11" s="64"/>
      <c r="NHI11" s="64"/>
      <c r="NHJ11" s="64"/>
      <c r="NHK11" s="64"/>
      <c r="NHL11" s="64"/>
      <c r="NHM11" s="64"/>
      <c r="NHN11" s="64"/>
      <c r="NHO11" s="64"/>
      <c r="NHP11" s="64"/>
      <c r="NHQ11" s="64"/>
      <c r="NHR11" s="64"/>
      <c r="NHS11" s="64"/>
      <c r="NHT11" s="64"/>
      <c r="NHU11" s="64"/>
      <c r="NHV11" s="64"/>
      <c r="NHW11" s="64"/>
      <c r="NHX11" s="64"/>
      <c r="NHY11" s="64"/>
      <c r="NHZ11" s="64"/>
      <c r="NIA11" s="64"/>
      <c r="NIB11" s="64"/>
      <c r="NIC11" s="64"/>
      <c r="NID11" s="64"/>
      <c r="NIE11" s="64"/>
      <c r="NIF11" s="64"/>
      <c r="NIG11" s="64"/>
      <c r="NIH11" s="64"/>
      <c r="NII11" s="64"/>
      <c r="NIJ11" s="64"/>
      <c r="NIK11" s="64"/>
      <c r="NIL11" s="64"/>
      <c r="NIM11" s="64"/>
      <c r="NIN11" s="64"/>
      <c r="NIO11" s="64"/>
      <c r="NIP11" s="64"/>
      <c r="NIQ11" s="64"/>
      <c r="NIR11" s="64"/>
      <c r="NIS11" s="64"/>
      <c r="NIT11" s="64"/>
      <c r="NIU11" s="64"/>
      <c r="NIV11" s="64"/>
      <c r="NIW11" s="64"/>
      <c r="NIX11" s="64"/>
      <c r="NIY11" s="64"/>
      <c r="NIZ11" s="64"/>
      <c r="NJA11" s="64"/>
      <c r="NJB11" s="64"/>
      <c r="NJC11" s="64"/>
      <c r="NJD11" s="64"/>
      <c r="NJE11" s="64"/>
      <c r="NJF11" s="64"/>
      <c r="NJG11" s="64"/>
      <c r="NJH11" s="64"/>
      <c r="NJI11" s="64"/>
      <c r="NJJ11" s="64"/>
      <c r="NJK11" s="64"/>
      <c r="NJL11" s="64"/>
      <c r="NJM11" s="64"/>
      <c r="NJN11" s="64"/>
      <c r="NJO11" s="64"/>
      <c r="NJP11" s="64"/>
      <c r="NJQ11" s="64"/>
      <c r="NJR11" s="64"/>
      <c r="NJS11" s="64"/>
      <c r="NJT11" s="64"/>
      <c r="NJU11" s="64"/>
      <c r="NJV11" s="64"/>
      <c r="NJW11" s="64"/>
      <c r="NJX11" s="64"/>
      <c r="NJY11" s="64"/>
      <c r="NJZ11" s="64"/>
      <c r="NKA11" s="64"/>
      <c r="NKB11" s="64"/>
      <c r="NKC11" s="64"/>
      <c r="NKD11" s="64"/>
      <c r="NKE11" s="64"/>
      <c r="NKF11" s="64"/>
      <c r="NKG11" s="64"/>
      <c r="NKH11" s="64"/>
      <c r="NKI11" s="64"/>
      <c r="NKJ11" s="64"/>
      <c r="NKK11" s="64"/>
      <c r="NKL11" s="64"/>
      <c r="NKM11" s="64"/>
      <c r="NKN11" s="64"/>
      <c r="NKO11" s="64"/>
      <c r="NKP11" s="64"/>
      <c r="NKQ11" s="64"/>
      <c r="NKR11" s="64"/>
      <c r="NKS11" s="64"/>
      <c r="NKT11" s="64"/>
      <c r="NKU11" s="64"/>
      <c r="NKV11" s="64"/>
      <c r="NKW11" s="64"/>
      <c r="NKX11" s="64"/>
      <c r="NKY11" s="64"/>
      <c r="NKZ11" s="64"/>
      <c r="NLA11" s="64"/>
      <c r="NLB11" s="64"/>
      <c r="NLC11" s="64"/>
      <c r="NLD11" s="64"/>
      <c r="NLE11" s="64"/>
      <c r="NLF11" s="64"/>
      <c r="NLG11" s="64"/>
      <c r="NLH11" s="64"/>
      <c r="NLI11" s="64"/>
      <c r="NLJ11" s="64"/>
      <c r="NLK11" s="64"/>
      <c r="NLL11" s="64"/>
      <c r="NLM11" s="64"/>
      <c r="NLN11" s="64"/>
      <c r="NLO11" s="64"/>
      <c r="NLP11" s="64"/>
      <c r="NLQ11" s="64"/>
      <c r="NLR11" s="64"/>
      <c r="NLS11" s="64"/>
      <c r="NLT11" s="64"/>
      <c r="NLU11" s="64"/>
      <c r="NLV11" s="64"/>
      <c r="NLW11" s="64"/>
      <c r="NLX11" s="64"/>
      <c r="NLY11" s="64"/>
      <c r="NLZ11" s="64"/>
      <c r="NMA11" s="64"/>
      <c r="NMB11" s="64"/>
      <c r="NMC11" s="64"/>
      <c r="NMD11" s="64"/>
      <c r="NME11" s="64"/>
      <c r="NMF11" s="64"/>
      <c r="NMG11" s="64"/>
      <c r="NMH11" s="64"/>
      <c r="NMI11" s="64"/>
      <c r="NMJ11" s="64"/>
      <c r="NMK11" s="64"/>
      <c r="NML11" s="64"/>
      <c r="NMM11" s="64"/>
      <c r="NMN11" s="64"/>
      <c r="NMO11" s="64"/>
      <c r="NMP11" s="64"/>
      <c r="NMQ11" s="64"/>
      <c r="NMR11" s="64"/>
      <c r="NMS11" s="64"/>
      <c r="NMT11" s="64"/>
      <c r="NMU11" s="64"/>
      <c r="NMV11" s="64"/>
      <c r="NMW11" s="64"/>
      <c r="NMX11" s="64"/>
      <c r="NMY11" s="64"/>
      <c r="NMZ11" s="64"/>
      <c r="NNA11" s="64"/>
      <c r="NNB11" s="64"/>
      <c r="NNC11" s="64"/>
      <c r="NND11" s="64"/>
      <c r="NNE11" s="64"/>
      <c r="NNF11" s="64"/>
      <c r="NNG11" s="64"/>
      <c r="NNH11" s="64"/>
      <c r="NNI11" s="64"/>
      <c r="NNJ11" s="64"/>
      <c r="NNK11" s="64"/>
      <c r="NNL11" s="64"/>
      <c r="NNM11" s="64"/>
      <c r="NNN11" s="64"/>
      <c r="NNO11" s="64"/>
      <c r="NNP11" s="64"/>
      <c r="NNQ11" s="64"/>
      <c r="NNR11" s="64"/>
      <c r="NNS11" s="64"/>
      <c r="NNT11" s="64"/>
      <c r="NNU11" s="64"/>
      <c r="NNV11" s="64"/>
      <c r="NNW11" s="64"/>
      <c r="NNX11" s="64"/>
      <c r="NNY11" s="64"/>
      <c r="NNZ11" s="64"/>
      <c r="NOA11" s="64"/>
      <c r="NOB11" s="64"/>
      <c r="NOC11" s="64"/>
      <c r="NOD11" s="64"/>
      <c r="NOE11" s="64"/>
      <c r="NOF11" s="64"/>
      <c r="NOG11" s="64"/>
      <c r="NOH11" s="64"/>
      <c r="NOI11" s="64"/>
      <c r="NOJ11" s="64"/>
      <c r="NOK11" s="64"/>
      <c r="NOL11" s="64"/>
      <c r="NOM11" s="64"/>
      <c r="NON11" s="64"/>
      <c r="NOO11" s="64"/>
      <c r="NOP11" s="64"/>
      <c r="NOQ11" s="64"/>
      <c r="NOR11" s="64"/>
      <c r="NOS11" s="64"/>
      <c r="NOT11" s="64"/>
      <c r="NOU11" s="64"/>
      <c r="NOV11" s="64"/>
      <c r="NOW11" s="64"/>
      <c r="NOX11" s="64"/>
      <c r="NOY11" s="64"/>
      <c r="NOZ11" s="64"/>
      <c r="NPA11" s="64"/>
      <c r="NPB11" s="64"/>
      <c r="NPC11" s="64"/>
      <c r="NPD11" s="64"/>
      <c r="NPE11" s="64"/>
      <c r="NPF11" s="64"/>
      <c r="NPG11" s="64"/>
      <c r="NPH11" s="64"/>
      <c r="NPI11" s="64"/>
      <c r="NPJ11" s="64"/>
      <c r="NPK11" s="64"/>
      <c r="NPL11" s="64"/>
      <c r="NPM11" s="64"/>
      <c r="NPN11" s="64"/>
      <c r="NPO11" s="64"/>
      <c r="NPP11" s="64"/>
      <c r="NPQ11" s="64"/>
      <c r="NPR11" s="64"/>
      <c r="NPS11" s="64"/>
      <c r="NPT11" s="64"/>
      <c r="NPU11" s="64"/>
      <c r="NPV11" s="64"/>
      <c r="NPW11" s="64"/>
      <c r="NPX11" s="64"/>
      <c r="NPY11" s="64"/>
      <c r="NPZ11" s="64"/>
      <c r="NQA11" s="64"/>
      <c r="NQB11" s="64"/>
      <c r="NQC11" s="64"/>
      <c r="NQD11" s="64"/>
      <c r="NQE11" s="64"/>
      <c r="NQF11" s="64"/>
      <c r="NQG11" s="64"/>
      <c r="NQH11" s="64"/>
      <c r="NQI11" s="64"/>
      <c r="NQJ11" s="64"/>
      <c r="NQK11" s="64"/>
      <c r="NQL11" s="64"/>
      <c r="NQM11" s="64"/>
      <c r="NQN11" s="64"/>
      <c r="NQO11" s="64"/>
      <c r="NQP11" s="64"/>
      <c r="NQQ11" s="64"/>
      <c r="NQR11" s="64"/>
      <c r="NQS11" s="64"/>
      <c r="NQT11" s="64"/>
      <c r="NQU11" s="64"/>
      <c r="NQV11" s="64"/>
      <c r="NQW11" s="64"/>
      <c r="NQX11" s="64"/>
      <c r="NQY11" s="64"/>
      <c r="NQZ11" s="64"/>
      <c r="NRA11" s="64"/>
      <c r="NRB11" s="64"/>
      <c r="NRC11" s="64"/>
      <c r="NRD11" s="64"/>
      <c r="NRE11" s="64"/>
      <c r="NRF11" s="64"/>
      <c r="NRG11" s="64"/>
      <c r="NRH11" s="64"/>
      <c r="NRI11" s="64"/>
      <c r="NRJ11" s="64"/>
      <c r="NRK11" s="64"/>
      <c r="NRL11" s="64"/>
      <c r="NRM11" s="64"/>
      <c r="NRN11" s="64"/>
      <c r="NRO11" s="64"/>
      <c r="NRP11" s="64"/>
      <c r="NRQ11" s="64"/>
      <c r="NRR11" s="64"/>
      <c r="NRS11" s="64"/>
      <c r="NRT11" s="64"/>
      <c r="NRU11" s="64"/>
      <c r="NRV11" s="64"/>
      <c r="NRW11" s="64"/>
      <c r="NRX11" s="64"/>
      <c r="NRY11" s="64"/>
      <c r="NRZ11" s="64"/>
      <c r="NSA11" s="64"/>
      <c r="NSB11" s="64"/>
      <c r="NSC11" s="64"/>
      <c r="NSD11" s="64"/>
      <c r="NSE11" s="64"/>
      <c r="NSF11" s="64"/>
      <c r="NSG11" s="64"/>
      <c r="NSH11" s="64"/>
      <c r="NSI11" s="64"/>
      <c r="NSJ11" s="64"/>
      <c r="NSK11" s="64"/>
      <c r="NSL11" s="64"/>
      <c r="NSM11" s="64"/>
      <c r="NSN11" s="64"/>
      <c r="NSO11" s="64"/>
      <c r="NSP11" s="64"/>
      <c r="NSQ11" s="64"/>
      <c r="NSR11" s="64"/>
      <c r="NSS11" s="64"/>
      <c r="NST11" s="64"/>
      <c r="NSU11" s="64"/>
      <c r="NSV11" s="64"/>
      <c r="NSW11" s="64"/>
      <c r="NSX11" s="64"/>
      <c r="NSY11" s="64"/>
      <c r="NSZ11" s="64"/>
      <c r="NTA11" s="64"/>
      <c r="NTB11" s="64"/>
      <c r="NTC11" s="64"/>
      <c r="NTD11" s="64"/>
      <c r="NTE11" s="64"/>
      <c r="NTF11" s="64"/>
      <c r="NTG11" s="64"/>
      <c r="NTH11" s="64"/>
      <c r="NTI11" s="64"/>
      <c r="NTJ11" s="64"/>
      <c r="NTK11" s="64"/>
      <c r="NTL11" s="64"/>
      <c r="NTM11" s="64"/>
      <c r="NTN11" s="64"/>
      <c r="NTO11" s="64"/>
      <c r="NTP11" s="64"/>
      <c r="NTQ11" s="64"/>
      <c r="NTR11" s="64"/>
      <c r="NTS11" s="64"/>
      <c r="NTT11" s="64"/>
      <c r="NTU11" s="64"/>
      <c r="NTV11" s="64"/>
      <c r="NTW11" s="64"/>
      <c r="NTX11" s="64"/>
      <c r="NTY11" s="64"/>
      <c r="NTZ11" s="64"/>
      <c r="NUA11" s="64"/>
      <c r="NUB11" s="64"/>
      <c r="NUC11" s="64"/>
      <c r="NUD11" s="64"/>
      <c r="NUE11" s="64"/>
      <c r="NUF11" s="64"/>
      <c r="NUG11" s="64"/>
      <c r="NUH11" s="64"/>
      <c r="NUI11" s="64"/>
      <c r="NUJ11" s="64"/>
      <c r="NUK11" s="64"/>
      <c r="NUL11" s="64"/>
      <c r="NUM11" s="64"/>
      <c r="NUN11" s="64"/>
      <c r="NUO11" s="64"/>
      <c r="NUP11" s="64"/>
      <c r="NUQ11" s="64"/>
      <c r="NUR11" s="64"/>
      <c r="NUS11" s="64"/>
      <c r="NUT11" s="64"/>
      <c r="NUU11" s="64"/>
      <c r="NUV11" s="64"/>
      <c r="NUW11" s="64"/>
      <c r="NUX11" s="64"/>
      <c r="NUY11" s="64"/>
      <c r="NUZ11" s="64"/>
      <c r="NVA11" s="64"/>
      <c r="NVB11" s="64"/>
      <c r="NVC11" s="64"/>
      <c r="NVD11" s="64"/>
      <c r="NVE11" s="64"/>
      <c r="NVF11" s="64"/>
      <c r="NVG11" s="64"/>
      <c r="NVH11" s="64"/>
      <c r="NVI11" s="64"/>
      <c r="NVJ11" s="64"/>
      <c r="NVK11" s="64"/>
      <c r="NVL11" s="64"/>
      <c r="NVM11" s="64"/>
      <c r="NVN11" s="64"/>
      <c r="NVO11" s="64"/>
      <c r="NVP11" s="64"/>
      <c r="NVQ11" s="64"/>
      <c r="NVR11" s="64"/>
      <c r="NVS11" s="64"/>
      <c r="NVT11" s="64"/>
      <c r="NVU11" s="64"/>
      <c r="NVV11" s="64"/>
      <c r="NVW11" s="64"/>
      <c r="NVX11" s="64"/>
      <c r="NVY11" s="64"/>
      <c r="NVZ11" s="64"/>
      <c r="NWA11" s="64"/>
      <c r="NWB11" s="64"/>
      <c r="NWC11" s="64"/>
      <c r="NWD11" s="64"/>
      <c r="NWE11" s="64"/>
      <c r="NWF11" s="64"/>
      <c r="NWG11" s="64"/>
      <c r="NWH11" s="64"/>
      <c r="NWI11" s="64"/>
      <c r="NWJ11" s="64"/>
      <c r="NWK11" s="64"/>
      <c r="NWL11" s="64"/>
      <c r="NWM11" s="64"/>
      <c r="NWN11" s="64"/>
      <c r="NWO11" s="64"/>
      <c r="NWP11" s="64"/>
      <c r="NWQ11" s="64"/>
      <c r="NWR11" s="64"/>
      <c r="NWS11" s="64"/>
      <c r="NWT11" s="64"/>
      <c r="NWU11" s="64"/>
      <c r="NWV11" s="64"/>
      <c r="NWW11" s="64"/>
      <c r="NWX11" s="64"/>
      <c r="NWY11" s="64"/>
      <c r="NWZ11" s="64"/>
      <c r="NXA11" s="64"/>
      <c r="NXB11" s="64"/>
      <c r="NXC11" s="64"/>
      <c r="NXD11" s="64"/>
      <c r="NXE11" s="64"/>
      <c r="NXF11" s="64"/>
      <c r="NXG11" s="64"/>
      <c r="NXH11" s="64"/>
      <c r="NXI11" s="64"/>
      <c r="NXJ11" s="64"/>
      <c r="NXK11" s="64"/>
      <c r="NXL11" s="64"/>
      <c r="NXM11" s="64"/>
      <c r="NXN11" s="64"/>
      <c r="NXO11" s="64"/>
      <c r="NXP11" s="64"/>
      <c r="NXQ11" s="64"/>
      <c r="NXR11" s="64"/>
      <c r="NXS11" s="64"/>
      <c r="NXT11" s="64"/>
      <c r="NXU11" s="64"/>
      <c r="NXV11" s="64"/>
      <c r="NXW11" s="64"/>
      <c r="NXX11" s="64"/>
      <c r="NXY11" s="64"/>
      <c r="NXZ11" s="64"/>
      <c r="NYA11" s="64"/>
      <c r="NYB11" s="64"/>
      <c r="NYC11" s="64"/>
      <c r="NYD11" s="64"/>
      <c r="NYE11" s="64"/>
      <c r="NYF11" s="64"/>
      <c r="NYG11" s="64"/>
      <c r="NYH11" s="64"/>
      <c r="NYI11" s="64"/>
      <c r="NYJ11" s="64"/>
      <c r="NYK11" s="64"/>
      <c r="NYL11" s="64"/>
      <c r="NYM11" s="64"/>
      <c r="NYN11" s="64"/>
      <c r="NYO11" s="64"/>
      <c r="NYP11" s="64"/>
      <c r="NYQ11" s="64"/>
      <c r="NYR11" s="64"/>
      <c r="NYS11" s="64"/>
      <c r="NYT11" s="64"/>
      <c r="NYU11" s="64"/>
      <c r="NYV11" s="64"/>
      <c r="NYW11" s="64"/>
      <c r="NYX11" s="64"/>
      <c r="NYY11" s="64"/>
      <c r="NYZ11" s="64"/>
      <c r="NZA11" s="64"/>
      <c r="NZB11" s="64"/>
      <c r="NZC11" s="64"/>
      <c r="NZD11" s="64"/>
      <c r="NZE11" s="64"/>
      <c r="NZF11" s="64"/>
      <c r="NZG11" s="64"/>
      <c r="NZH11" s="64"/>
      <c r="NZI11" s="64"/>
      <c r="NZJ11" s="64"/>
      <c r="NZK11" s="64"/>
      <c r="NZL11" s="64"/>
      <c r="NZM11" s="64"/>
      <c r="NZN11" s="64"/>
      <c r="NZO11" s="64"/>
      <c r="NZP11" s="64"/>
      <c r="NZQ11" s="64"/>
      <c r="NZR11" s="64"/>
      <c r="NZS11" s="64"/>
      <c r="NZT11" s="64"/>
      <c r="NZU11" s="64"/>
      <c r="NZV11" s="64"/>
      <c r="NZW11" s="64"/>
      <c r="NZX11" s="64"/>
      <c r="NZY11" s="64"/>
      <c r="NZZ11" s="64"/>
      <c r="OAA11" s="64"/>
      <c r="OAB11" s="64"/>
      <c r="OAC11" s="64"/>
      <c r="OAD11" s="64"/>
      <c r="OAE11" s="64"/>
      <c r="OAF11" s="64"/>
      <c r="OAG11" s="64"/>
      <c r="OAH11" s="64"/>
      <c r="OAI11" s="64"/>
      <c r="OAJ11" s="64"/>
      <c r="OAK11" s="64"/>
      <c r="OAL11" s="64"/>
      <c r="OAM11" s="64"/>
      <c r="OAN11" s="64"/>
      <c r="OAO11" s="64"/>
      <c r="OAP11" s="64"/>
      <c r="OAQ11" s="64"/>
      <c r="OAR11" s="64"/>
      <c r="OAS11" s="64"/>
      <c r="OAT11" s="64"/>
      <c r="OAU11" s="64"/>
      <c r="OAV11" s="64"/>
      <c r="OAW11" s="64"/>
      <c r="OAX11" s="64"/>
      <c r="OAY11" s="64"/>
      <c r="OAZ11" s="64"/>
      <c r="OBA11" s="64"/>
      <c r="OBB11" s="64"/>
      <c r="OBC11" s="64"/>
      <c r="OBD11" s="64"/>
      <c r="OBE11" s="64"/>
      <c r="OBF11" s="64"/>
      <c r="OBG11" s="64"/>
      <c r="OBH11" s="64"/>
      <c r="OBI11" s="64"/>
      <c r="OBJ11" s="64"/>
      <c r="OBK11" s="64"/>
      <c r="OBL11" s="64"/>
      <c r="OBM11" s="64"/>
      <c r="OBN11" s="64"/>
      <c r="OBO11" s="64"/>
      <c r="OBP11" s="64"/>
      <c r="OBQ11" s="64"/>
      <c r="OBR11" s="64"/>
      <c r="OBS11" s="64"/>
      <c r="OBT11" s="64"/>
      <c r="OBU11" s="64"/>
      <c r="OBV11" s="64"/>
      <c r="OBW11" s="64"/>
      <c r="OBX11" s="64"/>
      <c r="OBY11" s="64"/>
      <c r="OBZ11" s="64"/>
      <c r="OCA11" s="64"/>
      <c r="OCB11" s="64"/>
      <c r="OCC11" s="64"/>
      <c r="OCD11" s="64"/>
      <c r="OCE11" s="64"/>
      <c r="OCF11" s="64"/>
      <c r="OCG11" s="64"/>
      <c r="OCH11" s="64"/>
      <c r="OCI11" s="64"/>
      <c r="OCJ11" s="64"/>
      <c r="OCK11" s="64"/>
      <c r="OCL11" s="64"/>
      <c r="OCM11" s="64"/>
      <c r="OCN11" s="64"/>
      <c r="OCO11" s="64"/>
      <c r="OCP11" s="64"/>
      <c r="OCQ11" s="64"/>
      <c r="OCR11" s="64"/>
      <c r="OCS11" s="64"/>
      <c r="OCT11" s="64"/>
      <c r="OCU11" s="64"/>
      <c r="OCV11" s="64"/>
      <c r="OCW11" s="64"/>
      <c r="OCX11" s="64"/>
      <c r="OCY11" s="64"/>
      <c r="OCZ11" s="64"/>
      <c r="ODA11" s="64"/>
      <c r="ODB11" s="64"/>
      <c r="ODC11" s="64"/>
      <c r="ODD11" s="64"/>
      <c r="ODE11" s="64"/>
      <c r="ODF11" s="64"/>
      <c r="ODG11" s="64"/>
      <c r="ODH11" s="64"/>
      <c r="ODI11" s="64"/>
      <c r="ODJ11" s="64"/>
      <c r="ODK11" s="64"/>
      <c r="ODL11" s="64"/>
      <c r="ODM11" s="64"/>
      <c r="ODN11" s="64"/>
      <c r="ODO11" s="64"/>
      <c r="ODP11" s="64"/>
      <c r="ODQ11" s="64"/>
      <c r="ODR11" s="64"/>
      <c r="ODS11" s="64"/>
      <c r="ODT11" s="64"/>
      <c r="ODU11" s="64"/>
      <c r="ODV11" s="64"/>
      <c r="ODW11" s="64"/>
      <c r="ODX11" s="64"/>
      <c r="ODY11" s="64"/>
      <c r="ODZ11" s="64"/>
      <c r="OEA11" s="64"/>
      <c r="OEB11" s="64"/>
      <c r="OEC11" s="64"/>
      <c r="OED11" s="64"/>
      <c r="OEE11" s="64"/>
      <c r="OEF11" s="64"/>
      <c r="OEG11" s="64"/>
      <c r="OEH11" s="64"/>
      <c r="OEI11" s="64"/>
      <c r="OEJ11" s="64"/>
      <c r="OEK11" s="64"/>
      <c r="OEL11" s="64"/>
      <c r="OEM11" s="64"/>
      <c r="OEN11" s="64"/>
      <c r="OEO11" s="64"/>
      <c r="OEP11" s="64"/>
      <c r="OEQ11" s="64"/>
      <c r="OER11" s="64"/>
      <c r="OES11" s="64"/>
      <c r="OET11" s="64"/>
      <c r="OEU11" s="64"/>
      <c r="OEV11" s="64"/>
      <c r="OEW11" s="64"/>
      <c r="OEX11" s="64"/>
      <c r="OEY11" s="64"/>
      <c r="OEZ11" s="64"/>
      <c r="OFA11" s="64"/>
      <c r="OFB11" s="64"/>
      <c r="OFC11" s="64"/>
      <c r="OFD11" s="64"/>
      <c r="OFE11" s="64"/>
      <c r="OFF11" s="64"/>
      <c r="OFG11" s="64"/>
      <c r="OFH11" s="64"/>
      <c r="OFI11" s="64"/>
      <c r="OFJ11" s="64"/>
      <c r="OFK11" s="64"/>
      <c r="OFL11" s="64"/>
      <c r="OFM11" s="64"/>
      <c r="OFN11" s="64"/>
      <c r="OFO11" s="64"/>
      <c r="OFP11" s="64"/>
      <c r="OFQ11" s="64"/>
      <c r="OFR11" s="64"/>
      <c r="OFS11" s="64"/>
      <c r="OFT11" s="64"/>
      <c r="OFU11" s="64"/>
      <c r="OFV11" s="64"/>
      <c r="OFW11" s="64"/>
      <c r="OFX11" s="64"/>
      <c r="OFY11" s="64"/>
      <c r="OFZ11" s="64"/>
      <c r="OGA11" s="64"/>
      <c r="OGB11" s="64"/>
      <c r="OGC11" s="64"/>
      <c r="OGD11" s="64"/>
      <c r="OGE11" s="64"/>
      <c r="OGF11" s="64"/>
      <c r="OGG11" s="64"/>
      <c r="OGH11" s="64"/>
      <c r="OGI11" s="64"/>
      <c r="OGJ11" s="64"/>
      <c r="OGK11" s="64"/>
      <c r="OGL11" s="64"/>
      <c r="OGM11" s="64"/>
      <c r="OGN11" s="64"/>
      <c r="OGO11" s="64"/>
      <c r="OGP11" s="64"/>
      <c r="OGQ11" s="64"/>
      <c r="OGR11" s="64"/>
      <c r="OGS11" s="64"/>
      <c r="OGT11" s="64"/>
      <c r="OGU11" s="64"/>
      <c r="OGV11" s="64"/>
      <c r="OGW11" s="64"/>
      <c r="OGX11" s="64"/>
      <c r="OGY11" s="64"/>
      <c r="OGZ11" s="64"/>
      <c r="OHA11" s="64"/>
      <c r="OHB11" s="64"/>
      <c r="OHC11" s="64"/>
      <c r="OHD11" s="64"/>
      <c r="OHE11" s="64"/>
      <c r="OHF11" s="64"/>
      <c r="OHG11" s="64"/>
      <c r="OHH11" s="64"/>
      <c r="OHI11" s="64"/>
      <c r="OHJ11" s="64"/>
      <c r="OHK11" s="64"/>
      <c r="OHL11" s="64"/>
      <c r="OHM11" s="64"/>
      <c r="OHN11" s="64"/>
      <c r="OHO11" s="64"/>
      <c r="OHP11" s="64"/>
      <c r="OHQ11" s="64"/>
      <c r="OHR11" s="64"/>
      <c r="OHS11" s="64"/>
      <c r="OHT11" s="64"/>
      <c r="OHU11" s="64"/>
      <c r="OHV11" s="64"/>
      <c r="OHW11" s="64"/>
      <c r="OHX11" s="64"/>
      <c r="OHY11" s="64"/>
      <c r="OHZ11" s="64"/>
      <c r="OIA11" s="64"/>
      <c r="OIB11" s="64"/>
      <c r="OIC11" s="64"/>
      <c r="OID11" s="64"/>
      <c r="OIE11" s="64"/>
      <c r="OIF11" s="64"/>
      <c r="OIG11" s="64"/>
      <c r="OIH11" s="64"/>
      <c r="OII11" s="64"/>
      <c r="OIJ11" s="64"/>
      <c r="OIK11" s="64"/>
      <c r="OIL11" s="64"/>
      <c r="OIM11" s="64"/>
      <c r="OIN11" s="64"/>
      <c r="OIO11" s="64"/>
      <c r="OIP11" s="64"/>
      <c r="OIQ11" s="64"/>
      <c r="OIR11" s="64"/>
      <c r="OIS11" s="64"/>
      <c r="OIT11" s="64"/>
      <c r="OIU11" s="64"/>
      <c r="OIV11" s="64"/>
      <c r="OIW11" s="64"/>
      <c r="OIX11" s="64"/>
      <c r="OIY11" s="64"/>
      <c r="OIZ11" s="64"/>
      <c r="OJA11" s="64"/>
      <c r="OJB11" s="64"/>
      <c r="OJC11" s="64"/>
      <c r="OJD11" s="64"/>
      <c r="OJE11" s="64"/>
      <c r="OJF11" s="64"/>
      <c r="OJG11" s="64"/>
      <c r="OJH11" s="64"/>
      <c r="OJI11" s="64"/>
      <c r="OJJ11" s="64"/>
      <c r="OJK11" s="64"/>
      <c r="OJL11" s="64"/>
      <c r="OJM11" s="64"/>
      <c r="OJN11" s="64"/>
      <c r="OJO11" s="64"/>
      <c r="OJP11" s="64"/>
      <c r="OJQ11" s="64"/>
      <c r="OJR11" s="64"/>
      <c r="OJS11" s="64"/>
      <c r="OJT11" s="64"/>
      <c r="OJU11" s="64"/>
      <c r="OJV11" s="64"/>
      <c r="OJW11" s="64"/>
      <c r="OJX11" s="64"/>
      <c r="OJY11" s="64"/>
      <c r="OJZ11" s="64"/>
      <c r="OKA11" s="64"/>
      <c r="OKB11" s="64"/>
      <c r="OKC11" s="64"/>
      <c r="OKD11" s="64"/>
      <c r="OKE11" s="64"/>
      <c r="OKF11" s="64"/>
      <c r="OKG11" s="64"/>
      <c r="OKH11" s="64"/>
      <c r="OKI11" s="64"/>
      <c r="OKJ11" s="64"/>
      <c r="OKK11" s="64"/>
      <c r="OKL11" s="64"/>
      <c r="OKM11" s="64"/>
      <c r="OKN11" s="64"/>
      <c r="OKO11" s="64"/>
      <c r="OKP11" s="64"/>
      <c r="OKQ11" s="64"/>
      <c r="OKR11" s="64"/>
      <c r="OKS11" s="64"/>
      <c r="OKT11" s="64"/>
      <c r="OKU11" s="64"/>
      <c r="OKV11" s="64"/>
      <c r="OKW11" s="64"/>
      <c r="OKX11" s="64"/>
      <c r="OKY11" s="64"/>
      <c r="OKZ11" s="64"/>
      <c r="OLA11" s="64"/>
      <c r="OLB11" s="64"/>
      <c r="OLC11" s="64"/>
      <c r="OLD11" s="64"/>
      <c r="OLE11" s="64"/>
      <c r="OLF11" s="64"/>
      <c r="OLG11" s="64"/>
      <c r="OLH11" s="64"/>
      <c r="OLI11" s="64"/>
      <c r="OLJ11" s="64"/>
      <c r="OLK11" s="64"/>
      <c r="OLL11" s="64"/>
      <c r="OLM11" s="64"/>
      <c r="OLN11" s="64"/>
      <c r="OLO11" s="64"/>
      <c r="OLP11" s="64"/>
      <c r="OLQ11" s="64"/>
      <c r="OLR11" s="64"/>
      <c r="OLS11" s="64"/>
      <c r="OLT11" s="64"/>
      <c r="OLU11" s="64"/>
      <c r="OLV11" s="64"/>
      <c r="OLW11" s="64"/>
      <c r="OLX11" s="64"/>
      <c r="OLY11" s="64"/>
      <c r="OLZ11" s="64"/>
      <c r="OMA11" s="64"/>
      <c r="OMB11" s="64"/>
      <c r="OMC11" s="64"/>
      <c r="OMD11" s="64"/>
      <c r="OME11" s="64"/>
      <c r="OMF11" s="64"/>
      <c r="OMG11" s="64"/>
      <c r="OMH11" s="64"/>
      <c r="OMI11" s="64"/>
      <c r="OMJ11" s="64"/>
      <c r="OMK11" s="64"/>
      <c r="OML11" s="64"/>
      <c r="OMM11" s="64"/>
      <c r="OMN11" s="64"/>
      <c r="OMO11" s="64"/>
      <c r="OMP11" s="64"/>
      <c r="OMQ11" s="64"/>
      <c r="OMR11" s="64"/>
      <c r="OMS11" s="64"/>
      <c r="OMT11" s="64"/>
      <c r="OMU11" s="64"/>
      <c r="OMV11" s="64"/>
      <c r="OMW11" s="64"/>
      <c r="OMX11" s="64"/>
      <c r="OMY11" s="64"/>
      <c r="OMZ11" s="64"/>
      <c r="ONA11" s="64"/>
      <c r="ONB11" s="64"/>
      <c r="ONC11" s="64"/>
      <c r="OND11" s="64"/>
      <c r="ONE11" s="64"/>
      <c r="ONF11" s="64"/>
      <c r="ONG11" s="64"/>
      <c r="ONH11" s="64"/>
      <c r="ONI11" s="64"/>
      <c r="ONJ11" s="64"/>
      <c r="ONK11" s="64"/>
      <c r="ONL11" s="64"/>
      <c r="ONM11" s="64"/>
      <c r="ONN11" s="64"/>
      <c r="ONO11" s="64"/>
      <c r="ONP11" s="64"/>
      <c r="ONQ11" s="64"/>
      <c r="ONR11" s="64"/>
      <c r="ONS11" s="64"/>
      <c r="ONT11" s="64"/>
      <c r="ONU11" s="64"/>
      <c r="ONV11" s="64"/>
      <c r="ONW11" s="64"/>
      <c r="ONX11" s="64"/>
      <c r="ONY11" s="64"/>
      <c r="ONZ11" s="64"/>
      <c r="OOA11" s="64"/>
      <c r="OOB11" s="64"/>
      <c r="OOC11" s="64"/>
      <c r="OOD11" s="64"/>
      <c r="OOE11" s="64"/>
      <c r="OOF11" s="64"/>
      <c r="OOG11" s="64"/>
      <c r="OOH11" s="64"/>
      <c r="OOI11" s="64"/>
      <c r="OOJ11" s="64"/>
      <c r="OOK11" s="64"/>
      <c r="OOL11" s="64"/>
      <c r="OOM11" s="64"/>
      <c r="OON11" s="64"/>
      <c r="OOO11" s="64"/>
      <c r="OOP11" s="64"/>
      <c r="OOQ11" s="64"/>
      <c r="OOR11" s="64"/>
      <c r="OOS11" s="64"/>
      <c r="OOT11" s="64"/>
      <c r="OOU11" s="64"/>
      <c r="OOV11" s="64"/>
      <c r="OOW11" s="64"/>
      <c r="OOX11" s="64"/>
      <c r="OOY11" s="64"/>
      <c r="OOZ11" s="64"/>
      <c r="OPA11" s="64"/>
      <c r="OPB11" s="64"/>
      <c r="OPC11" s="64"/>
      <c r="OPD11" s="64"/>
      <c r="OPE11" s="64"/>
      <c r="OPF11" s="64"/>
      <c r="OPG11" s="64"/>
      <c r="OPH11" s="64"/>
      <c r="OPI11" s="64"/>
      <c r="OPJ11" s="64"/>
      <c r="OPK11" s="64"/>
      <c r="OPL11" s="64"/>
      <c r="OPM11" s="64"/>
      <c r="OPN11" s="64"/>
      <c r="OPO11" s="64"/>
      <c r="OPP11" s="64"/>
      <c r="OPQ11" s="64"/>
      <c r="OPR11" s="64"/>
      <c r="OPS11" s="64"/>
      <c r="OPT11" s="64"/>
      <c r="OPU11" s="64"/>
      <c r="OPV11" s="64"/>
      <c r="OPW11" s="64"/>
      <c r="OPX11" s="64"/>
      <c r="OPY11" s="64"/>
      <c r="OPZ11" s="64"/>
      <c r="OQA11" s="64"/>
      <c r="OQB11" s="64"/>
      <c r="OQC11" s="64"/>
      <c r="OQD11" s="64"/>
      <c r="OQE11" s="64"/>
      <c r="OQF11" s="64"/>
      <c r="OQG11" s="64"/>
      <c r="OQH11" s="64"/>
      <c r="OQI11" s="64"/>
      <c r="OQJ11" s="64"/>
      <c r="OQK11" s="64"/>
      <c r="OQL11" s="64"/>
      <c r="OQM11" s="64"/>
      <c r="OQN11" s="64"/>
      <c r="OQO11" s="64"/>
      <c r="OQP11" s="64"/>
      <c r="OQQ11" s="64"/>
      <c r="OQR11" s="64"/>
      <c r="OQS11" s="64"/>
      <c r="OQT11" s="64"/>
      <c r="OQU11" s="64"/>
      <c r="OQV11" s="64"/>
      <c r="OQW11" s="64"/>
      <c r="OQX11" s="64"/>
      <c r="OQY11" s="64"/>
      <c r="OQZ11" s="64"/>
      <c r="ORA11" s="64"/>
      <c r="ORB11" s="64"/>
      <c r="ORC11" s="64"/>
      <c r="ORD11" s="64"/>
      <c r="ORE11" s="64"/>
      <c r="ORF11" s="64"/>
      <c r="ORG11" s="64"/>
      <c r="ORH11" s="64"/>
      <c r="ORI11" s="64"/>
      <c r="ORJ11" s="64"/>
      <c r="ORK11" s="64"/>
      <c r="ORL11" s="64"/>
      <c r="ORM11" s="64"/>
      <c r="ORN11" s="64"/>
      <c r="ORO11" s="64"/>
      <c r="ORP11" s="64"/>
      <c r="ORQ11" s="64"/>
      <c r="ORR11" s="64"/>
      <c r="ORS11" s="64"/>
      <c r="ORT11" s="64"/>
      <c r="ORU11" s="64"/>
      <c r="ORV11" s="64"/>
      <c r="ORW11" s="64"/>
      <c r="ORX11" s="64"/>
      <c r="ORY11" s="64"/>
      <c r="ORZ11" s="64"/>
      <c r="OSA11" s="64"/>
      <c r="OSB11" s="64"/>
      <c r="OSC11" s="64"/>
      <c r="OSD11" s="64"/>
      <c r="OSE11" s="64"/>
      <c r="OSF11" s="64"/>
      <c r="OSG11" s="64"/>
      <c r="OSH11" s="64"/>
      <c r="OSI11" s="64"/>
      <c r="OSJ11" s="64"/>
      <c r="OSK11" s="64"/>
      <c r="OSL11" s="64"/>
      <c r="OSM11" s="64"/>
      <c r="OSN11" s="64"/>
      <c r="OSO11" s="64"/>
      <c r="OSP11" s="64"/>
      <c r="OSQ11" s="64"/>
      <c r="OSR11" s="64"/>
      <c r="OSS11" s="64"/>
      <c r="OST11" s="64"/>
      <c r="OSU11" s="64"/>
      <c r="OSV11" s="64"/>
      <c r="OSW11" s="64"/>
      <c r="OSX11" s="64"/>
      <c r="OSY11" s="64"/>
      <c r="OSZ11" s="64"/>
      <c r="OTA11" s="64"/>
      <c r="OTB11" s="64"/>
      <c r="OTC11" s="64"/>
      <c r="OTD11" s="64"/>
      <c r="OTE11" s="64"/>
      <c r="OTF11" s="64"/>
      <c r="OTG11" s="64"/>
      <c r="OTH11" s="64"/>
      <c r="OTI11" s="64"/>
      <c r="OTJ11" s="64"/>
      <c r="OTK11" s="64"/>
      <c r="OTL11" s="64"/>
      <c r="OTM11" s="64"/>
      <c r="OTN11" s="64"/>
      <c r="OTO11" s="64"/>
      <c r="OTP11" s="64"/>
      <c r="OTQ11" s="64"/>
      <c r="OTR11" s="64"/>
      <c r="OTS11" s="64"/>
      <c r="OTT11" s="64"/>
      <c r="OTU11" s="64"/>
      <c r="OTV11" s="64"/>
      <c r="OTW11" s="64"/>
      <c r="OTX11" s="64"/>
      <c r="OTY11" s="64"/>
      <c r="OTZ11" s="64"/>
      <c r="OUA11" s="64"/>
      <c r="OUB11" s="64"/>
      <c r="OUC11" s="64"/>
      <c r="OUD11" s="64"/>
      <c r="OUE11" s="64"/>
      <c r="OUF11" s="64"/>
      <c r="OUG11" s="64"/>
      <c r="OUH11" s="64"/>
      <c r="OUI11" s="64"/>
      <c r="OUJ11" s="64"/>
      <c r="OUK11" s="64"/>
      <c r="OUL11" s="64"/>
      <c r="OUM11" s="64"/>
      <c r="OUN11" s="64"/>
      <c r="OUO11" s="64"/>
      <c r="OUP11" s="64"/>
      <c r="OUQ11" s="64"/>
      <c r="OUR11" s="64"/>
      <c r="OUS11" s="64"/>
      <c r="OUT11" s="64"/>
      <c r="OUU11" s="64"/>
      <c r="OUV11" s="64"/>
      <c r="OUW11" s="64"/>
      <c r="OUX11" s="64"/>
      <c r="OUY11" s="64"/>
      <c r="OUZ11" s="64"/>
      <c r="OVA11" s="64"/>
      <c r="OVB11" s="64"/>
      <c r="OVC11" s="64"/>
      <c r="OVD11" s="64"/>
      <c r="OVE11" s="64"/>
      <c r="OVF11" s="64"/>
      <c r="OVG11" s="64"/>
      <c r="OVH11" s="64"/>
      <c r="OVI11" s="64"/>
      <c r="OVJ11" s="64"/>
      <c r="OVK11" s="64"/>
      <c r="OVL11" s="64"/>
      <c r="OVM11" s="64"/>
      <c r="OVN11" s="64"/>
      <c r="OVO11" s="64"/>
      <c r="OVP11" s="64"/>
      <c r="OVQ11" s="64"/>
      <c r="OVR11" s="64"/>
      <c r="OVS11" s="64"/>
      <c r="OVT11" s="64"/>
      <c r="OVU11" s="64"/>
      <c r="OVV11" s="64"/>
      <c r="OVW11" s="64"/>
      <c r="OVX11" s="64"/>
      <c r="OVY11" s="64"/>
      <c r="OVZ11" s="64"/>
      <c r="OWA11" s="64"/>
      <c r="OWB11" s="64"/>
      <c r="OWC11" s="64"/>
      <c r="OWD11" s="64"/>
      <c r="OWE11" s="64"/>
      <c r="OWF11" s="64"/>
      <c r="OWG11" s="64"/>
      <c r="OWH11" s="64"/>
      <c r="OWI11" s="64"/>
      <c r="OWJ11" s="64"/>
      <c r="OWK11" s="64"/>
      <c r="OWL11" s="64"/>
      <c r="OWM11" s="64"/>
      <c r="OWN11" s="64"/>
      <c r="OWO11" s="64"/>
      <c r="OWP11" s="64"/>
      <c r="OWQ11" s="64"/>
      <c r="OWR11" s="64"/>
      <c r="OWS11" s="64"/>
      <c r="OWT11" s="64"/>
      <c r="OWU11" s="64"/>
      <c r="OWV11" s="64"/>
      <c r="OWW11" s="64"/>
      <c r="OWX11" s="64"/>
      <c r="OWY11" s="64"/>
      <c r="OWZ11" s="64"/>
      <c r="OXA11" s="64"/>
      <c r="OXB11" s="64"/>
      <c r="OXC11" s="64"/>
      <c r="OXD11" s="64"/>
      <c r="OXE11" s="64"/>
      <c r="OXF11" s="64"/>
      <c r="OXG11" s="64"/>
      <c r="OXH11" s="64"/>
      <c r="OXI11" s="64"/>
      <c r="OXJ11" s="64"/>
      <c r="OXK11" s="64"/>
      <c r="OXL11" s="64"/>
      <c r="OXM11" s="64"/>
      <c r="OXN11" s="64"/>
      <c r="OXO11" s="64"/>
      <c r="OXP11" s="64"/>
      <c r="OXQ11" s="64"/>
      <c r="OXR11" s="64"/>
      <c r="OXS11" s="64"/>
      <c r="OXT11" s="64"/>
      <c r="OXU11" s="64"/>
      <c r="OXV11" s="64"/>
      <c r="OXW11" s="64"/>
      <c r="OXX11" s="64"/>
      <c r="OXY11" s="64"/>
      <c r="OXZ11" s="64"/>
      <c r="OYA11" s="64"/>
      <c r="OYB11" s="64"/>
      <c r="OYC11" s="64"/>
      <c r="OYD11" s="64"/>
      <c r="OYE11" s="64"/>
      <c r="OYF11" s="64"/>
      <c r="OYG11" s="64"/>
      <c r="OYH11" s="64"/>
      <c r="OYI11" s="64"/>
      <c r="OYJ11" s="64"/>
      <c r="OYK11" s="64"/>
      <c r="OYL11" s="64"/>
      <c r="OYM11" s="64"/>
      <c r="OYN11" s="64"/>
      <c r="OYO11" s="64"/>
      <c r="OYP11" s="64"/>
      <c r="OYQ11" s="64"/>
      <c r="OYR11" s="64"/>
      <c r="OYS11" s="64"/>
      <c r="OYT11" s="64"/>
      <c r="OYU11" s="64"/>
      <c r="OYV11" s="64"/>
      <c r="OYW11" s="64"/>
      <c r="OYX11" s="64"/>
      <c r="OYY11" s="64"/>
      <c r="OYZ11" s="64"/>
      <c r="OZA11" s="64"/>
      <c r="OZB11" s="64"/>
      <c r="OZC11" s="64"/>
      <c r="OZD11" s="64"/>
      <c r="OZE11" s="64"/>
      <c r="OZF11" s="64"/>
      <c r="OZG11" s="64"/>
      <c r="OZH11" s="64"/>
      <c r="OZI11" s="64"/>
      <c r="OZJ11" s="64"/>
      <c r="OZK11" s="64"/>
      <c r="OZL11" s="64"/>
      <c r="OZM11" s="64"/>
      <c r="OZN11" s="64"/>
      <c r="OZO11" s="64"/>
      <c r="OZP11" s="64"/>
      <c r="OZQ11" s="64"/>
      <c r="OZR11" s="64"/>
      <c r="OZS11" s="64"/>
      <c r="OZT11" s="64"/>
      <c r="OZU11" s="64"/>
      <c r="OZV11" s="64"/>
      <c r="OZW11" s="64"/>
      <c r="OZX11" s="64"/>
      <c r="OZY11" s="64"/>
      <c r="OZZ11" s="64"/>
      <c r="PAA11" s="64"/>
      <c r="PAB11" s="64"/>
      <c r="PAC11" s="64"/>
      <c r="PAD11" s="64"/>
      <c r="PAE11" s="64"/>
      <c r="PAF11" s="64"/>
      <c r="PAG11" s="64"/>
      <c r="PAH11" s="64"/>
      <c r="PAI11" s="64"/>
      <c r="PAJ11" s="64"/>
      <c r="PAK11" s="64"/>
      <c r="PAL11" s="64"/>
      <c r="PAM11" s="64"/>
      <c r="PAN11" s="64"/>
      <c r="PAO11" s="64"/>
      <c r="PAP11" s="64"/>
      <c r="PAQ11" s="64"/>
      <c r="PAR11" s="64"/>
      <c r="PAS11" s="64"/>
      <c r="PAT11" s="64"/>
      <c r="PAU11" s="64"/>
      <c r="PAV11" s="64"/>
      <c r="PAW11" s="64"/>
      <c r="PAX11" s="64"/>
      <c r="PAY11" s="64"/>
      <c r="PAZ11" s="64"/>
      <c r="PBA11" s="64"/>
      <c r="PBB11" s="64"/>
      <c r="PBC11" s="64"/>
      <c r="PBD11" s="64"/>
      <c r="PBE11" s="64"/>
      <c r="PBF11" s="64"/>
      <c r="PBG11" s="64"/>
      <c r="PBH11" s="64"/>
      <c r="PBI11" s="64"/>
      <c r="PBJ11" s="64"/>
      <c r="PBK11" s="64"/>
      <c r="PBL11" s="64"/>
      <c r="PBM11" s="64"/>
      <c r="PBN11" s="64"/>
      <c r="PBO11" s="64"/>
      <c r="PBP11" s="64"/>
      <c r="PBQ11" s="64"/>
      <c r="PBR11" s="64"/>
      <c r="PBS11" s="64"/>
      <c r="PBT11" s="64"/>
      <c r="PBU11" s="64"/>
      <c r="PBV11" s="64"/>
      <c r="PBW11" s="64"/>
      <c r="PBX11" s="64"/>
      <c r="PBY11" s="64"/>
      <c r="PBZ11" s="64"/>
      <c r="PCA11" s="64"/>
      <c r="PCB11" s="64"/>
      <c r="PCC11" s="64"/>
      <c r="PCD11" s="64"/>
      <c r="PCE11" s="64"/>
      <c r="PCF11" s="64"/>
      <c r="PCG11" s="64"/>
      <c r="PCH11" s="64"/>
      <c r="PCI11" s="64"/>
      <c r="PCJ11" s="64"/>
      <c r="PCK11" s="64"/>
      <c r="PCL11" s="64"/>
      <c r="PCM11" s="64"/>
      <c r="PCN11" s="64"/>
      <c r="PCO11" s="64"/>
      <c r="PCP11" s="64"/>
      <c r="PCQ11" s="64"/>
      <c r="PCR11" s="64"/>
      <c r="PCS11" s="64"/>
      <c r="PCT11" s="64"/>
      <c r="PCU11" s="64"/>
      <c r="PCV11" s="64"/>
      <c r="PCW11" s="64"/>
      <c r="PCX11" s="64"/>
      <c r="PCY11" s="64"/>
      <c r="PCZ11" s="64"/>
      <c r="PDA11" s="64"/>
      <c r="PDB11" s="64"/>
      <c r="PDC11" s="64"/>
      <c r="PDD11" s="64"/>
      <c r="PDE11" s="64"/>
      <c r="PDF11" s="64"/>
      <c r="PDG11" s="64"/>
      <c r="PDH11" s="64"/>
      <c r="PDI11" s="64"/>
      <c r="PDJ11" s="64"/>
      <c r="PDK11" s="64"/>
      <c r="PDL11" s="64"/>
      <c r="PDM11" s="64"/>
      <c r="PDN11" s="64"/>
      <c r="PDO11" s="64"/>
      <c r="PDP11" s="64"/>
      <c r="PDQ11" s="64"/>
      <c r="PDR11" s="64"/>
      <c r="PDS11" s="64"/>
      <c r="PDT11" s="64"/>
      <c r="PDU11" s="64"/>
      <c r="PDV11" s="64"/>
      <c r="PDW11" s="64"/>
      <c r="PDX11" s="64"/>
      <c r="PDY11" s="64"/>
      <c r="PDZ11" s="64"/>
      <c r="PEA11" s="64"/>
      <c r="PEB11" s="64"/>
      <c r="PEC11" s="64"/>
      <c r="PED11" s="64"/>
      <c r="PEE11" s="64"/>
      <c r="PEF11" s="64"/>
      <c r="PEG11" s="64"/>
      <c r="PEH11" s="64"/>
      <c r="PEI11" s="64"/>
      <c r="PEJ11" s="64"/>
      <c r="PEK11" s="64"/>
      <c r="PEL11" s="64"/>
      <c r="PEM11" s="64"/>
      <c r="PEN11" s="64"/>
      <c r="PEO11" s="64"/>
      <c r="PEP11" s="64"/>
      <c r="PEQ11" s="64"/>
      <c r="PER11" s="64"/>
      <c r="PES11" s="64"/>
      <c r="PET11" s="64"/>
      <c r="PEU11" s="64"/>
      <c r="PEV11" s="64"/>
      <c r="PEW11" s="64"/>
      <c r="PEX11" s="64"/>
      <c r="PEY11" s="64"/>
      <c r="PEZ11" s="64"/>
      <c r="PFA11" s="64"/>
      <c r="PFB11" s="64"/>
      <c r="PFC11" s="64"/>
      <c r="PFD11" s="64"/>
      <c r="PFE11" s="64"/>
      <c r="PFF11" s="64"/>
      <c r="PFG11" s="64"/>
      <c r="PFH11" s="64"/>
      <c r="PFI11" s="64"/>
      <c r="PFJ11" s="64"/>
      <c r="PFK11" s="64"/>
      <c r="PFL11" s="64"/>
      <c r="PFM11" s="64"/>
      <c r="PFN11" s="64"/>
      <c r="PFO11" s="64"/>
      <c r="PFP11" s="64"/>
      <c r="PFQ11" s="64"/>
      <c r="PFR11" s="64"/>
      <c r="PFS11" s="64"/>
      <c r="PFT11" s="64"/>
      <c r="PFU11" s="64"/>
      <c r="PFV11" s="64"/>
      <c r="PFW11" s="64"/>
      <c r="PFX11" s="64"/>
      <c r="PFY11" s="64"/>
      <c r="PFZ11" s="64"/>
      <c r="PGA11" s="64"/>
      <c r="PGB11" s="64"/>
      <c r="PGC11" s="64"/>
      <c r="PGD11" s="64"/>
      <c r="PGE11" s="64"/>
      <c r="PGF11" s="64"/>
      <c r="PGG11" s="64"/>
      <c r="PGH11" s="64"/>
      <c r="PGI11" s="64"/>
      <c r="PGJ11" s="64"/>
      <c r="PGK11" s="64"/>
      <c r="PGL11" s="64"/>
      <c r="PGM11" s="64"/>
      <c r="PGN11" s="64"/>
      <c r="PGO11" s="64"/>
      <c r="PGP11" s="64"/>
      <c r="PGQ11" s="64"/>
      <c r="PGR11" s="64"/>
      <c r="PGS11" s="64"/>
      <c r="PGT11" s="64"/>
      <c r="PGU11" s="64"/>
      <c r="PGV11" s="64"/>
      <c r="PGW11" s="64"/>
      <c r="PGX11" s="64"/>
      <c r="PGY11" s="64"/>
      <c r="PGZ11" s="64"/>
      <c r="PHA11" s="64"/>
      <c r="PHB11" s="64"/>
      <c r="PHC11" s="64"/>
      <c r="PHD11" s="64"/>
      <c r="PHE11" s="64"/>
      <c r="PHF11" s="64"/>
      <c r="PHG11" s="64"/>
      <c r="PHH11" s="64"/>
      <c r="PHI11" s="64"/>
      <c r="PHJ11" s="64"/>
      <c r="PHK11" s="64"/>
      <c r="PHL11" s="64"/>
      <c r="PHM11" s="64"/>
      <c r="PHN11" s="64"/>
      <c r="PHO11" s="64"/>
      <c r="PHP11" s="64"/>
      <c r="PHQ11" s="64"/>
      <c r="PHR11" s="64"/>
      <c r="PHS11" s="64"/>
      <c r="PHT11" s="64"/>
      <c r="PHU11" s="64"/>
      <c r="PHV11" s="64"/>
      <c r="PHW11" s="64"/>
      <c r="PHX11" s="64"/>
      <c r="PHY11" s="64"/>
      <c r="PHZ11" s="64"/>
      <c r="PIA11" s="64"/>
      <c r="PIB11" s="64"/>
      <c r="PIC11" s="64"/>
      <c r="PID11" s="64"/>
      <c r="PIE11" s="64"/>
      <c r="PIF11" s="64"/>
      <c r="PIG11" s="64"/>
      <c r="PIH11" s="64"/>
      <c r="PII11" s="64"/>
      <c r="PIJ11" s="64"/>
      <c r="PIK11" s="64"/>
      <c r="PIL11" s="64"/>
      <c r="PIM11" s="64"/>
      <c r="PIN11" s="64"/>
      <c r="PIO11" s="64"/>
      <c r="PIP11" s="64"/>
      <c r="PIQ11" s="64"/>
      <c r="PIR11" s="64"/>
      <c r="PIS11" s="64"/>
      <c r="PIT11" s="64"/>
      <c r="PIU11" s="64"/>
      <c r="PIV11" s="64"/>
      <c r="PIW11" s="64"/>
      <c r="PIX11" s="64"/>
      <c r="PIY11" s="64"/>
      <c r="PIZ11" s="64"/>
      <c r="PJA11" s="64"/>
      <c r="PJB11" s="64"/>
      <c r="PJC11" s="64"/>
      <c r="PJD11" s="64"/>
      <c r="PJE11" s="64"/>
      <c r="PJF11" s="64"/>
      <c r="PJG11" s="64"/>
      <c r="PJH11" s="64"/>
      <c r="PJI11" s="64"/>
      <c r="PJJ11" s="64"/>
      <c r="PJK11" s="64"/>
      <c r="PJL11" s="64"/>
      <c r="PJM11" s="64"/>
      <c r="PJN11" s="64"/>
      <c r="PJO11" s="64"/>
      <c r="PJP11" s="64"/>
      <c r="PJQ11" s="64"/>
      <c r="PJR11" s="64"/>
      <c r="PJS11" s="64"/>
      <c r="PJT11" s="64"/>
      <c r="PJU11" s="64"/>
      <c r="PJV11" s="64"/>
      <c r="PJW11" s="64"/>
      <c r="PJX11" s="64"/>
      <c r="PJY11" s="64"/>
      <c r="PJZ11" s="64"/>
      <c r="PKA11" s="64"/>
      <c r="PKB11" s="64"/>
      <c r="PKC11" s="64"/>
      <c r="PKD11" s="64"/>
      <c r="PKE11" s="64"/>
      <c r="PKF11" s="64"/>
      <c r="PKG11" s="64"/>
      <c r="PKH11" s="64"/>
      <c r="PKI11" s="64"/>
      <c r="PKJ11" s="64"/>
      <c r="PKK11" s="64"/>
      <c r="PKL11" s="64"/>
      <c r="PKM11" s="64"/>
      <c r="PKN11" s="64"/>
      <c r="PKO11" s="64"/>
      <c r="PKP11" s="64"/>
      <c r="PKQ11" s="64"/>
      <c r="PKR11" s="64"/>
      <c r="PKS11" s="64"/>
      <c r="PKT11" s="64"/>
      <c r="PKU11" s="64"/>
      <c r="PKV11" s="64"/>
      <c r="PKW11" s="64"/>
      <c r="PKX11" s="64"/>
      <c r="PKY11" s="64"/>
      <c r="PKZ11" s="64"/>
      <c r="PLA11" s="64"/>
      <c r="PLB11" s="64"/>
      <c r="PLC11" s="64"/>
      <c r="PLD11" s="64"/>
      <c r="PLE11" s="64"/>
      <c r="PLF11" s="64"/>
      <c r="PLG11" s="64"/>
      <c r="PLH11" s="64"/>
      <c r="PLI11" s="64"/>
      <c r="PLJ11" s="64"/>
      <c r="PLK11" s="64"/>
      <c r="PLL11" s="64"/>
      <c r="PLM11" s="64"/>
      <c r="PLN11" s="64"/>
      <c r="PLO11" s="64"/>
      <c r="PLP11" s="64"/>
      <c r="PLQ11" s="64"/>
      <c r="PLR11" s="64"/>
      <c r="PLS11" s="64"/>
      <c r="PLT11" s="64"/>
      <c r="PLU11" s="64"/>
      <c r="PLV11" s="64"/>
      <c r="PLW11" s="64"/>
      <c r="PLX11" s="64"/>
      <c r="PLY11" s="64"/>
      <c r="PLZ11" s="64"/>
      <c r="PMA11" s="64"/>
      <c r="PMB11" s="64"/>
      <c r="PMC11" s="64"/>
      <c r="PMD11" s="64"/>
      <c r="PME11" s="64"/>
      <c r="PMF11" s="64"/>
      <c r="PMG11" s="64"/>
      <c r="PMH11" s="64"/>
      <c r="PMI11" s="64"/>
      <c r="PMJ11" s="64"/>
      <c r="PMK11" s="64"/>
      <c r="PML11" s="64"/>
      <c r="PMM11" s="64"/>
      <c r="PMN11" s="64"/>
      <c r="PMO11" s="64"/>
      <c r="PMP11" s="64"/>
      <c r="PMQ11" s="64"/>
      <c r="PMR11" s="64"/>
      <c r="PMS11" s="64"/>
      <c r="PMT11" s="64"/>
      <c r="PMU11" s="64"/>
      <c r="PMV11" s="64"/>
      <c r="PMW11" s="64"/>
      <c r="PMX11" s="64"/>
      <c r="PMY11" s="64"/>
      <c r="PMZ11" s="64"/>
      <c r="PNA11" s="64"/>
      <c r="PNB11" s="64"/>
      <c r="PNC11" s="64"/>
      <c r="PND11" s="64"/>
      <c r="PNE11" s="64"/>
      <c r="PNF11" s="64"/>
      <c r="PNG11" s="64"/>
      <c r="PNH11" s="64"/>
      <c r="PNI11" s="64"/>
      <c r="PNJ11" s="64"/>
      <c r="PNK11" s="64"/>
      <c r="PNL11" s="64"/>
      <c r="PNM11" s="64"/>
      <c r="PNN11" s="64"/>
      <c r="PNO11" s="64"/>
      <c r="PNP11" s="64"/>
      <c r="PNQ11" s="64"/>
      <c r="PNR11" s="64"/>
      <c r="PNS11" s="64"/>
      <c r="PNT11" s="64"/>
      <c r="PNU11" s="64"/>
      <c r="PNV11" s="64"/>
      <c r="PNW11" s="64"/>
      <c r="PNX11" s="64"/>
      <c r="PNY11" s="64"/>
      <c r="PNZ11" s="64"/>
      <c r="POA11" s="64"/>
      <c r="POB11" s="64"/>
      <c r="POC11" s="64"/>
      <c r="POD11" s="64"/>
      <c r="POE11" s="64"/>
      <c r="POF11" s="64"/>
      <c r="POG11" s="64"/>
      <c r="POH11" s="64"/>
      <c r="POI11" s="64"/>
      <c r="POJ11" s="64"/>
      <c r="POK11" s="64"/>
      <c r="POL11" s="64"/>
      <c r="POM11" s="64"/>
      <c r="PON11" s="64"/>
      <c r="POO11" s="64"/>
      <c r="POP11" s="64"/>
      <c r="POQ11" s="64"/>
      <c r="POR11" s="64"/>
      <c r="POS11" s="64"/>
      <c r="POT11" s="64"/>
      <c r="POU11" s="64"/>
      <c r="POV11" s="64"/>
      <c r="POW11" s="64"/>
      <c r="POX11" s="64"/>
      <c r="POY11" s="64"/>
      <c r="POZ11" s="64"/>
      <c r="PPA11" s="64"/>
      <c r="PPB11" s="64"/>
      <c r="PPC11" s="64"/>
      <c r="PPD11" s="64"/>
      <c r="PPE11" s="64"/>
      <c r="PPF11" s="64"/>
      <c r="PPG11" s="64"/>
      <c r="PPH11" s="64"/>
      <c r="PPI11" s="64"/>
      <c r="PPJ11" s="64"/>
      <c r="PPK11" s="64"/>
      <c r="PPL11" s="64"/>
      <c r="PPM11" s="64"/>
      <c r="PPN11" s="64"/>
      <c r="PPO11" s="64"/>
      <c r="PPP11" s="64"/>
      <c r="PPQ11" s="64"/>
      <c r="PPR11" s="64"/>
      <c r="PPS11" s="64"/>
      <c r="PPT11" s="64"/>
      <c r="PPU11" s="64"/>
      <c r="PPV11" s="64"/>
      <c r="PPW11" s="64"/>
      <c r="PPX11" s="64"/>
      <c r="PPY11" s="64"/>
      <c r="PPZ11" s="64"/>
      <c r="PQA11" s="64"/>
      <c r="PQB11" s="64"/>
      <c r="PQC11" s="64"/>
      <c r="PQD11" s="64"/>
      <c r="PQE11" s="64"/>
      <c r="PQF11" s="64"/>
      <c r="PQG11" s="64"/>
      <c r="PQH11" s="64"/>
      <c r="PQI11" s="64"/>
      <c r="PQJ11" s="64"/>
      <c r="PQK11" s="64"/>
      <c r="PQL11" s="64"/>
      <c r="PQM11" s="64"/>
      <c r="PQN11" s="64"/>
      <c r="PQO11" s="64"/>
      <c r="PQP11" s="64"/>
      <c r="PQQ11" s="64"/>
      <c r="PQR11" s="64"/>
      <c r="PQS11" s="64"/>
      <c r="PQT11" s="64"/>
      <c r="PQU11" s="64"/>
      <c r="PQV11" s="64"/>
      <c r="PQW11" s="64"/>
      <c r="PQX11" s="64"/>
      <c r="PQY11" s="64"/>
      <c r="PQZ11" s="64"/>
      <c r="PRA11" s="64"/>
      <c r="PRB11" s="64"/>
      <c r="PRC11" s="64"/>
      <c r="PRD11" s="64"/>
      <c r="PRE11" s="64"/>
      <c r="PRF11" s="64"/>
      <c r="PRG11" s="64"/>
      <c r="PRH11" s="64"/>
      <c r="PRI11" s="64"/>
      <c r="PRJ11" s="64"/>
      <c r="PRK11" s="64"/>
      <c r="PRL11" s="64"/>
      <c r="PRM11" s="64"/>
      <c r="PRN11" s="64"/>
      <c r="PRO11" s="64"/>
      <c r="PRP11" s="64"/>
      <c r="PRQ11" s="64"/>
      <c r="PRR11" s="64"/>
      <c r="PRS11" s="64"/>
      <c r="PRT11" s="64"/>
      <c r="PRU11" s="64"/>
      <c r="PRV11" s="64"/>
      <c r="PRW11" s="64"/>
      <c r="PRX11" s="64"/>
      <c r="PRY11" s="64"/>
      <c r="PRZ11" s="64"/>
      <c r="PSA11" s="64"/>
      <c r="PSB11" s="64"/>
      <c r="PSC11" s="64"/>
      <c r="PSD11" s="64"/>
      <c r="PSE11" s="64"/>
      <c r="PSF11" s="64"/>
      <c r="PSG11" s="64"/>
      <c r="PSH11" s="64"/>
      <c r="PSI11" s="64"/>
      <c r="PSJ11" s="64"/>
      <c r="PSK11" s="64"/>
      <c r="PSL11" s="64"/>
      <c r="PSM11" s="64"/>
      <c r="PSN11" s="64"/>
      <c r="PSO11" s="64"/>
      <c r="PSP11" s="64"/>
      <c r="PSQ11" s="64"/>
      <c r="PSR11" s="64"/>
      <c r="PSS11" s="64"/>
      <c r="PST11" s="64"/>
      <c r="PSU11" s="64"/>
      <c r="PSV11" s="64"/>
      <c r="PSW11" s="64"/>
      <c r="PSX11" s="64"/>
      <c r="PSY11" s="64"/>
      <c r="PSZ11" s="64"/>
      <c r="PTA11" s="64"/>
      <c r="PTB11" s="64"/>
      <c r="PTC11" s="64"/>
      <c r="PTD11" s="64"/>
      <c r="PTE11" s="64"/>
      <c r="PTF11" s="64"/>
      <c r="PTG11" s="64"/>
      <c r="PTH11" s="64"/>
      <c r="PTI11" s="64"/>
      <c r="PTJ11" s="64"/>
      <c r="PTK11" s="64"/>
      <c r="PTL11" s="64"/>
      <c r="PTM11" s="64"/>
      <c r="PTN11" s="64"/>
      <c r="PTO11" s="64"/>
      <c r="PTP11" s="64"/>
      <c r="PTQ11" s="64"/>
      <c r="PTR11" s="64"/>
      <c r="PTS11" s="64"/>
      <c r="PTT11" s="64"/>
      <c r="PTU11" s="64"/>
      <c r="PTV11" s="64"/>
      <c r="PTW11" s="64"/>
      <c r="PTX11" s="64"/>
      <c r="PTY11" s="64"/>
      <c r="PTZ11" s="64"/>
      <c r="PUA11" s="64"/>
      <c r="PUB11" s="64"/>
      <c r="PUC11" s="64"/>
      <c r="PUD11" s="64"/>
      <c r="PUE11" s="64"/>
      <c r="PUF11" s="64"/>
      <c r="PUG11" s="64"/>
      <c r="PUH11" s="64"/>
      <c r="PUI11" s="64"/>
      <c r="PUJ11" s="64"/>
      <c r="PUK11" s="64"/>
      <c r="PUL11" s="64"/>
      <c r="PUM11" s="64"/>
      <c r="PUN11" s="64"/>
      <c r="PUO11" s="64"/>
      <c r="PUP11" s="64"/>
      <c r="PUQ11" s="64"/>
      <c r="PUR11" s="64"/>
      <c r="PUS11" s="64"/>
      <c r="PUT11" s="64"/>
      <c r="PUU11" s="64"/>
      <c r="PUV11" s="64"/>
      <c r="PUW11" s="64"/>
      <c r="PUX11" s="64"/>
      <c r="PUY11" s="64"/>
      <c r="PUZ11" s="64"/>
      <c r="PVA11" s="64"/>
      <c r="PVB11" s="64"/>
      <c r="PVC11" s="64"/>
      <c r="PVD11" s="64"/>
      <c r="PVE11" s="64"/>
      <c r="PVF11" s="64"/>
      <c r="PVG11" s="64"/>
      <c r="PVH11" s="64"/>
      <c r="PVI11" s="64"/>
      <c r="PVJ11" s="64"/>
      <c r="PVK11" s="64"/>
      <c r="PVL11" s="64"/>
      <c r="PVM11" s="64"/>
      <c r="PVN11" s="64"/>
      <c r="PVO11" s="64"/>
      <c r="PVP11" s="64"/>
      <c r="PVQ11" s="64"/>
      <c r="PVR11" s="64"/>
      <c r="PVS11" s="64"/>
      <c r="PVT11" s="64"/>
      <c r="PVU11" s="64"/>
      <c r="PVV11" s="64"/>
      <c r="PVW11" s="64"/>
      <c r="PVX11" s="64"/>
      <c r="PVY11" s="64"/>
      <c r="PVZ11" s="64"/>
      <c r="PWA11" s="64"/>
      <c r="PWB11" s="64"/>
      <c r="PWC11" s="64"/>
      <c r="PWD11" s="64"/>
      <c r="PWE11" s="64"/>
      <c r="PWF11" s="64"/>
      <c r="PWG11" s="64"/>
      <c r="PWH11" s="64"/>
      <c r="PWI11" s="64"/>
      <c r="PWJ11" s="64"/>
      <c r="PWK11" s="64"/>
      <c r="PWL11" s="64"/>
      <c r="PWM11" s="64"/>
      <c r="PWN11" s="64"/>
      <c r="PWO11" s="64"/>
      <c r="PWP11" s="64"/>
      <c r="PWQ11" s="64"/>
      <c r="PWR11" s="64"/>
      <c r="PWS11" s="64"/>
      <c r="PWT11" s="64"/>
      <c r="PWU11" s="64"/>
      <c r="PWV11" s="64"/>
      <c r="PWW11" s="64"/>
      <c r="PWX11" s="64"/>
      <c r="PWY11" s="64"/>
      <c r="PWZ11" s="64"/>
      <c r="PXA11" s="64"/>
      <c r="PXB11" s="64"/>
      <c r="PXC11" s="64"/>
      <c r="PXD11" s="64"/>
      <c r="PXE11" s="64"/>
      <c r="PXF11" s="64"/>
      <c r="PXG11" s="64"/>
      <c r="PXH11" s="64"/>
      <c r="PXI11" s="64"/>
      <c r="PXJ11" s="64"/>
      <c r="PXK11" s="64"/>
      <c r="PXL11" s="64"/>
      <c r="PXM11" s="64"/>
      <c r="PXN11" s="64"/>
      <c r="PXO11" s="64"/>
      <c r="PXP11" s="64"/>
      <c r="PXQ11" s="64"/>
      <c r="PXR11" s="64"/>
      <c r="PXS11" s="64"/>
      <c r="PXT11" s="64"/>
      <c r="PXU11" s="64"/>
      <c r="PXV11" s="64"/>
      <c r="PXW11" s="64"/>
      <c r="PXX11" s="64"/>
      <c r="PXY11" s="64"/>
      <c r="PXZ11" s="64"/>
      <c r="PYA11" s="64"/>
      <c r="PYB11" s="64"/>
      <c r="PYC11" s="64"/>
      <c r="PYD11" s="64"/>
      <c r="PYE11" s="64"/>
      <c r="PYF11" s="64"/>
      <c r="PYG11" s="64"/>
      <c r="PYH11" s="64"/>
      <c r="PYI11" s="64"/>
      <c r="PYJ11" s="64"/>
      <c r="PYK11" s="64"/>
      <c r="PYL11" s="64"/>
      <c r="PYM11" s="64"/>
      <c r="PYN11" s="64"/>
      <c r="PYO11" s="64"/>
      <c r="PYP11" s="64"/>
      <c r="PYQ11" s="64"/>
      <c r="PYR11" s="64"/>
      <c r="PYS11" s="64"/>
      <c r="PYT11" s="64"/>
      <c r="PYU11" s="64"/>
      <c r="PYV11" s="64"/>
      <c r="PYW11" s="64"/>
      <c r="PYX11" s="64"/>
      <c r="PYY11" s="64"/>
      <c r="PYZ11" s="64"/>
      <c r="PZA11" s="64"/>
      <c r="PZB11" s="64"/>
      <c r="PZC11" s="64"/>
      <c r="PZD11" s="64"/>
      <c r="PZE11" s="64"/>
      <c r="PZF11" s="64"/>
      <c r="PZG11" s="64"/>
      <c r="PZH11" s="64"/>
      <c r="PZI11" s="64"/>
      <c r="PZJ11" s="64"/>
      <c r="PZK11" s="64"/>
      <c r="PZL11" s="64"/>
      <c r="PZM11" s="64"/>
      <c r="PZN11" s="64"/>
      <c r="PZO11" s="64"/>
      <c r="PZP11" s="64"/>
      <c r="PZQ11" s="64"/>
      <c r="PZR11" s="64"/>
      <c r="PZS11" s="64"/>
      <c r="PZT11" s="64"/>
      <c r="PZU11" s="64"/>
      <c r="PZV11" s="64"/>
      <c r="PZW11" s="64"/>
      <c r="PZX11" s="64"/>
      <c r="PZY11" s="64"/>
      <c r="PZZ11" s="64"/>
      <c r="QAA11" s="64"/>
      <c r="QAB11" s="64"/>
      <c r="QAC11" s="64"/>
      <c r="QAD11" s="64"/>
      <c r="QAE11" s="64"/>
      <c r="QAF11" s="64"/>
      <c r="QAG11" s="64"/>
      <c r="QAH11" s="64"/>
      <c r="QAI11" s="64"/>
      <c r="QAJ11" s="64"/>
      <c r="QAK11" s="64"/>
      <c r="QAL11" s="64"/>
      <c r="QAM11" s="64"/>
      <c r="QAN11" s="64"/>
      <c r="QAO11" s="64"/>
      <c r="QAP11" s="64"/>
      <c r="QAQ11" s="64"/>
      <c r="QAR11" s="64"/>
      <c r="QAS11" s="64"/>
      <c r="QAT11" s="64"/>
      <c r="QAU11" s="64"/>
      <c r="QAV11" s="64"/>
      <c r="QAW11" s="64"/>
      <c r="QAX11" s="64"/>
      <c r="QAY11" s="64"/>
      <c r="QAZ11" s="64"/>
      <c r="QBA11" s="64"/>
      <c r="QBB11" s="64"/>
      <c r="QBC11" s="64"/>
      <c r="QBD11" s="64"/>
      <c r="QBE11" s="64"/>
      <c r="QBF11" s="64"/>
      <c r="QBG11" s="64"/>
      <c r="QBH11" s="64"/>
      <c r="QBI11" s="64"/>
      <c r="QBJ11" s="64"/>
      <c r="QBK11" s="64"/>
      <c r="QBL11" s="64"/>
      <c r="QBM11" s="64"/>
      <c r="QBN11" s="64"/>
      <c r="QBO11" s="64"/>
      <c r="QBP11" s="64"/>
      <c r="QBQ11" s="64"/>
      <c r="QBR11" s="64"/>
      <c r="QBS11" s="64"/>
      <c r="QBT11" s="64"/>
      <c r="QBU11" s="64"/>
      <c r="QBV11" s="64"/>
      <c r="QBW11" s="64"/>
      <c r="QBX11" s="64"/>
      <c r="QBY11" s="64"/>
      <c r="QBZ11" s="64"/>
      <c r="QCA11" s="64"/>
      <c r="QCB11" s="64"/>
      <c r="QCC11" s="64"/>
      <c r="QCD11" s="64"/>
      <c r="QCE11" s="64"/>
      <c r="QCF11" s="64"/>
      <c r="QCG11" s="64"/>
      <c r="QCH11" s="64"/>
      <c r="QCI11" s="64"/>
      <c r="QCJ11" s="64"/>
      <c r="QCK11" s="64"/>
      <c r="QCL11" s="64"/>
      <c r="QCM11" s="64"/>
      <c r="QCN11" s="64"/>
      <c r="QCO11" s="64"/>
      <c r="QCP11" s="64"/>
      <c r="QCQ11" s="64"/>
      <c r="QCR11" s="64"/>
      <c r="QCS11" s="64"/>
      <c r="QCT11" s="64"/>
      <c r="QCU11" s="64"/>
      <c r="QCV11" s="64"/>
      <c r="QCW11" s="64"/>
      <c r="QCX11" s="64"/>
      <c r="QCY11" s="64"/>
      <c r="QCZ11" s="64"/>
      <c r="QDA11" s="64"/>
      <c r="QDB11" s="64"/>
      <c r="QDC11" s="64"/>
      <c r="QDD11" s="64"/>
      <c r="QDE11" s="64"/>
      <c r="QDF11" s="64"/>
      <c r="QDG11" s="64"/>
      <c r="QDH11" s="64"/>
      <c r="QDI11" s="64"/>
      <c r="QDJ11" s="64"/>
      <c r="QDK11" s="64"/>
      <c r="QDL11" s="64"/>
      <c r="QDM11" s="64"/>
      <c r="QDN11" s="64"/>
      <c r="QDO11" s="64"/>
      <c r="QDP11" s="64"/>
      <c r="QDQ11" s="64"/>
      <c r="QDR11" s="64"/>
      <c r="QDS11" s="64"/>
      <c r="QDT11" s="64"/>
      <c r="QDU11" s="64"/>
      <c r="QDV11" s="64"/>
      <c r="QDW11" s="64"/>
      <c r="QDX11" s="64"/>
      <c r="QDY11" s="64"/>
      <c r="QDZ11" s="64"/>
      <c r="QEA11" s="64"/>
      <c r="QEB11" s="64"/>
      <c r="QEC11" s="64"/>
      <c r="QED11" s="64"/>
      <c r="QEE11" s="64"/>
      <c r="QEF11" s="64"/>
      <c r="QEG11" s="64"/>
      <c r="QEH11" s="64"/>
      <c r="QEI11" s="64"/>
      <c r="QEJ11" s="64"/>
      <c r="QEK11" s="64"/>
      <c r="QEL11" s="64"/>
      <c r="QEM11" s="64"/>
      <c r="QEN11" s="64"/>
      <c r="QEO11" s="64"/>
      <c r="QEP11" s="64"/>
      <c r="QEQ11" s="64"/>
      <c r="QER11" s="64"/>
      <c r="QES11" s="64"/>
      <c r="QET11" s="64"/>
      <c r="QEU11" s="64"/>
      <c r="QEV11" s="64"/>
      <c r="QEW11" s="64"/>
      <c r="QEX11" s="64"/>
      <c r="QEY11" s="64"/>
      <c r="QEZ11" s="64"/>
      <c r="QFA11" s="64"/>
      <c r="QFB11" s="64"/>
      <c r="QFC11" s="64"/>
      <c r="QFD11" s="64"/>
      <c r="QFE11" s="64"/>
      <c r="QFF11" s="64"/>
      <c r="QFG11" s="64"/>
      <c r="QFH11" s="64"/>
      <c r="QFI11" s="64"/>
      <c r="QFJ11" s="64"/>
      <c r="QFK11" s="64"/>
      <c r="QFL11" s="64"/>
      <c r="QFM11" s="64"/>
      <c r="QFN11" s="64"/>
      <c r="QFO11" s="64"/>
      <c r="QFP11" s="64"/>
      <c r="QFQ11" s="64"/>
      <c r="QFR11" s="64"/>
      <c r="QFS11" s="64"/>
      <c r="QFT11" s="64"/>
      <c r="QFU11" s="64"/>
      <c r="QFV11" s="64"/>
      <c r="QFW11" s="64"/>
      <c r="QFX11" s="64"/>
      <c r="QFY11" s="64"/>
      <c r="QFZ11" s="64"/>
      <c r="QGA11" s="64"/>
      <c r="QGB11" s="64"/>
      <c r="QGC11" s="64"/>
      <c r="QGD11" s="64"/>
      <c r="QGE11" s="64"/>
      <c r="QGF11" s="64"/>
      <c r="QGG11" s="64"/>
      <c r="QGH11" s="64"/>
      <c r="QGI11" s="64"/>
      <c r="QGJ11" s="64"/>
      <c r="QGK11" s="64"/>
      <c r="QGL11" s="64"/>
      <c r="QGM11" s="64"/>
      <c r="QGN11" s="64"/>
      <c r="QGO11" s="64"/>
      <c r="QGP11" s="64"/>
      <c r="QGQ11" s="64"/>
      <c r="QGR11" s="64"/>
      <c r="QGS11" s="64"/>
      <c r="QGT11" s="64"/>
      <c r="QGU11" s="64"/>
      <c r="QGV11" s="64"/>
      <c r="QGW11" s="64"/>
      <c r="QGX11" s="64"/>
      <c r="QGY11" s="64"/>
      <c r="QGZ11" s="64"/>
      <c r="QHA11" s="64"/>
      <c r="QHB11" s="64"/>
      <c r="QHC11" s="64"/>
      <c r="QHD11" s="64"/>
      <c r="QHE11" s="64"/>
      <c r="QHF11" s="64"/>
      <c r="QHG11" s="64"/>
      <c r="QHH11" s="64"/>
      <c r="QHI11" s="64"/>
      <c r="QHJ11" s="64"/>
      <c r="QHK11" s="64"/>
      <c r="QHL11" s="64"/>
      <c r="QHM11" s="64"/>
      <c r="QHN11" s="64"/>
      <c r="QHO11" s="64"/>
      <c r="QHP11" s="64"/>
      <c r="QHQ11" s="64"/>
      <c r="QHR11" s="64"/>
      <c r="QHS11" s="64"/>
      <c r="QHT11" s="64"/>
      <c r="QHU11" s="64"/>
      <c r="QHV11" s="64"/>
      <c r="QHW11" s="64"/>
      <c r="QHX11" s="64"/>
      <c r="QHY11" s="64"/>
      <c r="QHZ11" s="64"/>
      <c r="QIA11" s="64"/>
      <c r="QIB11" s="64"/>
      <c r="QIC11" s="64"/>
      <c r="QID11" s="64"/>
      <c r="QIE11" s="64"/>
      <c r="QIF11" s="64"/>
      <c r="QIG11" s="64"/>
      <c r="QIH11" s="64"/>
      <c r="QII11" s="64"/>
      <c r="QIJ11" s="64"/>
      <c r="QIK11" s="64"/>
      <c r="QIL11" s="64"/>
      <c r="QIM11" s="64"/>
      <c r="QIN11" s="64"/>
      <c r="QIO11" s="64"/>
      <c r="QIP11" s="64"/>
      <c r="QIQ11" s="64"/>
      <c r="QIR11" s="64"/>
      <c r="QIS11" s="64"/>
      <c r="QIT11" s="64"/>
      <c r="QIU11" s="64"/>
      <c r="QIV11" s="64"/>
      <c r="QIW11" s="64"/>
      <c r="QIX11" s="64"/>
      <c r="QIY11" s="64"/>
      <c r="QIZ11" s="64"/>
      <c r="QJA11" s="64"/>
      <c r="QJB11" s="64"/>
      <c r="QJC11" s="64"/>
      <c r="QJD11" s="64"/>
      <c r="QJE11" s="64"/>
      <c r="QJF11" s="64"/>
      <c r="QJG11" s="64"/>
      <c r="QJH11" s="64"/>
      <c r="QJI11" s="64"/>
      <c r="QJJ11" s="64"/>
      <c r="QJK11" s="64"/>
      <c r="QJL11" s="64"/>
      <c r="QJM11" s="64"/>
      <c r="QJN11" s="64"/>
      <c r="QJO11" s="64"/>
      <c r="QJP11" s="64"/>
      <c r="QJQ11" s="64"/>
      <c r="QJR11" s="64"/>
      <c r="QJS11" s="64"/>
      <c r="QJT11" s="64"/>
      <c r="QJU11" s="64"/>
      <c r="QJV11" s="64"/>
      <c r="QJW11" s="64"/>
      <c r="QJX11" s="64"/>
      <c r="QJY11" s="64"/>
      <c r="QJZ11" s="64"/>
      <c r="QKA11" s="64"/>
      <c r="QKB11" s="64"/>
      <c r="QKC11" s="64"/>
      <c r="QKD11" s="64"/>
      <c r="QKE11" s="64"/>
      <c r="QKF11" s="64"/>
      <c r="QKG11" s="64"/>
      <c r="QKH11" s="64"/>
      <c r="QKI11" s="64"/>
      <c r="QKJ11" s="64"/>
      <c r="QKK11" s="64"/>
      <c r="QKL11" s="64"/>
      <c r="QKM11" s="64"/>
      <c r="QKN11" s="64"/>
      <c r="QKO11" s="64"/>
      <c r="QKP11" s="64"/>
      <c r="QKQ11" s="64"/>
      <c r="QKR11" s="64"/>
      <c r="QKS11" s="64"/>
      <c r="QKT11" s="64"/>
      <c r="QKU11" s="64"/>
      <c r="QKV11" s="64"/>
      <c r="QKW11" s="64"/>
      <c r="QKX11" s="64"/>
      <c r="QKY11" s="64"/>
      <c r="QKZ11" s="64"/>
      <c r="QLA11" s="64"/>
      <c r="QLB11" s="64"/>
      <c r="QLC11" s="64"/>
      <c r="QLD11" s="64"/>
      <c r="QLE11" s="64"/>
      <c r="QLF11" s="64"/>
      <c r="QLG11" s="64"/>
      <c r="QLH11" s="64"/>
      <c r="QLI11" s="64"/>
      <c r="QLJ11" s="64"/>
      <c r="QLK11" s="64"/>
      <c r="QLL11" s="64"/>
      <c r="QLM11" s="64"/>
      <c r="QLN11" s="64"/>
      <c r="QLO11" s="64"/>
      <c r="QLP11" s="64"/>
      <c r="QLQ11" s="64"/>
      <c r="QLR11" s="64"/>
      <c r="QLS11" s="64"/>
      <c r="QLT11" s="64"/>
      <c r="QLU11" s="64"/>
      <c r="QLV11" s="64"/>
      <c r="QLW11" s="64"/>
      <c r="QLX11" s="64"/>
      <c r="QLY11" s="64"/>
      <c r="QLZ11" s="64"/>
      <c r="QMA11" s="64"/>
      <c r="QMB11" s="64"/>
      <c r="QMC11" s="64"/>
      <c r="QMD11" s="64"/>
      <c r="QME11" s="64"/>
      <c r="QMF11" s="64"/>
      <c r="QMG11" s="64"/>
      <c r="QMH11" s="64"/>
      <c r="QMI11" s="64"/>
      <c r="QMJ11" s="64"/>
      <c r="QMK11" s="64"/>
      <c r="QML11" s="64"/>
      <c r="QMM11" s="64"/>
      <c r="QMN11" s="64"/>
      <c r="QMO11" s="64"/>
      <c r="QMP11" s="64"/>
      <c r="QMQ11" s="64"/>
      <c r="QMR11" s="64"/>
      <c r="QMS11" s="64"/>
      <c r="QMT11" s="64"/>
      <c r="QMU11" s="64"/>
      <c r="QMV11" s="64"/>
      <c r="QMW11" s="64"/>
      <c r="QMX11" s="64"/>
      <c r="QMY11" s="64"/>
      <c r="QMZ11" s="64"/>
      <c r="QNA11" s="64"/>
      <c r="QNB11" s="64"/>
      <c r="QNC11" s="64"/>
      <c r="QND11" s="64"/>
      <c r="QNE11" s="64"/>
      <c r="QNF11" s="64"/>
      <c r="QNG11" s="64"/>
      <c r="QNH11" s="64"/>
      <c r="QNI11" s="64"/>
      <c r="QNJ11" s="64"/>
      <c r="QNK11" s="64"/>
      <c r="QNL11" s="64"/>
      <c r="QNM11" s="64"/>
      <c r="QNN11" s="64"/>
      <c r="QNO11" s="64"/>
      <c r="QNP11" s="64"/>
      <c r="QNQ11" s="64"/>
      <c r="QNR11" s="64"/>
      <c r="QNS11" s="64"/>
      <c r="QNT11" s="64"/>
      <c r="QNU11" s="64"/>
      <c r="QNV11" s="64"/>
      <c r="QNW11" s="64"/>
      <c r="QNX11" s="64"/>
      <c r="QNY11" s="64"/>
      <c r="QNZ11" s="64"/>
      <c r="QOA11" s="64"/>
      <c r="QOB11" s="64"/>
      <c r="QOC11" s="64"/>
      <c r="QOD11" s="64"/>
      <c r="QOE11" s="64"/>
      <c r="QOF11" s="64"/>
      <c r="QOG11" s="64"/>
      <c r="QOH11" s="64"/>
      <c r="QOI11" s="64"/>
      <c r="QOJ11" s="64"/>
      <c r="QOK11" s="64"/>
      <c r="QOL11" s="64"/>
      <c r="QOM11" s="64"/>
      <c r="QON11" s="64"/>
      <c r="QOO11" s="64"/>
      <c r="QOP11" s="64"/>
      <c r="QOQ11" s="64"/>
      <c r="QOR11" s="64"/>
      <c r="QOS11" s="64"/>
      <c r="QOT11" s="64"/>
      <c r="QOU11" s="64"/>
      <c r="QOV11" s="64"/>
      <c r="QOW11" s="64"/>
      <c r="QOX11" s="64"/>
      <c r="QOY11" s="64"/>
      <c r="QOZ11" s="64"/>
      <c r="QPA11" s="64"/>
      <c r="QPB11" s="64"/>
      <c r="QPC11" s="64"/>
      <c r="QPD11" s="64"/>
      <c r="QPE11" s="64"/>
      <c r="QPF11" s="64"/>
      <c r="QPG11" s="64"/>
      <c r="QPH11" s="64"/>
      <c r="QPI11" s="64"/>
      <c r="QPJ11" s="64"/>
      <c r="QPK11" s="64"/>
      <c r="QPL11" s="64"/>
      <c r="QPM11" s="64"/>
      <c r="QPN11" s="64"/>
      <c r="QPO11" s="64"/>
      <c r="QPP11" s="64"/>
      <c r="QPQ11" s="64"/>
      <c r="QPR11" s="64"/>
      <c r="QPS11" s="64"/>
      <c r="QPT11" s="64"/>
      <c r="QPU11" s="64"/>
      <c r="QPV11" s="64"/>
      <c r="QPW11" s="64"/>
      <c r="QPX11" s="64"/>
      <c r="QPY11" s="64"/>
      <c r="QPZ11" s="64"/>
      <c r="QQA11" s="64"/>
      <c r="QQB11" s="64"/>
      <c r="QQC11" s="64"/>
      <c r="QQD11" s="64"/>
      <c r="QQE11" s="64"/>
      <c r="QQF11" s="64"/>
      <c r="QQG11" s="64"/>
      <c r="QQH11" s="64"/>
      <c r="QQI11" s="64"/>
      <c r="QQJ11" s="64"/>
      <c r="QQK11" s="64"/>
      <c r="QQL11" s="64"/>
      <c r="QQM11" s="64"/>
      <c r="QQN11" s="64"/>
      <c r="QQO11" s="64"/>
      <c r="QQP11" s="64"/>
      <c r="QQQ11" s="64"/>
      <c r="QQR11" s="64"/>
      <c r="QQS11" s="64"/>
      <c r="QQT11" s="64"/>
      <c r="QQU11" s="64"/>
      <c r="QQV11" s="64"/>
      <c r="QQW11" s="64"/>
      <c r="QQX11" s="64"/>
      <c r="QQY11" s="64"/>
      <c r="QQZ11" s="64"/>
      <c r="QRA11" s="64"/>
      <c r="QRB11" s="64"/>
      <c r="QRC11" s="64"/>
      <c r="QRD11" s="64"/>
      <c r="QRE11" s="64"/>
      <c r="QRF11" s="64"/>
      <c r="QRG11" s="64"/>
      <c r="QRH11" s="64"/>
      <c r="QRI11" s="64"/>
      <c r="QRJ11" s="64"/>
      <c r="QRK11" s="64"/>
      <c r="QRL11" s="64"/>
      <c r="QRM11" s="64"/>
      <c r="QRN11" s="64"/>
      <c r="QRO11" s="64"/>
      <c r="QRP11" s="64"/>
      <c r="QRQ11" s="64"/>
      <c r="QRR11" s="64"/>
      <c r="QRS11" s="64"/>
      <c r="QRT11" s="64"/>
      <c r="QRU11" s="64"/>
      <c r="QRV11" s="64"/>
      <c r="QRW11" s="64"/>
      <c r="QRX11" s="64"/>
      <c r="QRY11" s="64"/>
      <c r="QRZ11" s="64"/>
      <c r="QSA11" s="64"/>
      <c r="QSB11" s="64"/>
      <c r="QSC11" s="64"/>
      <c r="QSD11" s="64"/>
      <c r="QSE11" s="64"/>
      <c r="QSF11" s="64"/>
      <c r="QSG11" s="64"/>
      <c r="QSH11" s="64"/>
      <c r="QSI11" s="64"/>
      <c r="QSJ11" s="64"/>
      <c r="QSK11" s="64"/>
      <c r="QSL11" s="64"/>
      <c r="QSM11" s="64"/>
      <c r="QSN11" s="64"/>
      <c r="QSO11" s="64"/>
      <c r="QSP11" s="64"/>
      <c r="QSQ11" s="64"/>
      <c r="QSR11" s="64"/>
      <c r="QSS11" s="64"/>
      <c r="QST11" s="64"/>
      <c r="QSU11" s="64"/>
      <c r="QSV11" s="64"/>
      <c r="QSW11" s="64"/>
      <c r="QSX11" s="64"/>
      <c r="QSY11" s="64"/>
      <c r="QSZ11" s="64"/>
      <c r="QTA11" s="64"/>
      <c r="QTB11" s="64"/>
      <c r="QTC11" s="64"/>
      <c r="QTD11" s="64"/>
      <c r="QTE11" s="64"/>
      <c r="QTF11" s="64"/>
      <c r="QTG11" s="64"/>
      <c r="QTH11" s="64"/>
      <c r="QTI11" s="64"/>
      <c r="QTJ11" s="64"/>
      <c r="QTK11" s="64"/>
      <c r="QTL11" s="64"/>
      <c r="QTM11" s="64"/>
      <c r="QTN11" s="64"/>
      <c r="QTO11" s="64"/>
      <c r="QTP11" s="64"/>
      <c r="QTQ11" s="64"/>
      <c r="QTR11" s="64"/>
      <c r="QTS11" s="64"/>
      <c r="QTT11" s="64"/>
      <c r="QTU11" s="64"/>
      <c r="QTV11" s="64"/>
      <c r="QTW11" s="64"/>
      <c r="QTX11" s="64"/>
      <c r="QTY11" s="64"/>
      <c r="QTZ11" s="64"/>
      <c r="QUA11" s="64"/>
      <c r="QUB11" s="64"/>
      <c r="QUC11" s="64"/>
      <c r="QUD11" s="64"/>
      <c r="QUE11" s="64"/>
      <c r="QUF11" s="64"/>
      <c r="QUG11" s="64"/>
      <c r="QUH11" s="64"/>
      <c r="QUI11" s="64"/>
      <c r="QUJ11" s="64"/>
      <c r="QUK11" s="64"/>
      <c r="QUL11" s="64"/>
      <c r="QUM11" s="64"/>
      <c r="QUN11" s="64"/>
      <c r="QUO11" s="64"/>
      <c r="QUP11" s="64"/>
      <c r="QUQ11" s="64"/>
      <c r="QUR11" s="64"/>
      <c r="QUS11" s="64"/>
      <c r="QUT11" s="64"/>
      <c r="QUU11" s="64"/>
      <c r="QUV11" s="64"/>
      <c r="QUW11" s="64"/>
      <c r="QUX11" s="64"/>
      <c r="QUY11" s="64"/>
      <c r="QUZ11" s="64"/>
      <c r="QVA11" s="64"/>
      <c r="QVB11" s="64"/>
      <c r="QVC11" s="64"/>
      <c r="QVD11" s="64"/>
      <c r="QVE11" s="64"/>
      <c r="QVF11" s="64"/>
      <c r="QVG11" s="64"/>
      <c r="QVH11" s="64"/>
      <c r="QVI11" s="64"/>
      <c r="QVJ11" s="64"/>
      <c r="QVK11" s="64"/>
      <c r="QVL11" s="64"/>
      <c r="QVM11" s="64"/>
      <c r="QVN11" s="64"/>
      <c r="QVO11" s="64"/>
      <c r="QVP11" s="64"/>
      <c r="QVQ11" s="64"/>
      <c r="QVR11" s="64"/>
      <c r="QVS11" s="64"/>
      <c r="QVT11" s="64"/>
      <c r="QVU11" s="64"/>
      <c r="QVV11" s="64"/>
      <c r="QVW11" s="64"/>
      <c r="QVX11" s="64"/>
      <c r="QVY11" s="64"/>
      <c r="QVZ11" s="64"/>
      <c r="QWA11" s="64"/>
      <c r="QWB11" s="64"/>
      <c r="QWC11" s="64"/>
      <c r="QWD11" s="64"/>
      <c r="QWE11" s="64"/>
      <c r="QWF11" s="64"/>
      <c r="QWG11" s="64"/>
      <c r="QWH11" s="64"/>
      <c r="QWI11" s="64"/>
      <c r="QWJ11" s="64"/>
      <c r="QWK11" s="64"/>
      <c r="QWL11" s="64"/>
      <c r="QWM11" s="64"/>
      <c r="QWN11" s="64"/>
      <c r="QWO11" s="64"/>
      <c r="QWP11" s="64"/>
      <c r="QWQ11" s="64"/>
      <c r="QWR11" s="64"/>
      <c r="QWS11" s="64"/>
      <c r="QWT11" s="64"/>
      <c r="QWU11" s="64"/>
      <c r="QWV11" s="64"/>
      <c r="QWW11" s="64"/>
      <c r="QWX11" s="64"/>
      <c r="QWY11" s="64"/>
      <c r="QWZ11" s="64"/>
      <c r="QXA11" s="64"/>
      <c r="QXB11" s="64"/>
      <c r="QXC11" s="64"/>
      <c r="QXD11" s="64"/>
      <c r="QXE11" s="64"/>
      <c r="QXF11" s="64"/>
      <c r="QXG11" s="64"/>
      <c r="QXH11" s="64"/>
      <c r="QXI11" s="64"/>
      <c r="QXJ11" s="64"/>
      <c r="QXK11" s="64"/>
      <c r="QXL11" s="64"/>
      <c r="QXM11" s="64"/>
      <c r="QXN11" s="64"/>
      <c r="QXO11" s="64"/>
      <c r="QXP11" s="64"/>
      <c r="QXQ11" s="64"/>
      <c r="QXR11" s="64"/>
      <c r="QXS11" s="64"/>
      <c r="QXT11" s="64"/>
      <c r="QXU11" s="64"/>
      <c r="QXV11" s="64"/>
      <c r="QXW11" s="64"/>
      <c r="QXX11" s="64"/>
      <c r="QXY11" s="64"/>
      <c r="QXZ11" s="64"/>
      <c r="QYA11" s="64"/>
      <c r="QYB11" s="64"/>
      <c r="QYC11" s="64"/>
      <c r="QYD11" s="64"/>
      <c r="QYE11" s="64"/>
      <c r="QYF11" s="64"/>
      <c r="QYG11" s="64"/>
      <c r="QYH11" s="64"/>
      <c r="QYI11" s="64"/>
      <c r="QYJ11" s="64"/>
      <c r="QYK11" s="64"/>
      <c r="QYL11" s="64"/>
      <c r="QYM11" s="64"/>
      <c r="QYN11" s="64"/>
      <c r="QYO11" s="64"/>
      <c r="QYP11" s="64"/>
      <c r="QYQ11" s="64"/>
      <c r="QYR11" s="64"/>
      <c r="QYS11" s="64"/>
      <c r="QYT11" s="64"/>
      <c r="QYU11" s="64"/>
      <c r="QYV11" s="64"/>
      <c r="QYW11" s="64"/>
      <c r="QYX11" s="64"/>
      <c r="QYY11" s="64"/>
      <c r="QYZ11" s="64"/>
      <c r="QZA11" s="64"/>
      <c r="QZB11" s="64"/>
      <c r="QZC11" s="64"/>
      <c r="QZD11" s="64"/>
      <c r="QZE11" s="64"/>
      <c r="QZF11" s="64"/>
      <c r="QZG11" s="64"/>
      <c r="QZH11" s="64"/>
      <c r="QZI11" s="64"/>
      <c r="QZJ11" s="64"/>
      <c r="QZK11" s="64"/>
      <c r="QZL11" s="64"/>
      <c r="QZM11" s="64"/>
      <c r="QZN11" s="64"/>
      <c r="QZO11" s="64"/>
      <c r="QZP11" s="64"/>
      <c r="QZQ11" s="64"/>
      <c r="QZR11" s="64"/>
      <c r="QZS11" s="64"/>
      <c r="QZT11" s="64"/>
      <c r="QZU11" s="64"/>
      <c r="QZV11" s="64"/>
      <c r="QZW11" s="64"/>
      <c r="QZX11" s="64"/>
      <c r="QZY11" s="64"/>
      <c r="QZZ11" s="64"/>
      <c r="RAA11" s="64"/>
      <c r="RAB11" s="64"/>
      <c r="RAC11" s="64"/>
      <c r="RAD11" s="64"/>
      <c r="RAE11" s="64"/>
      <c r="RAF11" s="64"/>
      <c r="RAG11" s="64"/>
      <c r="RAH11" s="64"/>
      <c r="RAI11" s="64"/>
      <c r="RAJ11" s="64"/>
      <c r="RAK11" s="64"/>
      <c r="RAL11" s="64"/>
      <c r="RAM11" s="64"/>
      <c r="RAN11" s="64"/>
      <c r="RAO11" s="64"/>
      <c r="RAP11" s="64"/>
      <c r="RAQ11" s="64"/>
      <c r="RAR11" s="64"/>
      <c r="RAS11" s="64"/>
      <c r="RAT11" s="64"/>
      <c r="RAU11" s="64"/>
      <c r="RAV11" s="64"/>
      <c r="RAW11" s="64"/>
      <c r="RAX11" s="64"/>
      <c r="RAY11" s="64"/>
      <c r="RAZ11" s="64"/>
      <c r="RBA11" s="64"/>
      <c r="RBB11" s="64"/>
      <c r="RBC11" s="64"/>
      <c r="RBD11" s="64"/>
      <c r="RBE11" s="64"/>
      <c r="RBF11" s="64"/>
      <c r="RBG11" s="64"/>
      <c r="RBH11" s="64"/>
      <c r="RBI11" s="64"/>
      <c r="RBJ11" s="64"/>
      <c r="RBK11" s="64"/>
      <c r="RBL11" s="64"/>
      <c r="RBM11" s="64"/>
      <c r="RBN11" s="64"/>
      <c r="RBO11" s="64"/>
      <c r="RBP11" s="64"/>
      <c r="RBQ11" s="64"/>
      <c r="RBR11" s="64"/>
      <c r="RBS11" s="64"/>
      <c r="RBT11" s="64"/>
      <c r="RBU11" s="64"/>
      <c r="RBV11" s="64"/>
      <c r="RBW11" s="64"/>
      <c r="RBX11" s="64"/>
      <c r="RBY11" s="64"/>
      <c r="RBZ11" s="64"/>
      <c r="RCA11" s="64"/>
      <c r="RCB11" s="64"/>
      <c r="RCC11" s="64"/>
      <c r="RCD11" s="64"/>
      <c r="RCE11" s="64"/>
      <c r="RCF11" s="64"/>
      <c r="RCG11" s="64"/>
      <c r="RCH11" s="64"/>
      <c r="RCI11" s="64"/>
      <c r="RCJ11" s="64"/>
      <c r="RCK11" s="64"/>
      <c r="RCL11" s="64"/>
      <c r="RCM11" s="64"/>
      <c r="RCN11" s="64"/>
      <c r="RCO11" s="64"/>
      <c r="RCP11" s="64"/>
      <c r="RCQ11" s="64"/>
      <c r="RCR11" s="64"/>
      <c r="RCS11" s="64"/>
      <c r="RCT11" s="64"/>
      <c r="RCU11" s="64"/>
      <c r="RCV11" s="64"/>
      <c r="RCW11" s="64"/>
      <c r="RCX11" s="64"/>
      <c r="RCY11" s="64"/>
      <c r="RCZ11" s="64"/>
      <c r="RDA11" s="64"/>
      <c r="RDB11" s="64"/>
      <c r="RDC11" s="64"/>
      <c r="RDD11" s="64"/>
      <c r="RDE11" s="64"/>
      <c r="RDF11" s="64"/>
      <c r="RDG11" s="64"/>
      <c r="RDH11" s="64"/>
      <c r="RDI11" s="64"/>
      <c r="RDJ11" s="64"/>
      <c r="RDK11" s="64"/>
      <c r="RDL11" s="64"/>
      <c r="RDM11" s="64"/>
      <c r="RDN11" s="64"/>
      <c r="RDO11" s="64"/>
      <c r="RDP11" s="64"/>
      <c r="RDQ11" s="64"/>
      <c r="RDR11" s="64"/>
      <c r="RDS11" s="64"/>
      <c r="RDT11" s="64"/>
      <c r="RDU11" s="64"/>
      <c r="RDV11" s="64"/>
      <c r="RDW11" s="64"/>
      <c r="RDX11" s="64"/>
      <c r="RDY11" s="64"/>
      <c r="RDZ11" s="64"/>
      <c r="REA11" s="64"/>
      <c r="REB11" s="64"/>
      <c r="REC11" s="64"/>
      <c r="RED11" s="64"/>
      <c r="REE11" s="64"/>
      <c r="REF11" s="64"/>
      <c r="REG11" s="64"/>
      <c r="REH11" s="64"/>
      <c r="REI11" s="64"/>
      <c r="REJ11" s="64"/>
      <c r="REK11" s="64"/>
      <c r="REL11" s="64"/>
      <c r="REM11" s="64"/>
      <c r="REN11" s="64"/>
      <c r="REO11" s="64"/>
      <c r="REP11" s="64"/>
      <c r="REQ11" s="64"/>
      <c r="RER11" s="64"/>
      <c r="RES11" s="64"/>
      <c r="RET11" s="64"/>
      <c r="REU11" s="64"/>
      <c r="REV11" s="64"/>
      <c r="REW11" s="64"/>
      <c r="REX11" s="64"/>
      <c r="REY11" s="64"/>
      <c r="REZ11" s="64"/>
      <c r="RFA11" s="64"/>
      <c r="RFB11" s="64"/>
      <c r="RFC11" s="64"/>
      <c r="RFD11" s="64"/>
      <c r="RFE11" s="64"/>
      <c r="RFF11" s="64"/>
      <c r="RFG11" s="64"/>
      <c r="RFH11" s="64"/>
      <c r="RFI11" s="64"/>
      <c r="RFJ11" s="64"/>
      <c r="RFK11" s="64"/>
      <c r="RFL11" s="64"/>
      <c r="RFM11" s="64"/>
      <c r="RFN11" s="64"/>
      <c r="RFO11" s="64"/>
      <c r="RFP11" s="64"/>
      <c r="RFQ11" s="64"/>
      <c r="RFR11" s="64"/>
      <c r="RFS11" s="64"/>
      <c r="RFT11" s="64"/>
      <c r="RFU11" s="64"/>
      <c r="RFV11" s="64"/>
      <c r="RFW11" s="64"/>
      <c r="RFX11" s="64"/>
      <c r="RFY11" s="64"/>
      <c r="RFZ11" s="64"/>
      <c r="RGA11" s="64"/>
      <c r="RGB11" s="64"/>
      <c r="RGC11" s="64"/>
      <c r="RGD11" s="64"/>
      <c r="RGE11" s="64"/>
      <c r="RGF11" s="64"/>
      <c r="RGG11" s="64"/>
      <c r="RGH11" s="64"/>
      <c r="RGI11" s="64"/>
      <c r="RGJ11" s="64"/>
      <c r="RGK11" s="64"/>
      <c r="RGL11" s="64"/>
      <c r="RGM11" s="64"/>
      <c r="RGN11" s="64"/>
      <c r="RGO11" s="64"/>
      <c r="RGP11" s="64"/>
      <c r="RGQ11" s="64"/>
      <c r="RGR11" s="64"/>
      <c r="RGS11" s="64"/>
      <c r="RGT11" s="64"/>
      <c r="RGU11" s="64"/>
      <c r="RGV11" s="64"/>
      <c r="RGW11" s="64"/>
      <c r="RGX11" s="64"/>
      <c r="RGY11" s="64"/>
      <c r="RGZ11" s="64"/>
      <c r="RHA11" s="64"/>
      <c r="RHB11" s="64"/>
      <c r="RHC11" s="64"/>
      <c r="RHD11" s="64"/>
      <c r="RHE11" s="64"/>
      <c r="RHF11" s="64"/>
      <c r="RHG11" s="64"/>
      <c r="RHH11" s="64"/>
      <c r="RHI11" s="64"/>
      <c r="RHJ11" s="64"/>
      <c r="RHK11" s="64"/>
      <c r="RHL11" s="64"/>
      <c r="RHM11" s="64"/>
      <c r="RHN11" s="64"/>
      <c r="RHO11" s="64"/>
      <c r="RHP11" s="64"/>
      <c r="RHQ11" s="64"/>
      <c r="RHR11" s="64"/>
      <c r="RHS11" s="64"/>
      <c r="RHT11" s="64"/>
      <c r="RHU11" s="64"/>
      <c r="RHV11" s="64"/>
      <c r="RHW11" s="64"/>
      <c r="RHX11" s="64"/>
      <c r="RHY11" s="64"/>
      <c r="RHZ11" s="64"/>
      <c r="RIA11" s="64"/>
      <c r="RIB11" s="64"/>
      <c r="RIC11" s="64"/>
      <c r="RID11" s="64"/>
      <c r="RIE11" s="64"/>
      <c r="RIF11" s="64"/>
      <c r="RIG11" s="64"/>
      <c r="RIH11" s="64"/>
      <c r="RII11" s="64"/>
      <c r="RIJ11" s="64"/>
      <c r="RIK11" s="64"/>
      <c r="RIL11" s="64"/>
      <c r="RIM11" s="64"/>
      <c r="RIN11" s="64"/>
      <c r="RIO11" s="64"/>
      <c r="RIP11" s="64"/>
      <c r="RIQ11" s="64"/>
      <c r="RIR11" s="64"/>
      <c r="RIS11" s="64"/>
      <c r="RIT11" s="64"/>
      <c r="RIU11" s="64"/>
      <c r="RIV11" s="64"/>
      <c r="RIW11" s="64"/>
      <c r="RIX11" s="64"/>
      <c r="RIY11" s="64"/>
      <c r="RIZ11" s="64"/>
      <c r="RJA11" s="64"/>
      <c r="RJB11" s="64"/>
      <c r="RJC11" s="64"/>
      <c r="RJD11" s="64"/>
      <c r="RJE11" s="64"/>
      <c r="RJF11" s="64"/>
      <c r="RJG11" s="64"/>
      <c r="RJH11" s="64"/>
      <c r="RJI11" s="64"/>
      <c r="RJJ11" s="64"/>
      <c r="RJK11" s="64"/>
      <c r="RJL11" s="64"/>
      <c r="RJM11" s="64"/>
      <c r="RJN11" s="64"/>
      <c r="RJO11" s="64"/>
      <c r="RJP11" s="64"/>
      <c r="RJQ11" s="64"/>
      <c r="RJR11" s="64"/>
      <c r="RJS11" s="64"/>
      <c r="RJT11" s="64"/>
      <c r="RJU11" s="64"/>
      <c r="RJV11" s="64"/>
      <c r="RJW11" s="64"/>
      <c r="RJX11" s="64"/>
      <c r="RJY11" s="64"/>
      <c r="RJZ11" s="64"/>
      <c r="RKA11" s="64"/>
      <c r="RKB11" s="64"/>
      <c r="RKC11" s="64"/>
      <c r="RKD11" s="64"/>
      <c r="RKE11" s="64"/>
      <c r="RKF11" s="64"/>
      <c r="RKG11" s="64"/>
      <c r="RKH11" s="64"/>
      <c r="RKI11" s="64"/>
      <c r="RKJ11" s="64"/>
      <c r="RKK11" s="64"/>
      <c r="RKL11" s="64"/>
      <c r="RKM11" s="64"/>
      <c r="RKN11" s="64"/>
      <c r="RKO11" s="64"/>
      <c r="RKP11" s="64"/>
      <c r="RKQ11" s="64"/>
      <c r="RKR11" s="64"/>
      <c r="RKS11" s="64"/>
      <c r="RKT11" s="64"/>
      <c r="RKU11" s="64"/>
      <c r="RKV11" s="64"/>
      <c r="RKW11" s="64"/>
      <c r="RKX11" s="64"/>
      <c r="RKY11" s="64"/>
      <c r="RKZ11" s="64"/>
      <c r="RLA11" s="64"/>
      <c r="RLB11" s="64"/>
      <c r="RLC11" s="64"/>
      <c r="RLD11" s="64"/>
      <c r="RLE11" s="64"/>
      <c r="RLF11" s="64"/>
      <c r="RLG11" s="64"/>
      <c r="RLH11" s="64"/>
      <c r="RLI11" s="64"/>
      <c r="RLJ11" s="64"/>
      <c r="RLK11" s="64"/>
      <c r="RLL11" s="64"/>
      <c r="RLM11" s="64"/>
      <c r="RLN11" s="64"/>
      <c r="RLO11" s="64"/>
      <c r="RLP11" s="64"/>
      <c r="RLQ11" s="64"/>
      <c r="RLR11" s="64"/>
      <c r="RLS11" s="64"/>
      <c r="RLT11" s="64"/>
      <c r="RLU11" s="64"/>
      <c r="RLV11" s="64"/>
      <c r="RLW11" s="64"/>
      <c r="RLX11" s="64"/>
      <c r="RLY11" s="64"/>
      <c r="RLZ11" s="64"/>
      <c r="RMA11" s="64"/>
      <c r="RMB11" s="64"/>
      <c r="RMC11" s="64"/>
      <c r="RMD11" s="64"/>
      <c r="RME11" s="64"/>
      <c r="RMF11" s="64"/>
      <c r="RMG11" s="64"/>
      <c r="RMH11" s="64"/>
      <c r="RMI11" s="64"/>
      <c r="RMJ11" s="64"/>
      <c r="RMK11" s="64"/>
      <c r="RML11" s="64"/>
      <c r="RMM11" s="64"/>
      <c r="RMN11" s="64"/>
      <c r="RMO11" s="64"/>
      <c r="RMP11" s="64"/>
      <c r="RMQ11" s="64"/>
      <c r="RMR11" s="64"/>
      <c r="RMS11" s="64"/>
      <c r="RMT11" s="64"/>
      <c r="RMU11" s="64"/>
      <c r="RMV11" s="64"/>
      <c r="RMW11" s="64"/>
      <c r="RMX11" s="64"/>
      <c r="RMY11" s="64"/>
      <c r="RMZ11" s="64"/>
      <c r="RNA11" s="64"/>
      <c r="RNB11" s="64"/>
      <c r="RNC11" s="64"/>
      <c r="RND11" s="64"/>
      <c r="RNE11" s="64"/>
      <c r="RNF11" s="64"/>
      <c r="RNG11" s="64"/>
      <c r="RNH11" s="64"/>
      <c r="RNI11" s="64"/>
      <c r="RNJ11" s="64"/>
      <c r="RNK11" s="64"/>
      <c r="RNL11" s="64"/>
      <c r="RNM11" s="64"/>
      <c r="RNN11" s="64"/>
      <c r="RNO11" s="64"/>
      <c r="RNP11" s="64"/>
      <c r="RNQ11" s="64"/>
      <c r="RNR11" s="64"/>
      <c r="RNS11" s="64"/>
      <c r="RNT11" s="64"/>
      <c r="RNU11" s="64"/>
      <c r="RNV11" s="64"/>
      <c r="RNW11" s="64"/>
      <c r="RNX11" s="64"/>
      <c r="RNY11" s="64"/>
      <c r="RNZ11" s="64"/>
      <c r="ROA11" s="64"/>
      <c r="ROB11" s="64"/>
      <c r="ROC11" s="64"/>
      <c r="ROD11" s="64"/>
      <c r="ROE11" s="64"/>
      <c r="ROF11" s="64"/>
      <c r="ROG11" s="64"/>
      <c r="ROH11" s="64"/>
      <c r="ROI11" s="64"/>
      <c r="ROJ11" s="64"/>
      <c r="ROK11" s="64"/>
      <c r="ROL11" s="64"/>
      <c r="ROM11" s="64"/>
      <c r="RON11" s="64"/>
      <c r="ROO11" s="64"/>
      <c r="ROP11" s="64"/>
      <c r="ROQ11" s="64"/>
      <c r="ROR11" s="64"/>
      <c r="ROS11" s="64"/>
      <c r="ROT11" s="64"/>
      <c r="ROU11" s="64"/>
      <c r="ROV11" s="64"/>
      <c r="ROW11" s="64"/>
      <c r="ROX11" s="64"/>
      <c r="ROY11" s="64"/>
      <c r="ROZ11" s="64"/>
      <c r="RPA11" s="64"/>
      <c r="RPB11" s="64"/>
      <c r="RPC11" s="64"/>
      <c r="RPD11" s="64"/>
      <c r="RPE11" s="64"/>
      <c r="RPF11" s="64"/>
      <c r="RPG11" s="64"/>
      <c r="RPH11" s="64"/>
      <c r="RPI11" s="64"/>
      <c r="RPJ11" s="64"/>
      <c r="RPK11" s="64"/>
      <c r="RPL11" s="64"/>
      <c r="RPM11" s="64"/>
      <c r="RPN11" s="64"/>
      <c r="RPO11" s="64"/>
      <c r="RPP11" s="64"/>
      <c r="RPQ11" s="64"/>
      <c r="RPR11" s="64"/>
      <c r="RPS11" s="64"/>
      <c r="RPT11" s="64"/>
      <c r="RPU11" s="64"/>
      <c r="RPV11" s="64"/>
      <c r="RPW11" s="64"/>
      <c r="RPX11" s="64"/>
      <c r="RPY11" s="64"/>
      <c r="RPZ11" s="64"/>
      <c r="RQA11" s="64"/>
      <c r="RQB11" s="64"/>
      <c r="RQC11" s="64"/>
      <c r="RQD11" s="64"/>
      <c r="RQE11" s="64"/>
      <c r="RQF11" s="64"/>
      <c r="RQG11" s="64"/>
      <c r="RQH11" s="64"/>
      <c r="RQI11" s="64"/>
      <c r="RQJ11" s="64"/>
      <c r="RQK11" s="64"/>
      <c r="RQL11" s="64"/>
      <c r="RQM11" s="64"/>
      <c r="RQN11" s="64"/>
      <c r="RQO11" s="64"/>
      <c r="RQP11" s="64"/>
      <c r="RQQ11" s="64"/>
      <c r="RQR11" s="64"/>
      <c r="RQS11" s="64"/>
      <c r="RQT11" s="64"/>
      <c r="RQU11" s="64"/>
      <c r="RQV11" s="64"/>
      <c r="RQW11" s="64"/>
      <c r="RQX11" s="64"/>
      <c r="RQY11" s="64"/>
      <c r="RQZ11" s="64"/>
      <c r="RRA11" s="64"/>
      <c r="RRB11" s="64"/>
      <c r="RRC11" s="64"/>
      <c r="RRD11" s="64"/>
      <c r="RRE11" s="64"/>
      <c r="RRF11" s="64"/>
      <c r="RRG11" s="64"/>
      <c r="RRH11" s="64"/>
      <c r="RRI11" s="64"/>
      <c r="RRJ11" s="64"/>
      <c r="RRK11" s="64"/>
      <c r="RRL11" s="64"/>
      <c r="RRM11" s="64"/>
      <c r="RRN11" s="64"/>
      <c r="RRO11" s="64"/>
      <c r="RRP11" s="64"/>
      <c r="RRQ11" s="64"/>
      <c r="RRR11" s="64"/>
      <c r="RRS11" s="64"/>
      <c r="RRT11" s="64"/>
      <c r="RRU11" s="64"/>
      <c r="RRV11" s="64"/>
      <c r="RRW11" s="64"/>
      <c r="RRX11" s="64"/>
      <c r="RRY11" s="64"/>
      <c r="RRZ11" s="64"/>
      <c r="RSA11" s="64"/>
      <c r="RSB11" s="64"/>
      <c r="RSC11" s="64"/>
      <c r="RSD11" s="64"/>
      <c r="RSE11" s="64"/>
      <c r="RSF11" s="64"/>
      <c r="RSG11" s="64"/>
      <c r="RSH11" s="64"/>
      <c r="RSI11" s="64"/>
      <c r="RSJ11" s="64"/>
      <c r="RSK11" s="64"/>
      <c r="RSL11" s="64"/>
      <c r="RSM11" s="64"/>
      <c r="RSN11" s="64"/>
      <c r="RSO11" s="64"/>
      <c r="RSP11" s="64"/>
      <c r="RSQ11" s="64"/>
      <c r="RSR11" s="64"/>
      <c r="RSS11" s="64"/>
      <c r="RST11" s="64"/>
      <c r="RSU11" s="64"/>
      <c r="RSV11" s="64"/>
      <c r="RSW11" s="64"/>
      <c r="RSX11" s="64"/>
      <c r="RSY11" s="64"/>
      <c r="RSZ11" s="64"/>
      <c r="RTA11" s="64"/>
      <c r="RTB11" s="64"/>
      <c r="RTC11" s="64"/>
      <c r="RTD11" s="64"/>
      <c r="RTE11" s="64"/>
      <c r="RTF11" s="64"/>
      <c r="RTG11" s="64"/>
      <c r="RTH11" s="64"/>
      <c r="RTI11" s="64"/>
      <c r="RTJ11" s="64"/>
      <c r="RTK11" s="64"/>
      <c r="RTL11" s="64"/>
      <c r="RTM11" s="64"/>
      <c r="RTN11" s="64"/>
      <c r="RTO11" s="64"/>
      <c r="RTP11" s="64"/>
      <c r="RTQ11" s="64"/>
      <c r="RTR11" s="64"/>
      <c r="RTS11" s="64"/>
      <c r="RTT11" s="64"/>
      <c r="RTU11" s="64"/>
      <c r="RTV11" s="64"/>
      <c r="RTW11" s="64"/>
      <c r="RTX11" s="64"/>
      <c r="RTY11" s="64"/>
      <c r="RTZ11" s="64"/>
      <c r="RUA11" s="64"/>
      <c r="RUB11" s="64"/>
      <c r="RUC11" s="64"/>
      <c r="RUD11" s="64"/>
      <c r="RUE11" s="64"/>
      <c r="RUF11" s="64"/>
      <c r="RUG11" s="64"/>
      <c r="RUH11" s="64"/>
      <c r="RUI11" s="64"/>
      <c r="RUJ11" s="64"/>
      <c r="RUK11" s="64"/>
      <c r="RUL11" s="64"/>
      <c r="RUM11" s="64"/>
      <c r="RUN11" s="64"/>
      <c r="RUO11" s="64"/>
      <c r="RUP11" s="64"/>
      <c r="RUQ11" s="64"/>
      <c r="RUR11" s="64"/>
      <c r="RUS11" s="64"/>
      <c r="RUT11" s="64"/>
      <c r="RUU11" s="64"/>
      <c r="RUV11" s="64"/>
      <c r="RUW11" s="64"/>
      <c r="RUX11" s="64"/>
      <c r="RUY11" s="64"/>
      <c r="RUZ11" s="64"/>
      <c r="RVA11" s="64"/>
      <c r="RVB11" s="64"/>
      <c r="RVC11" s="64"/>
      <c r="RVD11" s="64"/>
      <c r="RVE11" s="64"/>
      <c r="RVF11" s="64"/>
      <c r="RVG11" s="64"/>
      <c r="RVH11" s="64"/>
      <c r="RVI11" s="64"/>
      <c r="RVJ11" s="64"/>
      <c r="RVK11" s="64"/>
      <c r="RVL11" s="64"/>
      <c r="RVM11" s="64"/>
      <c r="RVN11" s="64"/>
      <c r="RVO11" s="64"/>
      <c r="RVP11" s="64"/>
      <c r="RVQ11" s="64"/>
      <c r="RVR11" s="64"/>
      <c r="RVS11" s="64"/>
      <c r="RVT11" s="64"/>
      <c r="RVU11" s="64"/>
      <c r="RVV11" s="64"/>
      <c r="RVW11" s="64"/>
      <c r="RVX11" s="64"/>
      <c r="RVY11" s="64"/>
      <c r="RVZ11" s="64"/>
      <c r="RWA11" s="64"/>
      <c r="RWB11" s="64"/>
      <c r="RWC11" s="64"/>
      <c r="RWD11" s="64"/>
      <c r="RWE11" s="64"/>
      <c r="RWF11" s="64"/>
      <c r="RWG11" s="64"/>
      <c r="RWH11" s="64"/>
      <c r="RWI11" s="64"/>
      <c r="RWJ11" s="64"/>
      <c r="RWK11" s="64"/>
      <c r="RWL11" s="64"/>
      <c r="RWM11" s="64"/>
      <c r="RWN11" s="64"/>
      <c r="RWO11" s="64"/>
      <c r="RWP11" s="64"/>
      <c r="RWQ11" s="64"/>
      <c r="RWR11" s="64"/>
      <c r="RWS11" s="64"/>
      <c r="RWT11" s="64"/>
      <c r="RWU11" s="64"/>
      <c r="RWV11" s="64"/>
      <c r="RWW11" s="64"/>
      <c r="RWX11" s="64"/>
      <c r="RWY11" s="64"/>
      <c r="RWZ11" s="64"/>
      <c r="RXA11" s="64"/>
      <c r="RXB11" s="64"/>
      <c r="RXC11" s="64"/>
      <c r="RXD11" s="64"/>
      <c r="RXE11" s="64"/>
      <c r="RXF11" s="64"/>
      <c r="RXG11" s="64"/>
      <c r="RXH11" s="64"/>
      <c r="RXI11" s="64"/>
      <c r="RXJ11" s="64"/>
      <c r="RXK11" s="64"/>
      <c r="RXL11" s="64"/>
      <c r="RXM11" s="64"/>
      <c r="RXN11" s="64"/>
      <c r="RXO11" s="64"/>
      <c r="RXP11" s="64"/>
      <c r="RXQ11" s="64"/>
      <c r="RXR11" s="64"/>
      <c r="RXS11" s="64"/>
      <c r="RXT11" s="64"/>
      <c r="RXU11" s="64"/>
      <c r="RXV11" s="64"/>
      <c r="RXW11" s="64"/>
      <c r="RXX11" s="64"/>
      <c r="RXY11" s="64"/>
      <c r="RXZ11" s="64"/>
      <c r="RYA11" s="64"/>
      <c r="RYB11" s="64"/>
      <c r="RYC11" s="64"/>
      <c r="RYD11" s="64"/>
      <c r="RYE11" s="64"/>
      <c r="RYF11" s="64"/>
      <c r="RYG11" s="64"/>
      <c r="RYH11" s="64"/>
      <c r="RYI11" s="64"/>
      <c r="RYJ11" s="64"/>
      <c r="RYK11" s="64"/>
      <c r="RYL11" s="64"/>
      <c r="RYM11" s="64"/>
      <c r="RYN11" s="64"/>
      <c r="RYO11" s="64"/>
      <c r="RYP11" s="64"/>
      <c r="RYQ11" s="64"/>
      <c r="RYR11" s="64"/>
      <c r="RYS11" s="64"/>
      <c r="RYT11" s="64"/>
      <c r="RYU11" s="64"/>
      <c r="RYV11" s="64"/>
      <c r="RYW11" s="64"/>
      <c r="RYX11" s="64"/>
      <c r="RYY11" s="64"/>
      <c r="RYZ11" s="64"/>
      <c r="RZA11" s="64"/>
      <c r="RZB11" s="64"/>
      <c r="RZC11" s="64"/>
      <c r="RZD11" s="64"/>
      <c r="RZE11" s="64"/>
      <c r="RZF11" s="64"/>
      <c r="RZG11" s="64"/>
      <c r="RZH11" s="64"/>
      <c r="RZI11" s="64"/>
      <c r="RZJ11" s="64"/>
      <c r="RZK11" s="64"/>
      <c r="RZL11" s="64"/>
      <c r="RZM11" s="64"/>
      <c r="RZN11" s="64"/>
      <c r="RZO11" s="64"/>
      <c r="RZP11" s="64"/>
      <c r="RZQ11" s="64"/>
      <c r="RZR11" s="64"/>
      <c r="RZS11" s="64"/>
      <c r="RZT11" s="64"/>
      <c r="RZU11" s="64"/>
      <c r="RZV11" s="64"/>
      <c r="RZW11" s="64"/>
      <c r="RZX11" s="64"/>
      <c r="RZY11" s="64"/>
      <c r="RZZ11" s="64"/>
      <c r="SAA11" s="64"/>
      <c r="SAB11" s="64"/>
      <c r="SAC11" s="64"/>
      <c r="SAD11" s="64"/>
      <c r="SAE11" s="64"/>
      <c r="SAF11" s="64"/>
      <c r="SAG11" s="64"/>
      <c r="SAH11" s="64"/>
      <c r="SAI11" s="64"/>
      <c r="SAJ11" s="64"/>
      <c r="SAK11" s="64"/>
      <c r="SAL11" s="64"/>
      <c r="SAM11" s="64"/>
      <c r="SAN11" s="64"/>
      <c r="SAO11" s="64"/>
      <c r="SAP11" s="64"/>
      <c r="SAQ11" s="64"/>
      <c r="SAR11" s="64"/>
      <c r="SAS11" s="64"/>
      <c r="SAT11" s="64"/>
      <c r="SAU11" s="64"/>
      <c r="SAV11" s="64"/>
      <c r="SAW11" s="64"/>
      <c r="SAX11" s="64"/>
      <c r="SAY11" s="64"/>
      <c r="SAZ11" s="64"/>
      <c r="SBA11" s="64"/>
      <c r="SBB11" s="64"/>
      <c r="SBC11" s="64"/>
      <c r="SBD11" s="64"/>
      <c r="SBE11" s="64"/>
      <c r="SBF11" s="64"/>
      <c r="SBG11" s="64"/>
      <c r="SBH11" s="64"/>
      <c r="SBI11" s="64"/>
      <c r="SBJ11" s="64"/>
      <c r="SBK11" s="64"/>
      <c r="SBL11" s="64"/>
      <c r="SBM11" s="64"/>
      <c r="SBN11" s="64"/>
      <c r="SBO11" s="64"/>
      <c r="SBP11" s="64"/>
      <c r="SBQ11" s="64"/>
      <c r="SBR11" s="64"/>
      <c r="SBS11" s="64"/>
      <c r="SBT11" s="64"/>
      <c r="SBU11" s="64"/>
      <c r="SBV11" s="64"/>
      <c r="SBW11" s="64"/>
      <c r="SBX11" s="64"/>
      <c r="SBY11" s="64"/>
      <c r="SBZ11" s="64"/>
      <c r="SCA11" s="64"/>
      <c r="SCB11" s="64"/>
      <c r="SCC11" s="64"/>
      <c r="SCD11" s="64"/>
      <c r="SCE11" s="64"/>
      <c r="SCF11" s="64"/>
      <c r="SCG11" s="64"/>
      <c r="SCH11" s="64"/>
      <c r="SCI11" s="64"/>
      <c r="SCJ11" s="64"/>
      <c r="SCK11" s="64"/>
      <c r="SCL11" s="64"/>
      <c r="SCM11" s="64"/>
      <c r="SCN11" s="64"/>
      <c r="SCO11" s="64"/>
      <c r="SCP11" s="64"/>
      <c r="SCQ11" s="64"/>
      <c r="SCR11" s="64"/>
      <c r="SCS11" s="64"/>
      <c r="SCT11" s="64"/>
      <c r="SCU11" s="64"/>
      <c r="SCV11" s="64"/>
      <c r="SCW11" s="64"/>
      <c r="SCX11" s="64"/>
      <c r="SCY11" s="64"/>
      <c r="SCZ11" s="64"/>
      <c r="SDA11" s="64"/>
      <c r="SDB11" s="64"/>
      <c r="SDC11" s="64"/>
      <c r="SDD11" s="64"/>
      <c r="SDE11" s="64"/>
      <c r="SDF11" s="64"/>
      <c r="SDG11" s="64"/>
      <c r="SDH11" s="64"/>
      <c r="SDI11" s="64"/>
      <c r="SDJ11" s="64"/>
      <c r="SDK11" s="64"/>
      <c r="SDL11" s="64"/>
      <c r="SDM11" s="64"/>
      <c r="SDN11" s="64"/>
      <c r="SDO11" s="64"/>
      <c r="SDP11" s="64"/>
      <c r="SDQ11" s="64"/>
      <c r="SDR11" s="64"/>
      <c r="SDS11" s="64"/>
      <c r="SDT11" s="64"/>
      <c r="SDU11" s="64"/>
      <c r="SDV11" s="64"/>
      <c r="SDW11" s="64"/>
      <c r="SDX11" s="64"/>
      <c r="SDY11" s="64"/>
      <c r="SDZ11" s="64"/>
      <c r="SEA11" s="64"/>
      <c r="SEB11" s="64"/>
      <c r="SEC11" s="64"/>
      <c r="SED11" s="64"/>
      <c r="SEE11" s="64"/>
      <c r="SEF11" s="64"/>
      <c r="SEG11" s="64"/>
      <c r="SEH11" s="64"/>
      <c r="SEI11" s="64"/>
      <c r="SEJ11" s="64"/>
      <c r="SEK11" s="64"/>
      <c r="SEL11" s="64"/>
      <c r="SEM11" s="64"/>
      <c r="SEN11" s="64"/>
      <c r="SEO11" s="64"/>
      <c r="SEP11" s="64"/>
      <c r="SEQ11" s="64"/>
      <c r="SER11" s="64"/>
      <c r="SES11" s="64"/>
      <c r="SET11" s="64"/>
      <c r="SEU11" s="64"/>
      <c r="SEV11" s="64"/>
      <c r="SEW11" s="64"/>
      <c r="SEX11" s="64"/>
      <c r="SEY11" s="64"/>
      <c r="SEZ11" s="64"/>
      <c r="SFA11" s="64"/>
      <c r="SFB11" s="64"/>
      <c r="SFC11" s="64"/>
      <c r="SFD11" s="64"/>
      <c r="SFE11" s="64"/>
      <c r="SFF11" s="64"/>
      <c r="SFG11" s="64"/>
      <c r="SFH11" s="64"/>
      <c r="SFI11" s="64"/>
      <c r="SFJ11" s="64"/>
      <c r="SFK11" s="64"/>
      <c r="SFL11" s="64"/>
      <c r="SFM11" s="64"/>
      <c r="SFN11" s="64"/>
      <c r="SFO11" s="64"/>
      <c r="SFP11" s="64"/>
      <c r="SFQ11" s="64"/>
      <c r="SFR11" s="64"/>
      <c r="SFS11" s="64"/>
      <c r="SFT11" s="64"/>
      <c r="SFU11" s="64"/>
      <c r="SFV11" s="64"/>
      <c r="SFW11" s="64"/>
      <c r="SFX11" s="64"/>
      <c r="SFY11" s="64"/>
      <c r="SFZ11" s="64"/>
      <c r="SGA11" s="64"/>
      <c r="SGB11" s="64"/>
      <c r="SGC11" s="64"/>
      <c r="SGD11" s="64"/>
      <c r="SGE11" s="64"/>
      <c r="SGF11" s="64"/>
      <c r="SGG11" s="64"/>
      <c r="SGH11" s="64"/>
      <c r="SGI11" s="64"/>
      <c r="SGJ11" s="64"/>
      <c r="SGK11" s="64"/>
      <c r="SGL11" s="64"/>
      <c r="SGM11" s="64"/>
      <c r="SGN11" s="64"/>
      <c r="SGO11" s="64"/>
      <c r="SGP11" s="64"/>
      <c r="SGQ11" s="64"/>
      <c r="SGR11" s="64"/>
      <c r="SGS11" s="64"/>
      <c r="SGT11" s="64"/>
      <c r="SGU11" s="64"/>
      <c r="SGV11" s="64"/>
      <c r="SGW11" s="64"/>
      <c r="SGX11" s="64"/>
      <c r="SGY11" s="64"/>
      <c r="SGZ11" s="64"/>
      <c r="SHA11" s="64"/>
      <c r="SHB11" s="64"/>
      <c r="SHC11" s="64"/>
      <c r="SHD11" s="64"/>
      <c r="SHE11" s="64"/>
      <c r="SHF11" s="64"/>
      <c r="SHG11" s="64"/>
      <c r="SHH11" s="64"/>
      <c r="SHI11" s="64"/>
      <c r="SHJ11" s="64"/>
      <c r="SHK11" s="64"/>
      <c r="SHL11" s="64"/>
      <c r="SHM11" s="64"/>
      <c r="SHN11" s="64"/>
      <c r="SHO11" s="64"/>
      <c r="SHP11" s="64"/>
      <c r="SHQ11" s="64"/>
      <c r="SHR11" s="64"/>
      <c r="SHS11" s="64"/>
      <c r="SHT11" s="64"/>
      <c r="SHU11" s="64"/>
      <c r="SHV11" s="64"/>
      <c r="SHW11" s="64"/>
      <c r="SHX11" s="64"/>
      <c r="SHY11" s="64"/>
      <c r="SHZ11" s="64"/>
      <c r="SIA11" s="64"/>
      <c r="SIB11" s="64"/>
      <c r="SIC11" s="64"/>
      <c r="SID11" s="64"/>
      <c r="SIE11" s="64"/>
      <c r="SIF11" s="64"/>
      <c r="SIG11" s="64"/>
      <c r="SIH11" s="64"/>
      <c r="SII11" s="64"/>
      <c r="SIJ11" s="64"/>
      <c r="SIK11" s="64"/>
      <c r="SIL11" s="64"/>
      <c r="SIM11" s="64"/>
      <c r="SIN11" s="64"/>
      <c r="SIO11" s="64"/>
      <c r="SIP11" s="64"/>
      <c r="SIQ11" s="64"/>
      <c r="SIR11" s="64"/>
      <c r="SIS11" s="64"/>
      <c r="SIT11" s="64"/>
      <c r="SIU11" s="64"/>
      <c r="SIV11" s="64"/>
      <c r="SIW11" s="64"/>
      <c r="SIX11" s="64"/>
      <c r="SIY11" s="64"/>
      <c r="SIZ11" s="64"/>
      <c r="SJA11" s="64"/>
      <c r="SJB11" s="64"/>
      <c r="SJC11" s="64"/>
      <c r="SJD11" s="64"/>
      <c r="SJE11" s="64"/>
      <c r="SJF11" s="64"/>
      <c r="SJG11" s="64"/>
      <c r="SJH11" s="64"/>
      <c r="SJI11" s="64"/>
      <c r="SJJ11" s="64"/>
      <c r="SJK11" s="64"/>
      <c r="SJL11" s="64"/>
      <c r="SJM11" s="64"/>
      <c r="SJN11" s="64"/>
      <c r="SJO11" s="64"/>
      <c r="SJP11" s="64"/>
      <c r="SJQ11" s="64"/>
      <c r="SJR11" s="64"/>
      <c r="SJS11" s="64"/>
      <c r="SJT11" s="64"/>
      <c r="SJU11" s="64"/>
      <c r="SJV11" s="64"/>
      <c r="SJW11" s="64"/>
      <c r="SJX11" s="64"/>
      <c r="SJY11" s="64"/>
      <c r="SJZ11" s="64"/>
      <c r="SKA11" s="64"/>
      <c r="SKB11" s="64"/>
      <c r="SKC11" s="64"/>
      <c r="SKD11" s="64"/>
      <c r="SKE11" s="64"/>
      <c r="SKF11" s="64"/>
      <c r="SKG11" s="64"/>
      <c r="SKH11" s="64"/>
      <c r="SKI11" s="64"/>
      <c r="SKJ11" s="64"/>
      <c r="SKK11" s="64"/>
      <c r="SKL11" s="64"/>
      <c r="SKM11" s="64"/>
      <c r="SKN11" s="64"/>
      <c r="SKO11" s="64"/>
      <c r="SKP11" s="64"/>
      <c r="SKQ11" s="64"/>
      <c r="SKR11" s="64"/>
      <c r="SKS11" s="64"/>
      <c r="SKT11" s="64"/>
      <c r="SKU11" s="64"/>
      <c r="SKV11" s="64"/>
      <c r="SKW11" s="64"/>
      <c r="SKX11" s="64"/>
      <c r="SKY11" s="64"/>
      <c r="SKZ11" s="64"/>
      <c r="SLA11" s="64"/>
      <c r="SLB11" s="64"/>
      <c r="SLC11" s="64"/>
      <c r="SLD11" s="64"/>
      <c r="SLE11" s="64"/>
      <c r="SLF11" s="64"/>
      <c r="SLG11" s="64"/>
      <c r="SLH11" s="64"/>
      <c r="SLI11" s="64"/>
      <c r="SLJ11" s="64"/>
      <c r="SLK11" s="64"/>
      <c r="SLL11" s="64"/>
      <c r="SLM11" s="64"/>
      <c r="SLN11" s="64"/>
      <c r="SLO11" s="64"/>
      <c r="SLP11" s="64"/>
      <c r="SLQ11" s="64"/>
      <c r="SLR11" s="64"/>
      <c r="SLS11" s="64"/>
      <c r="SLT11" s="64"/>
      <c r="SLU11" s="64"/>
      <c r="SLV11" s="64"/>
      <c r="SLW11" s="64"/>
      <c r="SLX11" s="64"/>
      <c r="SLY11" s="64"/>
      <c r="SLZ11" s="64"/>
      <c r="SMA11" s="64"/>
      <c r="SMB11" s="64"/>
      <c r="SMC11" s="64"/>
      <c r="SMD11" s="64"/>
      <c r="SME11" s="64"/>
      <c r="SMF11" s="64"/>
      <c r="SMG11" s="64"/>
      <c r="SMH11" s="64"/>
      <c r="SMI11" s="64"/>
      <c r="SMJ11" s="64"/>
      <c r="SMK11" s="64"/>
      <c r="SML11" s="64"/>
      <c r="SMM11" s="64"/>
      <c r="SMN11" s="64"/>
      <c r="SMO11" s="64"/>
      <c r="SMP11" s="64"/>
      <c r="SMQ11" s="64"/>
      <c r="SMR11" s="64"/>
      <c r="SMS11" s="64"/>
      <c r="SMT11" s="64"/>
      <c r="SMU11" s="64"/>
      <c r="SMV11" s="64"/>
      <c r="SMW11" s="64"/>
      <c r="SMX11" s="64"/>
      <c r="SMY11" s="64"/>
      <c r="SMZ11" s="64"/>
      <c r="SNA11" s="64"/>
      <c r="SNB11" s="64"/>
      <c r="SNC11" s="64"/>
      <c r="SND11" s="64"/>
      <c r="SNE11" s="64"/>
      <c r="SNF11" s="64"/>
      <c r="SNG11" s="64"/>
      <c r="SNH11" s="64"/>
      <c r="SNI11" s="64"/>
      <c r="SNJ11" s="64"/>
      <c r="SNK11" s="64"/>
      <c r="SNL11" s="64"/>
      <c r="SNM11" s="64"/>
      <c r="SNN11" s="64"/>
      <c r="SNO11" s="64"/>
      <c r="SNP11" s="64"/>
      <c r="SNQ11" s="64"/>
      <c r="SNR11" s="64"/>
      <c r="SNS11" s="64"/>
      <c r="SNT11" s="64"/>
      <c r="SNU11" s="64"/>
      <c r="SNV11" s="64"/>
      <c r="SNW11" s="64"/>
      <c r="SNX11" s="64"/>
      <c r="SNY11" s="64"/>
      <c r="SNZ11" s="64"/>
      <c r="SOA11" s="64"/>
      <c r="SOB11" s="64"/>
      <c r="SOC11" s="64"/>
      <c r="SOD11" s="64"/>
      <c r="SOE11" s="64"/>
      <c r="SOF11" s="64"/>
      <c r="SOG11" s="64"/>
      <c r="SOH11" s="64"/>
      <c r="SOI11" s="64"/>
      <c r="SOJ11" s="64"/>
      <c r="SOK11" s="64"/>
      <c r="SOL11" s="64"/>
      <c r="SOM11" s="64"/>
      <c r="SON11" s="64"/>
      <c r="SOO11" s="64"/>
      <c r="SOP11" s="64"/>
      <c r="SOQ11" s="64"/>
      <c r="SOR11" s="64"/>
      <c r="SOS11" s="64"/>
      <c r="SOT11" s="64"/>
      <c r="SOU11" s="64"/>
      <c r="SOV11" s="64"/>
      <c r="SOW11" s="64"/>
      <c r="SOX11" s="64"/>
      <c r="SOY11" s="64"/>
      <c r="SOZ11" s="64"/>
      <c r="SPA11" s="64"/>
      <c r="SPB11" s="64"/>
      <c r="SPC11" s="64"/>
      <c r="SPD11" s="64"/>
      <c r="SPE11" s="64"/>
      <c r="SPF11" s="64"/>
      <c r="SPG11" s="64"/>
      <c r="SPH11" s="64"/>
      <c r="SPI11" s="64"/>
      <c r="SPJ11" s="64"/>
      <c r="SPK11" s="64"/>
      <c r="SPL11" s="64"/>
      <c r="SPM11" s="64"/>
      <c r="SPN11" s="64"/>
      <c r="SPO11" s="64"/>
      <c r="SPP11" s="64"/>
      <c r="SPQ11" s="64"/>
      <c r="SPR11" s="64"/>
      <c r="SPS11" s="64"/>
      <c r="SPT11" s="64"/>
      <c r="SPU11" s="64"/>
      <c r="SPV11" s="64"/>
      <c r="SPW11" s="64"/>
      <c r="SPX11" s="64"/>
      <c r="SPY11" s="64"/>
      <c r="SPZ11" s="64"/>
      <c r="SQA11" s="64"/>
      <c r="SQB11" s="64"/>
      <c r="SQC11" s="64"/>
      <c r="SQD11" s="64"/>
      <c r="SQE11" s="64"/>
      <c r="SQF11" s="64"/>
      <c r="SQG11" s="64"/>
      <c r="SQH11" s="64"/>
      <c r="SQI11" s="64"/>
      <c r="SQJ11" s="64"/>
      <c r="SQK11" s="64"/>
      <c r="SQL11" s="64"/>
      <c r="SQM11" s="64"/>
      <c r="SQN11" s="64"/>
      <c r="SQO11" s="64"/>
      <c r="SQP11" s="64"/>
      <c r="SQQ11" s="64"/>
      <c r="SQR11" s="64"/>
      <c r="SQS11" s="64"/>
      <c r="SQT11" s="64"/>
      <c r="SQU11" s="64"/>
      <c r="SQV11" s="64"/>
      <c r="SQW11" s="64"/>
      <c r="SQX11" s="64"/>
      <c r="SQY11" s="64"/>
      <c r="SQZ11" s="64"/>
      <c r="SRA11" s="64"/>
      <c r="SRB11" s="64"/>
      <c r="SRC11" s="64"/>
      <c r="SRD11" s="64"/>
      <c r="SRE11" s="64"/>
      <c r="SRF11" s="64"/>
      <c r="SRG11" s="64"/>
      <c r="SRH11" s="64"/>
      <c r="SRI11" s="64"/>
      <c r="SRJ11" s="64"/>
      <c r="SRK11" s="64"/>
      <c r="SRL11" s="64"/>
      <c r="SRM11" s="64"/>
      <c r="SRN11" s="64"/>
      <c r="SRO11" s="64"/>
      <c r="SRP11" s="64"/>
      <c r="SRQ11" s="64"/>
      <c r="SRR11" s="64"/>
      <c r="SRS11" s="64"/>
      <c r="SRT11" s="64"/>
      <c r="SRU11" s="64"/>
      <c r="SRV11" s="64"/>
      <c r="SRW11" s="64"/>
      <c r="SRX11" s="64"/>
      <c r="SRY11" s="64"/>
      <c r="SRZ11" s="64"/>
      <c r="SSA11" s="64"/>
      <c r="SSB11" s="64"/>
      <c r="SSC11" s="64"/>
      <c r="SSD11" s="64"/>
      <c r="SSE11" s="64"/>
      <c r="SSF11" s="64"/>
      <c r="SSG11" s="64"/>
      <c r="SSH11" s="64"/>
      <c r="SSI11" s="64"/>
      <c r="SSJ11" s="64"/>
      <c r="SSK11" s="64"/>
      <c r="SSL11" s="64"/>
      <c r="SSM11" s="64"/>
      <c r="SSN11" s="64"/>
      <c r="SSO11" s="64"/>
      <c r="SSP11" s="64"/>
      <c r="SSQ11" s="64"/>
      <c r="SSR11" s="64"/>
      <c r="SSS11" s="64"/>
      <c r="SST11" s="64"/>
      <c r="SSU11" s="64"/>
      <c r="SSV11" s="64"/>
      <c r="SSW11" s="64"/>
      <c r="SSX11" s="64"/>
      <c r="SSY11" s="64"/>
      <c r="SSZ11" s="64"/>
      <c r="STA11" s="64"/>
      <c r="STB11" s="64"/>
      <c r="STC11" s="64"/>
      <c r="STD11" s="64"/>
      <c r="STE11" s="64"/>
      <c r="STF11" s="64"/>
      <c r="STG11" s="64"/>
      <c r="STH11" s="64"/>
      <c r="STI11" s="64"/>
      <c r="STJ11" s="64"/>
      <c r="STK11" s="64"/>
      <c r="STL11" s="64"/>
      <c r="STM11" s="64"/>
      <c r="STN11" s="64"/>
      <c r="STO11" s="64"/>
      <c r="STP11" s="64"/>
      <c r="STQ11" s="64"/>
      <c r="STR11" s="64"/>
      <c r="STS11" s="64"/>
      <c r="STT11" s="64"/>
      <c r="STU11" s="64"/>
      <c r="STV11" s="64"/>
      <c r="STW11" s="64"/>
      <c r="STX11" s="64"/>
      <c r="STY11" s="64"/>
      <c r="STZ11" s="64"/>
      <c r="SUA11" s="64"/>
      <c r="SUB11" s="64"/>
      <c r="SUC11" s="64"/>
      <c r="SUD11" s="64"/>
      <c r="SUE11" s="64"/>
      <c r="SUF11" s="64"/>
      <c r="SUG11" s="64"/>
      <c r="SUH11" s="64"/>
      <c r="SUI11" s="64"/>
      <c r="SUJ11" s="64"/>
      <c r="SUK11" s="64"/>
      <c r="SUL11" s="64"/>
      <c r="SUM11" s="64"/>
      <c r="SUN11" s="64"/>
      <c r="SUO11" s="64"/>
      <c r="SUP11" s="64"/>
      <c r="SUQ11" s="64"/>
      <c r="SUR11" s="64"/>
      <c r="SUS11" s="64"/>
      <c r="SUT11" s="64"/>
      <c r="SUU11" s="64"/>
      <c r="SUV11" s="64"/>
      <c r="SUW11" s="64"/>
      <c r="SUX11" s="64"/>
      <c r="SUY11" s="64"/>
      <c r="SUZ11" s="64"/>
      <c r="SVA11" s="64"/>
      <c r="SVB11" s="64"/>
      <c r="SVC11" s="64"/>
      <c r="SVD11" s="64"/>
      <c r="SVE11" s="64"/>
      <c r="SVF11" s="64"/>
      <c r="SVG11" s="64"/>
      <c r="SVH11" s="64"/>
      <c r="SVI11" s="64"/>
      <c r="SVJ11" s="64"/>
      <c r="SVK11" s="64"/>
      <c r="SVL11" s="64"/>
      <c r="SVM11" s="64"/>
      <c r="SVN11" s="64"/>
      <c r="SVO11" s="64"/>
      <c r="SVP11" s="64"/>
      <c r="SVQ11" s="64"/>
      <c r="SVR11" s="64"/>
      <c r="SVS11" s="64"/>
      <c r="SVT11" s="64"/>
      <c r="SVU11" s="64"/>
      <c r="SVV11" s="64"/>
      <c r="SVW11" s="64"/>
      <c r="SVX11" s="64"/>
      <c r="SVY11" s="64"/>
      <c r="SVZ11" s="64"/>
      <c r="SWA11" s="64"/>
      <c r="SWB11" s="64"/>
      <c r="SWC11" s="64"/>
      <c r="SWD11" s="64"/>
      <c r="SWE11" s="64"/>
      <c r="SWF11" s="64"/>
      <c r="SWG11" s="64"/>
      <c r="SWH11" s="64"/>
      <c r="SWI11" s="64"/>
      <c r="SWJ11" s="64"/>
      <c r="SWK11" s="64"/>
      <c r="SWL11" s="64"/>
      <c r="SWM11" s="64"/>
      <c r="SWN11" s="64"/>
      <c r="SWO11" s="64"/>
      <c r="SWP11" s="64"/>
      <c r="SWQ11" s="64"/>
      <c r="SWR11" s="64"/>
      <c r="SWS11" s="64"/>
      <c r="SWT11" s="64"/>
      <c r="SWU11" s="64"/>
      <c r="SWV11" s="64"/>
      <c r="SWW11" s="64"/>
      <c r="SWX11" s="64"/>
      <c r="SWY11" s="64"/>
      <c r="SWZ11" s="64"/>
      <c r="SXA11" s="64"/>
      <c r="SXB11" s="64"/>
      <c r="SXC11" s="64"/>
      <c r="SXD11" s="64"/>
      <c r="SXE11" s="64"/>
      <c r="SXF11" s="64"/>
      <c r="SXG11" s="64"/>
      <c r="SXH11" s="64"/>
      <c r="SXI11" s="64"/>
      <c r="SXJ11" s="64"/>
      <c r="SXK11" s="64"/>
      <c r="SXL11" s="64"/>
      <c r="SXM11" s="64"/>
      <c r="SXN11" s="64"/>
      <c r="SXO11" s="64"/>
      <c r="SXP11" s="64"/>
      <c r="SXQ11" s="64"/>
      <c r="SXR11" s="64"/>
      <c r="SXS11" s="64"/>
      <c r="SXT11" s="64"/>
      <c r="SXU11" s="64"/>
      <c r="SXV11" s="64"/>
      <c r="SXW11" s="64"/>
      <c r="SXX11" s="64"/>
      <c r="SXY11" s="64"/>
      <c r="SXZ11" s="64"/>
      <c r="SYA11" s="64"/>
      <c r="SYB11" s="64"/>
      <c r="SYC11" s="64"/>
      <c r="SYD11" s="64"/>
      <c r="SYE11" s="64"/>
      <c r="SYF11" s="64"/>
      <c r="SYG11" s="64"/>
      <c r="SYH11" s="64"/>
      <c r="SYI11" s="64"/>
      <c r="SYJ11" s="64"/>
      <c r="SYK11" s="64"/>
      <c r="SYL11" s="64"/>
      <c r="SYM11" s="64"/>
      <c r="SYN11" s="64"/>
      <c r="SYO11" s="64"/>
      <c r="SYP11" s="64"/>
      <c r="SYQ11" s="64"/>
      <c r="SYR11" s="64"/>
      <c r="SYS11" s="64"/>
      <c r="SYT11" s="64"/>
      <c r="SYU11" s="64"/>
      <c r="SYV11" s="64"/>
      <c r="SYW11" s="64"/>
      <c r="SYX11" s="64"/>
      <c r="SYY11" s="64"/>
      <c r="SYZ11" s="64"/>
      <c r="SZA11" s="64"/>
      <c r="SZB11" s="64"/>
      <c r="SZC11" s="64"/>
      <c r="SZD11" s="64"/>
      <c r="SZE11" s="64"/>
      <c r="SZF11" s="64"/>
      <c r="SZG11" s="64"/>
      <c r="SZH11" s="64"/>
      <c r="SZI11" s="64"/>
      <c r="SZJ11" s="64"/>
      <c r="SZK11" s="64"/>
      <c r="SZL11" s="64"/>
      <c r="SZM11" s="64"/>
      <c r="SZN11" s="64"/>
      <c r="SZO11" s="64"/>
      <c r="SZP11" s="64"/>
      <c r="SZQ11" s="64"/>
      <c r="SZR11" s="64"/>
      <c r="SZS11" s="64"/>
      <c r="SZT11" s="64"/>
      <c r="SZU11" s="64"/>
      <c r="SZV11" s="64"/>
      <c r="SZW11" s="64"/>
      <c r="SZX11" s="64"/>
      <c r="SZY11" s="64"/>
      <c r="SZZ11" s="64"/>
      <c r="TAA11" s="64"/>
      <c r="TAB11" s="64"/>
      <c r="TAC11" s="64"/>
      <c r="TAD11" s="64"/>
      <c r="TAE11" s="64"/>
      <c r="TAF11" s="64"/>
      <c r="TAG11" s="64"/>
      <c r="TAH11" s="64"/>
      <c r="TAI11" s="64"/>
      <c r="TAJ11" s="64"/>
      <c r="TAK11" s="64"/>
      <c r="TAL11" s="64"/>
      <c r="TAM11" s="64"/>
      <c r="TAN11" s="64"/>
      <c r="TAO11" s="64"/>
      <c r="TAP11" s="64"/>
      <c r="TAQ11" s="64"/>
      <c r="TAR11" s="64"/>
      <c r="TAS11" s="64"/>
      <c r="TAT11" s="64"/>
      <c r="TAU11" s="64"/>
      <c r="TAV11" s="64"/>
      <c r="TAW11" s="64"/>
      <c r="TAX11" s="64"/>
      <c r="TAY11" s="64"/>
      <c r="TAZ11" s="64"/>
      <c r="TBA11" s="64"/>
      <c r="TBB11" s="64"/>
      <c r="TBC11" s="64"/>
      <c r="TBD11" s="64"/>
      <c r="TBE11" s="64"/>
      <c r="TBF11" s="64"/>
      <c r="TBG11" s="64"/>
      <c r="TBH11" s="64"/>
      <c r="TBI11" s="64"/>
      <c r="TBJ11" s="64"/>
      <c r="TBK11" s="64"/>
      <c r="TBL11" s="64"/>
      <c r="TBM11" s="64"/>
      <c r="TBN11" s="64"/>
      <c r="TBO11" s="64"/>
      <c r="TBP11" s="64"/>
      <c r="TBQ11" s="64"/>
      <c r="TBR11" s="64"/>
      <c r="TBS11" s="64"/>
      <c r="TBT11" s="64"/>
      <c r="TBU11" s="64"/>
      <c r="TBV11" s="64"/>
      <c r="TBW11" s="64"/>
      <c r="TBX11" s="64"/>
      <c r="TBY11" s="64"/>
      <c r="TBZ11" s="64"/>
      <c r="TCA11" s="64"/>
      <c r="TCB11" s="64"/>
      <c r="TCC11" s="64"/>
      <c r="TCD11" s="64"/>
      <c r="TCE11" s="64"/>
      <c r="TCF11" s="64"/>
      <c r="TCG11" s="64"/>
      <c r="TCH11" s="64"/>
      <c r="TCI11" s="64"/>
      <c r="TCJ11" s="64"/>
      <c r="TCK11" s="64"/>
      <c r="TCL11" s="64"/>
      <c r="TCM11" s="64"/>
      <c r="TCN11" s="64"/>
      <c r="TCO11" s="64"/>
      <c r="TCP11" s="64"/>
      <c r="TCQ11" s="64"/>
      <c r="TCR11" s="64"/>
      <c r="TCS11" s="64"/>
      <c r="TCT11" s="64"/>
      <c r="TCU11" s="64"/>
      <c r="TCV11" s="64"/>
      <c r="TCW11" s="64"/>
      <c r="TCX11" s="64"/>
      <c r="TCY11" s="64"/>
      <c r="TCZ11" s="64"/>
      <c r="TDA11" s="64"/>
      <c r="TDB11" s="64"/>
      <c r="TDC11" s="64"/>
      <c r="TDD11" s="64"/>
      <c r="TDE11" s="64"/>
      <c r="TDF11" s="64"/>
      <c r="TDG11" s="64"/>
      <c r="TDH11" s="64"/>
      <c r="TDI11" s="64"/>
      <c r="TDJ11" s="64"/>
      <c r="TDK11" s="64"/>
      <c r="TDL11" s="64"/>
      <c r="TDM11" s="64"/>
      <c r="TDN11" s="64"/>
      <c r="TDO11" s="64"/>
      <c r="TDP11" s="64"/>
      <c r="TDQ11" s="64"/>
      <c r="TDR11" s="64"/>
      <c r="TDS11" s="64"/>
      <c r="TDT11" s="64"/>
      <c r="TDU11" s="64"/>
      <c r="TDV11" s="64"/>
      <c r="TDW11" s="64"/>
      <c r="TDX11" s="64"/>
      <c r="TDY11" s="64"/>
      <c r="TDZ11" s="64"/>
      <c r="TEA11" s="64"/>
      <c r="TEB11" s="64"/>
      <c r="TEC11" s="64"/>
      <c r="TED11" s="64"/>
      <c r="TEE11" s="64"/>
      <c r="TEF11" s="64"/>
      <c r="TEG11" s="64"/>
      <c r="TEH11" s="64"/>
      <c r="TEI11" s="64"/>
      <c r="TEJ11" s="64"/>
      <c r="TEK11" s="64"/>
      <c r="TEL11" s="64"/>
      <c r="TEM11" s="64"/>
      <c r="TEN11" s="64"/>
      <c r="TEO11" s="64"/>
      <c r="TEP11" s="64"/>
      <c r="TEQ11" s="64"/>
      <c r="TER11" s="64"/>
      <c r="TES11" s="64"/>
      <c r="TET11" s="64"/>
      <c r="TEU11" s="64"/>
      <c r="TEV11" s="64"/>
      <c r="TEW11" s="64"/>
      <c r="TEX11" s="64"/>
      <c r="TEY11" s="64"/>
      <c r="TEZ11" s="64"/>
      <c r="TFA11" s="64"/>
      <c r="TFB11" s="64"/>
      <c r="TFC11" s="64"/>
      <c r="TFD11" s="64"/>
      <c r="TFE11" s="64"/>
      <c r="TFF11" s="64"/>
      <c r="TFG11" s="64"/>
      <c r="TFH11" s="64"/>
      <c r="TFI11" s="64"/>
      <c r="TFJ11" s="64"/>
      <c r="TFK11" s="64"/>
      <c r="TFL11" s="64"/>
      <c r="TFM11" s="64"/>
      <c r="TFN11" s="64"/>
      <c r="TFO11" s="64"/>
      <c r="TFP11" s="64"/>
      <c r="TFQ11" s="64"/>
      <c r="TFR11" s="64"/>
      <c r="TFS11" s="64"/>
      <c r="TFT11" s="64"/>
      <c r="TFU11" s="64"/>
      <c r="TFV11" s="64"/>
      <c r="TFW11" s="64"/>
      <c r="TFX11" s="64"/>
      <c r="TFY11" s="64"/>
      <c r="TFZ11" s="64"/>
      <c r="TGA11" s="64"/>
      <c r="TGB11" s="64"/>
      <c r="TGC11" s="64"/>
      <c r="TGD11" s="64"/>
      <c r="TGE11" s="64"/>
      <c r="TGF11" s="64"/>
      <c r="TGG11" s="64"/>
      <c r="TGH11" s="64"/>
      <c r="TGI11" s="64"/>
      <c r="TGJ11" s="64"/>
      <c r="TGK11" s="64"/>
      <c r="TGL11" s="64"/>
      <c r="TGM11" s="64"/>
      <c r="TGN11" s="64"/>
      <c r="TGO11" s="64"/>
      <c r="TGP11" s="64"/>
      <c r="TGQ11" s="64"/>
      <c r="TGR11" s="64"/>
      <c r="TGS11" s="64"/>
      <c r="TGT11" s="64"/>
      <c r="TGU11" s="64"/>
      <c r="TGV11" s="64"/>
      <c r="TGW11" s="64"/>
      <c r="TGX11" s="64"/>
      <c r="TGY11" s="64"/>
      <c r="TGZ11" s="64"/>
      <c r="THA11" s="64"/>
      <c r="THB11" s="64"/>
      <c r="THC11" s="64"/>
      <c r="THD11" s="64"/>
      <c r="THE11" s="64"/>
      <c r="THF11" s="64"/>
      <c r="THG11" s="64"/>
      <c r="THH11" s="64"/>
      <c r="THI11" s="64"/>
      <c r="THJ11" s="64"/>
      <c r="THK11" s="64"/>
      <c r="THL11" s="64"/>
      <c r="THM11" s="64"/>
      <c r="THN11" s="64"/>
      <c r="THO11" s="64"/>
      <c r="THP11" s="64"/>
      <c r="THQ11" s="64"/>
      <c r="THR11" s="64"/>
      <c r="THS11" s="64"/>
      <c r="THT11" s="64"/>
      <c r="THU11" s="64"/>
      <c r="THV11" s="64"/>
      <c r="THW11" s="64"/>
      <c r="THX11" s="64"/>
      <c r="THY11" s="64"/>
      <c r="THZ11" s="64"/>
      <c r="TIA11" s="64"/>
      <c r="TIB11" s="64"/>
      <c r="TIC11" s="64"/>
      <c r="TID11" s="64"/>
      <c r="TIE11" s="64"/>
      <c r="TIF11" s="64"/>
      <c r="TIG11" s="64"/>
      <c r="TIH11" s="64"/>
      <c r="TII11" s="64"/>
      <c r="TIJ11" s="64"/>
      <c r="TIK11" s="64"/>
      <c r="TIL11" s="64"/>
      <c r="TIM11" s="64"/>
      <c r="TIN11" s="64"/>
      <c r="TIO11" s="64"/>
      <c r="TIP11" s="64"/>
      <c r="TIQ11" s="64"/>
      <c r="TIR11" s="64"/>
      <c r="TIS11" s="64"/>
      <c r="TIT11" s="64"/>
      <c r="TIU11" s="64"/>
      <c r="TIV11" s="64"/>
      <c r="TIW11" s="64"/>
      <c r="TIX11" s="64"/>
      <c r="TIY11" s="64"/>
      <c r="TIZ11" s="64"/>
      <c r="TJA11" s="64"/>
      <c r="TJB11" s="64"/>
      <c r="TJC11" s="64"/>
      <c r="TJD11" s="64"/>
      <c r="TJE11" s="64"/>
      <c r="TJF11" s="64"/>
      <c r="TJG11" s="64"/>
      <c r="TJH11" s="64"/>
      <c r="TJI11" s="64"/>
      <c r="TJJ11" s="64"/>
      <c r="TJK11" s="64"/>
      <c r="TJL11" s="64"/>
      <c r="TJM11" s="64"/>
      <c r="TJN11" s="64"/>
      <c r="TJO11" s="64"/>
      <c r="TJP11" s="64"/>
      <c r="TJQ11" s="64"/>
      <c r="TJR11" s="64"/>
      <c r="TJS11" s="64"/>
      <c r="TJT11" s="64"/>
      <c r="TJU11" s="64"/>
      <c r="TJV11" s="64"/>
      <c r="TJW11" s="64"/>
      <c r="TJX11" s="64"/>
      <c r="TJY11" s="64"/>
      <c r="TJZ11" s="64"/>
      <c r="TKA11" s="64"/>
      <c r="TKB11" s="64"/>
      <c r="TKC11" s="64"/>
      <c r="TKD11" s="64"/>
      <c r="TKE11" s="64"/>
      <c r="TKF11" s="64"/>
      <c r="TKG11" s="64"/>
      <c r="TKH11" s="64"/>
      <c r="TKI11" s="64"/>
      <c r="TKJ11" s="64"/>
      <c r="TKK11" s="64"/>
      <c r="TKL11" s="64"/>
      <c r="TKM11" s="64"/>
      <c r="TKN11" s="64"/>
      <c r="TKO11" s="64"/>
      <c r="TKP11" s="64"/>
      <c r="TKQ11" s="64"/>
      <c r="TKR11" s="64"/>
      <c r="TKS11" s="64"/>
      <c r="TKT11" s="64"/>
      <c r="TKU11" s="64"/>
      <c r="TKV11" s="64"/>
      <c r="TKW11" s="64"/>
      <c r="TKX11" s="64"/>
      <c r="TKY11" s="64"/>
      <c r="TKZ11" s="64"/>
      <c r="TLA11" s="64"/>
      <c r="TLB11" s="64"/>
      <c r="TLC11" s="64"/>
      <c r="TLD11" s="64"/>
      <c r="TLE11" s="64"/>
      <c r="TLF11" s="64"/>
      <c r="TLG11" s="64"/>
      <c r="TLH11" s="64"/>
      <c r="TLI11" s="64"/>
      <c r="TLJ11" s="64"/>
      <c r="TLK11" s="64"/>
      <c r="TLL11" s="64"/>
      <c r="TLM11" s="64"/>
      <c r="TLN11" s="64"/>
      <c r="TLO11" s="64"/>
      <c r="TLP11" s="64"/>
      <c r="TLQ11" s="64"/>
      <c r="TLR11" s="64"/>
      <c r="TLS11" s="64"/>
      <c r="TLT11" s="64"/>
      <c r="TLU11" s="64"/>
      <c r="TLV11" s="64"/>
      <c r="TLW11" s="64"/>
      <c r="TLX11" s="64"/>
      <c r="TLY11" s="64"/>
      <c r="TLZ11" s="64"/>
      <c r="TMA11" s="64"/>
      <c r="TMB11" s="64"/>
      <c r="TMC11" s="64"/>
      <c r="TMD11" s="64"/>
      <c r="TME11" s="64"/>
      <c r="TMF11" s="64"/>
      <c r="TMG11" s="64"/>
      <c r="TMH11" s="64"/>
      <c r="TMI11" s="64"/>
      <c r="TMJ11" s="64"/>
      <c r="TMK11" s="64"/>
      <c r="TML11" s="64"/>
      <c r="TMM11" s="64"/>
      <c r="TMN11" s="64"/>
      <c r="TMO11" s="64"/>
      <c r="TMP11" s="64"/>
      <c r="TMQ11" s="64"/>
      <c r="TMR11" s="64"/>
      <c r="TMS11" s="64"/>
      <c r="TMT11" s="64"/>
      <c r="TMU11" s="64"/>
      <c r="TMV11" s="64"/>
      <c r="TMW11" s="64"/>
      <c r="TMX11" s="64"/>
      <c r="TMY11" s="64"/>
      <c r="TMZ11" s="64"/>
      <c r="TNA11" s="64"/>
      <c r="TNB11" s="64"/>
      <c r="TNC11" s="64"/>
      <c r="TND11" s="64"/>
      <c r="TNE11" s="64"/>
      <c r="TNF11" s="64"/>
      <c r="TNG11" s="64"/>
      <c r="TNH11" s="64"/>
      <c r="TNI11" s="64"/>
      <c r="TNJ11" s="64"/>
      <c r="TNK11" s="64"/>
      <c r="TNL11" s="64"/>
      <c r="TNM11" s="64"/>
      <c r="TNN11" s="64"/>
      <c r="TNO11" s="64"/>
      <c r="TNP11" s="64"/>
      <c r="TNQ11" s="64"/>
      <c r="TNR11" s="64"/>
      <c r="TNS11" s="64"/>
      <c r="TNT11" s="64"/>
      <c r="TNU11" s="64"/>
      <c r="TNV11" s="64"/>
      <c r="TNW11" s="64"/>
      <c r="TNX11" s="64"/>
      <c r="TNY11" s="64"/>
      <c r="TNZ11" s="64"/>
      <c r="TOA11" s="64"/>
      <c r="TOB11" s="64"/>
      <c r="TOC11" s="64"/>
      <c r="TOD11" s="64"/>
      <c r="TOE11" s="64"/>
      <c r="TOF11" s="64"/>
      <c r="TOG11" s="64"/>
      <c r="TOH11" s="64"/>
      <c r="TOI11" s="64"/>
      <c r="TOJ11" s="64"/>
      <c r="TOK11" s="64"/>
      <c r="TOL11" s="64"/>
      <c r="TOM11" s="64"/>
      <c r="TON11" s="64"/>
      <c r="TOO11" s="64"/>
      <c r="TOP11" s="64"/>
      <c r="TOQ11" s="64"/>
      <c r="TOR11" s="64"/>
      <c r="TOS11" s="64"/>
      <c r="TOT11" s="64"/>
      <c r="TOU11" s="64"/>
      <c r="TOV11" s="64"/>
      <c r="TOW11" s="64"/>
      <c r="TOX11" s="64"/>
      <c r="TOY11" s="64"/>
      <c r="TOZ11" s="64"/>
      <c r="TPA11" s="64"/>
      <c r="TPB11" s="64"/>
      <c r="TPC11" s="64"/>
      <c r="TPD11" s="64"/>
      <c r="TPE11" s="64"/>
      <c r="TPF11" s="64"/>
      <c r="TPG11" s="64"/>
      <c r="TPH11" s="64"/>
      <c r="TPI11" s="64"/>
      <c r="TPJ11" s="64"/>
      <c r="TPK11" s="64"/>
      <c r="TPL11" s="64"/>
      <c r="TPM11" s="64"/>
      <c r="TPN11" s="64"/>
      <c r="TPO11" s="64"/>
      <c r="TPP11" s="64"/>
      <c r="TPQ11" s="64"/>
      <c r="TPR11" s="64"/>
      <c r="TPS11" s="64"/>
      <c r="TPT11" s="64"/>
      <c r="TPU11" s="64"/>
      <c r="TPV11" s="64"/>
      <c r="TPW11" s="64"/>
      <c r="TPX11" s="64"/>
      <c r="TPY11" s="64"/>
      <c r="TPZ11" s="64"/>
      <c r="TQA11" s="64"/>
      <c r="TQB11" s="64"/>
      <c r="TQC11" s="64"/>
      <c r="TQD11" s="64"/>
      <c r="TQE11" s="64"/>
      <c r="TQF11" s="64"/>
      <c r="TQG11" s="64"/>
      <c r="TQH11" s="64"/>
      <c r="TQI11" s="64"/>
      <c r="TQJ11" s="64"/>
      <c r="TQK11" s="64"/>
      <c r="TQL11" s="64"/>
      <c r="TQM11" s="64"/>
      <c r="TQN11" s="64"/>
      <c r="TQO11" s="64"/>
      <c r="TQP11" s="64"/>
      <c r="TQQ11" s="64"/>
      <c r="TQR11" s="64"/>
      <c r="TQS11" s="64"/>
      <c r="TQT11" s="64"/>
      <c r="TQU11" s="64"/>
      <c r="TQV11" s="64"/>
      <c r="TQW11" s="64"/>
      <c r="TQX11" s="64"/>
      <c r="TQY11" s="64"/>
      <c r="TQZ11" s="64"/>
      <c r="TRA11" s="64"/>
      <c r="TRB11" s="64"/>
      <c r="TRC11" s="64"/>
      <c r="TRD11" s="64"/>
      <c r="TRE11" s="64"/>
      <c r="TRF11" s="64"/>
      <c r="TRG11" s="64"/>
      <c r="TRH11" s="64"/>
      <c r="TRI11" s="64"/>
      <c r="TRJ11" s="64"/>
      <c r="TRK11" s="64"/>
      <c r="TRL11" s="64"/>
      <c r="TRM11" s="64"/>
      <c r="TRN11" s="64"/>
      <c r="TRO11" s="64"/>
      <c r="TRP11" s="64"/>
      <c r="TRQ11" s="64"/>
      <c r="TRR11" s="64"/>
      <c r="TRS11" s="64"/>
      <c r="TRT11" s="64"/>
      <c r="TRU11" s="64"/>
      <c r="TRV11" s="64"/>
      <c r="TRW11" s="64"/>
      <c r="TRX11" s="64"/>
      <c r="TRY11" s="64"/>
      <c r="TRZ11" s="64"/>
      <c r="TSA11" s="64"/>
      <c r="TSB11" s="64"/>
      <c r="TSC11" s="64"/>
      <c r="TSD11" s="64"/>
      <c r="TSE11" s="64"/>
      <c r="TSF11" s="64"/>
      <c r="TSG11" s="64"/>
      <c r="TSH11" s="64"/>
      <c r="TSI11" s="64"/>
      <c r="TSJ11" s="64"/>
      <c r="TSK11" s="64"/>
      <c r="TSL11" s="64"/>
      <c r="TSM11" s="64"/>
      <c r="TSN11" s="64"/>
      <c r="TSO11" s="64"/>
      <c r="TSP11" s="64"/>
      <c r="TSQ11" s="64"/>
      <c r="TSR11" s="64"/>
      <c r="TSS11" s="64"/>
      <c r="TST11" s="64"/>
      <c r="TSU11" s="64"/>
      <c r="TSV11" s="64"/>
      <c r="TSW11" s="64"/>
      <c r="TSX11" s="64"/>
      <c r="TSY11" s="64"/>
      <c r="TSZ11" s="64"/>
      <c r="TTA11" s="64"/>
      <c r="TTB11" s="64"/>
      <c r="TTC11" s="64"/>
      <c r="TTD11" s="64"/>
      <c r="TTE11" s="64"/>
      <c r="TTF11" s="64"/>
      <c r="TTG11" s="64"/>
      <c r="TTH11" s="64"/>
      <c r="TTI11" s="64"/>
      <c r="TTJ11" s="64"/>
      <c r="TTK11" s="64"/>
      <c r="TTL11" s="64"/>
      <c r="TTM11" s="64"/>
      <c r="TTN11" s="64"/>
      <c r="TTO11" s="64"/>
      <c r="TTP11" s="64"/>
      <c r="TTQ11" s="64"/>
      <c r="TTR11" s="64"/>
      <c r="TTS11" s="64"/>
      <c r="TTT11" s="64"/>
      <c r="TTU11" s="64"/>
      <c r="TTV11" s="64"/>
      <c r="TTW11" s="64"/>
      <c r="TTX11" s="64"/>
      <c r="TTY11" s="64"/>
      <c r="TTZ11" s="64"/>
      <c r="TUA11" s="64"/>
      <c r="TUB11" s="64"/>
      <c r="TUC11" s="64"/>
      <c r="TUD11" s="64"/>
      <c r="TUE11" s="64"/>
      <c r="TUF11" s="64"/>
      <c r="TUG11" s="64"/>
      <c r="TUH11" s="64"/>
      <c r="TUI11" s="64"/>
      <c r="TUJ11" s="64"/>
      <c r="TUK11" s="64"/>
      <c r="TUL11" s="64"/>
      <c r="TUM11" s="64"/>
      <c r="TUN11" s="64"/>
      <c r="TUO11" s="64"/>
      <c r="TUP11" s="64"/>
      <c r="TUQ11" s="64"/>
      <c r="TUR11" s="64"/>
      <c r="TUS11" s="64"/>
      <c r="TUT11" s="64"/>
      <c r="TUU11" s="64"/>
      <c r="TUV11" s="64"/>
      <c r="TUW11" s="64"/>
      <c r="TUX11" s="64"/>
      <c r="TUY11" s="64"/>
      <c r="TUZ11" s="64"/>
      <c r="TVA11" s="64"/>
      <c r="TVB11" s="64"/>
      <c r="TVC11" s="64"/>
      <c r="TVD11" s="64"/>
      <c r="TVE11" s="64"/>
      <c r="TVF11" s="64"/>
      <c r="TVG11" s="64"/>
      <c r="TVH11" s="64"/>
      <c r="TVI11" s="64"/>
      <c r="TVJ11" s="64"/>
      <c r="TVK11" s="64"/>
      <c r="TVL11" s="64"/>
      <c r="TVM11" s="64"/>
      <c r="TVN11" s="64"/>
      <c r="TVO11" s="64"/>
      <c r="TVP11" s="64"/>
      <c r="TVQ11" s="64"/>
      <c r="TVR11" s="64"/>
      <c r="TVS11" s="64"/>
      <c r="TVT11" s="64"/>
      <c r="TVU11" s="64"/>
      <c r="TVV11" s="64"/>
      <c r="TVW11" s="64"/>
      <c r="TVX11" s="64"/>
      <c r="TVY11" s="64"/>
      <c r="TVZ11" s="64"/>
      <c r="TWA11" s="64"/>
      <c r="TWB11" s="64"/>
      <c r="TWC11" s="64"/>
      <c r="TWD11" s="64"/>
      <c r="TWE11" s="64"/>
      <c r="TWF11" s="64"/>
      <c r="TWG11" s="64"/>
      <c r="TWH11" s="64"/>
      <c r="TWI11" s="64"/>
      <c r="TWJ11" s="64"/>
      <c r="TWK11" s="64"/>
      <c r="TWL11" s="64"/>
      <c r="TWM11" s="64"/>
      <c r="TWN11" s="64"/>
      <c r="TWO11" s="64"/>
      <c r="TWP11" s="64"/>
      <c r="TWQ11" s="64"/>
      <c r="TWR11" s="64"/>
      <c r="TWS11" s="64"/>
      <c r="TWT11" s="64"/>
      <c r="TWU11" s="64"/>
      <c r="TWV11" s="64"/>
      <c r="TWW11" s="64"/>
      <c r="TWX11" s="64"/>
      <c r="TWY11" s="64"/>
      <c r="TWZ11" s="64"/>
      <c r="TXA11" s="64"/>
      <c r="TXB11" s="64"/>
      <c r="TXC11" s="64"/>
      <c r="TXD11" s="64"/>
      <c r="TXE11" s="64"/>
      <c r="TXF11" s="64"/>
      <c r="TXG11" s="64"/>
      <c r="TXH11" s="64"/>
      <c r="TXI11" s="64"/>
      <c r="TXJ11" s="64"/>
      <c r="TXK11" s="64"/>
      <c r="TXL11" s="64"/>
      <c r="TXM11" s="64"/>
      <c r="TXN11" s="64"/>
      <c r="TXO11" s="64"/>
      <c r="TXP11" s="64"/>
      <c r="TXQ11" s="64"/>
      <c r="TXR11" s="64"/>
      <c r="TXS11" s="64"/>
      <c r="TXT11" s="64"/>
      <c r="TXU11" s="64"/>
      <c r="TXV11" s="64"/>
      <c r="TXW11" s="64"/>
      <c r="TXX11" s="64"/>
      <c r="TXY11" s="64"/>
      <c r="TXZ11" s="64"/>
      <c r="TYA11" s="64"/>
      <c r="TYB11" s="64"/>
      <c r="TYC11" s="64"/>
      <c r="TYD11" s="64"/>
      <c r="TYE11" s="64"/>
      <c r="TYF11" s="64"/>
      <c r="TYG11" s="64"/>
      <c r="TYH11" s="64"/>
      <c r="TYI11" s="64"/>
      <c r="TYJ11" s="64"/>
      <c r="TYK11" s="64"/>
      <c r="TYL11" s="64"/>
      <c r="TYM11" s="64"/>
      <c r="TYN11" s="64"/>
      <c r="TYO11" s="64"/>
      <c r="TYP11" s="64"/>
      <c r="TYQ11" s="64"/>
      <c r="TYR11" s="64"/>
      <c r="TYS11" s="64"/>
      <c r="TYT11" s="64"/>
      <c r="TYU11" s="64"/>
      <c r="TYV11" s="64"/>
      <c r="TYW11" s="64"/>
      <c r="TYX11" s="64"/>
      <c r="TYY11" s="64"/>
      <c r="TYZ11" s="64"/>
      <c r="TZA11" s="64"/>
      <c r="TZB11" s="64"/>
      <c r="TZC11" s="64"/>
      <c r="TZD11" s="64"/>
      <c r="TZE11" s="64"/>
      <c r="TZF11" s="64"/>
      <c r="TZG11" s="64"/>
      <c r="TZH11" s="64"/>
      <c r="TZI11" s="64"/>
      <c r="TZJ11" s="64"/>
      <c r="TZK11" s="64"/>
      <c r="TZL11" s="64"/>
      <c r="TZM11" s="64"/>
      <c r="TZN11" s="64"/>
      <c r="TZO11" s="64"/>
      <c r="TZP11" s="64"/>
      <c r="TZQ11" s="64"/>
      <c r="TZR11" s="64"/>
      <c r="TZS11" s="64"/>
      <c r="TZT11" s="64"/>
      <c r="TZU11" s="64"/>
      <c r="TZV11" s="64"/>
      <c r="TZW11" s="64"/>
      <c r="TZX11" s="64"/>
      <c r="TZY11" s="64"/>
      <c r="TZZ11" s="64"/>
      <c r="UAA11" s="64"/>
      <c r="UAB11" s="64"/>
      <c r="UAC11" s="64"/>
      <c r="UAD11" s="64"/>
      <c r="UAE11" s="64"/>
      <c r="UAF11" s="64"/>
      <c r="UAG11" s="64"/>
      <c r="UAH11" s="64"/>
      <c r="UAI11" s="64"/>
      <c r="UAJ11" s="64"/>
      <c r="UAK11" s="64"/>
      <c r="UAL11" s="64"/>
      <c r="UAM11" s="64"/>
      <c r="UAN11" s="64"/>
      <c r="UAO11" s="64"/>
      <c r="UAP11" s="64"/>
      <c r="UAQ11" s="64"/>
      <c r="UAR11" s="64"/>
      <c r="UAS11" s="64"/>
      <c r="UAT11" s="64"/>
      <c r="UAU11" s="64"/>
      <c r="UAV11" s="64"/>
      <c r="UAW11" s="64"/>
      <c r="UAX11" s="64"/>
      <c r="UAY11" s="64"/>
      <c r="UAZ11" s="64"/>
      <c r="UBA11" s="64"/>
      <c r="UBB11" s="64"/>
      <c r="UBC11" s="64"/>
      <c r="UBD11" s="64"/>
      <c r="UBE11" s="64"/>
      <c r="UBF11" s="64"/>
      <c r="UBG11" s="64"/>
      <c r="UBH11" s="64"/>
      <c r="UBI11" s="64"/>
      <c r="UBJ11" s="64"/>
      <c r="UBK11" s="64"/>
      <c r="UBL11" s="64"/>
      <c r="UBM11" s="64"/>
      <c r="UBN11" s="64"/>
      <c r="UBO11" s="64"/>
      <c r="UBP11" s="64"/>
      <c r="UBQ11" s="64"/>
      <c r="UBR11" s="64"/>
      <c r="UBS11" s="64"/>
      <c r="UBT11" s="64"/>
      <c r="UBU11" s="64"/>
      <c r="UBV11" s="64"/>
      <c r="UBW11" s="64"/>
      <c r="UBX11" s="64"/>
      <c r="UBY11" s="64"/>
      <c r="UBZ11" s="64"/>
      <c r="UCA11" s="64"/>
      <c r="UCB11" s="64"/>
      <c r="UCC11" s="64"/>
      <c r="UCD11" s="64"/>
      <c r="UCE11" s="64"/>
      <c r="UCF11" s="64"/>
      <c r="UCG11" s="64"/>
      <c r="UCH11" s="64"/>
      <c r="UCI11" s="64"/>
      <c r="UCJ11" s="64"/>
      <c r="UCK11" s="64"/>
      <c r="UCL11" s="64"/>
      <c r="UCM11" s="64"/>
      <c r="UCN11" s="64"/>
      <c r="UCO11" s="64"/>
      <c r="UCP11" s="64"/>
      <c r="UCQ11" s="64"/>
      <c r="UCR11" s="64"/>
      <c r="UCS11" s="64"/>
      <c r="UCT11" s="64"/>
      <c r="UCU11" s="64"/>
      <c r="UCV11" s="64"/>
      <c r="UCW11" s="64"/>
      <c r="UCX11" s="64"/>
      <c r="UCY11" s="64"/>
      <c r="UCZ11" s="64"/>
      <c r="UDA11" s="64"/>
      <c r="UDB11" s="64"/>
      <c r="UDC11" s="64"/>
      <c r="UDD11" s="64"/>
      <c r="UDE11" s="64"/>
      <c r="UDF11" s="64"/>
      <c r="UDG11" s="64"/>
      <c r="UDH11" s="64"/>
      <c r="UDI11" s="64"/>
      <c r="UDJ11" s="64"/>
      <c r="UDK11" s="64"/>
      <c r="UDL11" s="64"/>
      <c r="UDM11" s="64"/>
      <c r="UDN11" s="64"/>
      <c r="UDO11" s="64"/>
      <c r="UDP11" s="64"/>
      <c r="UDQ11" s="64"/>
      <c r="UDR11" s="64"/>
      <c r="UDS11" s="64"/>
      <c r="UDT11" s="64"/>
      <c r="UDU11" s="64"/>
      <c r="UDV11" s="64"/>
      <c r="UDW11" s="64"/>
      <c r="UDX11" s="64"/>
      <c r="UDY11" s="64"/>
      <c r="UDZ11" s="64"/>
      <c r="UEA11" s="64"/>
      <c r="UEB11" s="64"/>
      <c r="UEC11" s="64"/>
      <c r="UED11" s="64"/>
      <c r="UEE11" s="64"/>
      <c r="UEF11" s="64"/>
      <c r="UEG11" s="64"/>
      <c r="UEH11" s="64"/>
      <c r="UEI11" s="64"/>
      <c r="UEJ11" s="64"/>
      <c r="UEK11" s="64"/>
      <c r="UEL11" s="64"/>
      <c r="UEM11" s="64"/>
      <c r="UEN11" s="64"/>
      <c r="UEO11" s="64"/>
      <c r="UEP11" s="64"/>
      <c r="UEQ11" s="64"/>
      <c r="UER11" s="64"/>
      <c r="UES11" s="64"/>
      <c r="UET11" s="64"/>
      <c r="UEU11" s="64"/>
      <c r="UEV11" s="64"/>
      <c r="UEW11" s="64"/>
      <c r="UEX11" s="64"/>
      <c r="UEY11" s="64"/>
      <c r="UEZ11" s="64"/>
      <c r="UFA11" s="64"/>
      <c r="UFB11" s="64"/>
      <c r="UFC11" s="64"/>
      <c r="UFD11" s="64"/>
      <c r="UFE11" s="64"/>
      <c r="UFF11" s="64"/>
      <c r="UFG11" s="64"/>
      <c r="UFH11" s="64"/>
      <c r="UFI11" s="64"/>
      <c r="UFJ11" s="64"/>
      <c r="UFK11" s="64"/>
      <c r="UFL11" s="64"/>
      <c r="UFM11" s="64"/>
      <c r="UFN11" s="64"/>
      <c r="UFO11" s="64"/>
      <c r="UFP11" s="64"/>
      <c r="UFQ11" s="64"/>
      <c r="UFR11" s="64"/>
      <c r="UFS11" s="64"/>
      <c r="UFT11" s="64"/>
      <c r="UFU11" s="64"/>
      <c r="UFV11" s="64"/>
      <c r="UFW11" s="64"/>
      <c r="UFX11" s="64"/>
      <c r="UFY11" s="64"/>
      <c r="UFZ11" s="64"/>
      <c r="UGA11" s="64"/>
      <c r="UGB11" s="64"/>
      <c r="UGC11" s="64"/>
      <c r="UGD11" s="64"/>
      <c r="UGE11" s="64"/>
      <c r="UGF11" s="64"/>
      <c r="UGG11" s="64"/>
      <c r="UGH11" s="64"/>
      <c r="UGI11" s="64"/>
      <c r="UGJ11" s="64"/>
      <c r="UGK11" s="64"/>
      <c r="UGL11" s="64"/>
      <c r="UGM11" s="64"/>
      <c r="UGN11" s="64"/>
      <c r="UGO11" s="64"/>
      <c r="UGP11" s="64"/>
      <c r="UGQ11" s="64"/>
      <c r="UGR11" s="64"/>
      <c r="UGS11" s="64"/>
      <c r="UGT11" s="64"/>
      <c r="UGU11" s="64"/>
      <c r="UGV11" s="64"/>
      <c r="UGW11" s="64"/>
      <c r="UGX11" s="64"/>
      <c r="UGY11" s="64"/>
      <c r="UGZ11" s="64"/>
      <c r="UHA11" s="64"/>
      <c r="UHB11" s="64"/>
      <c r="UHC11" s="64"/>
      <c r="UHD11" s="64"/>
      <c r="UHE11" s="64"/>
      <c r="UHF11" s="64"/>
      <c r="UHG11" s="64"/>
      <c r="UHH11" s="64"/>
      <c r="UHI11" s="64"/>
      <c r="UHJ11" s="64"/>
      <c r="UHK11" s="64"/>
      <c r="UHL11" s="64"/>
      <c r="UHM11" s="64"/>
      <c r="UHN11" s="64"/>
      <c r="UHO11" s="64"/>
      <c r="UHP11" s="64"/>
      <c r="UHQ11" s="64"/>
      <c r="UHR11" s="64"/>
      <c r="UHS11" s="64"/>
      <c r="UHT11" s="64"/>
      <c r="UHU11" s="64"/>
      <c r="UHV11" s="64"/>
      <c r="UHW11" s="64"/>
      <c r="UHX11" s="64"/>
      <c r="UHY11" s="64"/>
      <c r="UHZ11" s="64"/>
      <c r="UIA11" s="64"/>
      <c r="UIB11" s="64"/>
      <c r="UIC11" s="64"/>
      <c r="UID11" s="64"/>
      <c r="UIE11" s="64"/>
      <c r="UIF11" s="64"/>
      <c r="UIG11" s="64"/>
      <c r="UIH11" s="64"/>
      <c r="UII11" s="64"/>
      <c r="UIJ11" s="64"/>
      <c r="UIK11" s="64"/>
      <c r="UIL11" s="64"/>
      <c r="UIM11" s="64"/>
      <c r="UIN11" s="64"/>
      <c r="UIO11" s="64"/>
      <c r="UIP11" s="64"/>
      <c r="UIQ11" s="64"/>
      <c r="UIR11" s="64"/>
      <c r="UIS11" s="64"/>
      <c r="UIT11" s="64"/>
      <c r="UIU11" s="64"/>
      <c r="UIV11" s="64"/>
      <c r="UIW11" s="64"/>
      <c r="UIX11" s="64"/>
      <c r="UIY11" s="64"/>
      <c r="UIZ11" s="64"/>
      <c r="UJA11" s="64"/>
      <c r="UJB11" s="64"/>
      <c r="UJC11" s="64"/>
      <c r="UJD11" s="64"/>
      <c r="UJE11" s="64"/>
      <c r="UJF11" s="64"/>
      <c r="UJG11" s="64"/>
      <c r="UJH11" s="64"/>
      <c r="UJI11" s="64"/>
      <c r="UJJ11" s="64"/>
      <c r="UJK11" s="64"/>
      <c r="UJL11" s="64"/>
      <c r="UJM11" s="64"/>
      <c r="UJN11" s="64"/>
      <c r="UJO11" s="64"/>
      <c r="UJP11" s="64"/>
      <c r="UJQ11" s="64"/>
      <c r="UJR11" s="64"/>
      <c r="UJS11" s="64"/>
      <c r="UJT11" s="64"/>
      <c r="UJU11" s="64"/>
      <c r="UJV11" s="64"/>
      <c r="UJW11" s="64"/>
      <c r="UJX11" s="64"/>
      <c r="UJY11" s="64"/>
      <c r="UJZ11" s="64"/>
      <c r="UKA11" s="64"/>
      <c r="UKB11" s="64"/>
      <c r="UKC11" s="64"/>
      <c r="UKD11" s="64"/>
      <c r="UKE11" s="64"/>
      <c r="UKF11" s="64"/>
      <c r="UKG11" s="64"/>
      <c r="UKH11" s="64"/>
      <c r="UKI11" s="64"/>
      <c r="UKJ11" s="64"/>
      <c r="UKK11" s="64"/>
      <c r="UKL11" s="64"/>
      <c r="UKM11" s="64"/>
      <c r="UKN11" s="64"/>
      <c r="UKO11" s="64"/>
      <c r="UKP11" s="64"/>
      <c r="UKQ11" s="64"/>
      <c r="UKR11" s="64"/>
      <c r="UKS11" s="64"/>
      <c r="UKT11" s="64"/>
      <c r="UKU11" s="64"/>
      <c r="UKV11" s="64"/>
      <c r="UKW11" s="64"/>
      <c r="UKX11" s="64"/>
      <c r="UKY11" s="64"/>
      <c r="UKZ11" s="64"/>
      <c r="ULA11" s="64"/>
      <c r="ULB11" s="64"/>
      <c r="ULC11" s="64"/>
      <c r="ULD11" s="64"/>
      <c r="ULE11" s="64"/>
      <c r="ULF11" s="64"/>
      <c r="ULG11" s="64"/>
      <c r="ULH11" s="64"/>
      <c r="ULI11" s="64"/>
      <c r="ULJ11" s="64"/>
      <c r="ULK11" s="64"/>
      <c r="ULL11" s="64"/>
      <c r="ULM11" s="64"/>
      <c r="ULN11" s="64"/>
      <c r="ULO11" s="64"/>
      <c r="ULP11" s="64"/>
      <c r="ULQ11" s="64"/>
      <c r="ULR11" s="64"/>
      <c r="ULS11" s="64"/>
      <c r="ULT11" s="64"/>
      <c r="ULU11" s="64"/>
      <c r="ULV11" s="64"/>
      <c r="ULW11" s="64"/>
      <c r="ULX11" s="64"/>
      <c r="ULY11" s="64"/>
      <c r="ULZ11" s="64"/>
      <c r="UMA11" s="64"/>
      <c r="UMB11" s="64"/>
      <c r="UMC11" s="64"/>
      <c r="UMD11" s="64"/>
      <c r="UME11" s="64"/>
      <c r="UMF11" s="64"/>
      <c r="UMG11" s="64"/>
      <c r="UMH11" s="64"/>
      <c r="UMI11" s="64"/>
      <c r="UMJ11" s="64"/>
      <c r="UMK11" s="64"/>
      <c r="UML11" s="64"/>
      <c r="UMM11" s="64"/>
      <c r="UMN11" s="64"/>
      <c r="UMO11" s="64"/>
      <c r="UMP11" s="64"/>
      <c r="UMQ11" s="64"/>
      <c r="UMR11" s="64"/>
      <c r="UMS11" s="64"/>
      <c r="UMT11" s="64"/>
      <c r="UMU11" s="64"/>
      <c r="UMV11" s="64"/>
      <c r="UMW11" s="64"/>
      <c r="UMX11" s="64"/>
      <c r="UMY11" s="64"/>
      <c r="UMZ11" s="64"/>
      <c r="UNA11" s="64"/>
      <c r="UNB11" s="64"/>
      <c r="UNC11" s="64"/>
      <c r="UND11" s="64"/>
      <c r="UNE11" s="64"/>
      <c r="UNF11" s="64"/>
      <c r="UNG11" s="64"/>
      <c r="UNH11" s="64"/>
      <c r="UNI11" s="64"/>
      <c r="UNJ11" s="64"/>
      <c r="UNK11" s="64"/>
      <c r="UNL11" s="64"/>
      <c r="UNM11" s="64"/>
      <c r="UNN11" s="64"/>
      <c r="UNO11" s="64"/>
      <c r="UNP11" s="64"/>
      <c r="UNQ11" s="64"/>
      <c r="UNR11" s="64"/>
      <c r="UNS11" s="64"/>
      <c r="UNT11" s="64"/>
      <c r="UNU11" s="64"/>
      <c r="UNV11" s="64"/>
      <c r="UNW11" s="64"/>
      <c r="UNX11" s="64"/>
      <c r="UNY11" s="64"/>
      <c r="UNZ11" s="64"/>
      <c r="UOA11" s="64"/>
      <c r="UOB11" s="64"/>
      <c r="UOC11" s="64"/>
      <c r="UOD11" s="64"/>
      <c r="UOE11" s="64"/>
      <c r="UOF11" s="64"/>
      <c r="UOG11" s="64"/>
      <c r="UOH11" s="64"/>
      <c r="UOI11" s="64"/>
      <c r="UOJ11" s="64"/>
      <c r="UOK11" s="64"/>
      <c r="UOL11" s="64"/>
      <c r="UOM11" s="64"/>
      <c r="UON11" s="64"/>
      <c r="UOO11" s="64"/>
      <c r="UOP11" s="64"/>
      <c r="UOQ11" s="64"/>
      <c r="UOR11" s="64"/>
      <c r="UOS11" s="64"/>
      <c r="UOT11" s="64"/>
      <c r="UOU11" s="64"/>
      <c r="UOV11" s="64"/>
      <c r="UOW11" s="64"/>
      <c r="UOX11" s="64"/>
      <c r="UOY11" s="64"/>
      <c r="UOZ11" s="64"/>
      <c r="UPA11" s="64"/>
      <c r="UPB11" s="64"/>
      <c r="UPC11" s="64"/>
      <c r="UPD11" s="64"/>
      <c r="UPE11" s="64"/>
      <c r="UPF11" s="64"/>
      <c r="UPG11" s="64"/>
      <c r="UPH11" s="64"/>
      <c r="UPI11" s="64"/>
      <c r="UPJ11" s="64"/>
      <c r="UPK11" s="64"/>
      <c r="UPL11" s="64"/>
      <c r="UPM11" s="64"/>
      <c r="UPN11" s="64"/>
      <c r="UPO11" s="64"/>
      <c r="UPP11" s="64"/>
      <c r="UPQ11" s="64"/>
      <c r="UPR11" s="64"/>
      <c r="UPS11" s="64"/>
      <c r="UPT11" s="64"/>
      <c r="UPU11" s="64"/>
      <c r="UPV11" s="64"/>
      <c r="UPW11" s="64"/>
      <c r="UPX11" s="64"/>
      <c r="UPY11" s="64"/>
      <c r="UPZ11" s="64"/>
      <c r="UQA11" s="64"/>
      <c r="UQB11" s="64"/>
      <c r="UQC11" s="64"/>
      <c r="UQD11" s="64"/>
      <c r="UQE11" s="64"/>
      <c r="UQF11" s="64"/>
      <c r="UQG11" s="64"/>
      <c r="UQH11" s="64"/>
      <c r="UQI11" s="64"/>
      <c r="UQJ11" s="64"/>
      <c r="UQK11" s="64"/>
      <c r="UQL11" s="64"/>
      <c r="UQM11" s="64"/>
      <c r="UQN11" s="64"/>
      <c r="UQO11" s="64"/>
      <c r="UQP11" s="64"/>
      <c r="UQQ11" s="64"/>
      <c r="UQR11" s="64"/>
      <c r="UQS11" s="64"/>
      <c r="UQT11" s="64"/>
      <c r="UQU11" s="64"/>
      <c r="UQV11" s="64"/>
      <c r="UQW11" s="64"/>
      <c r="UQX11" s="64"/>
      <c r="UQY11" s="64"/>
      <c r="UQZ11" s="64"/>
      <c r="URA11" s="64"/>
      <c r="URB11" s="64"/>
      <c r="URC11" s="64"/>
      <c r="URD11" s="64"/>
      <c r="URE11" s="64"/>
      <c r="URF11" s="64"/>
      <c r="URG11" s="64"/>
      <c r="URH11" s="64"/>
      <c r="URI11" s="64"/>
      <c r="URJ11" s="64"/>
      <c r="URK11" s="64"/>
      <c r="URL11" s="64"/>
      <c r="URM11" s="64"/>
      <c r="URN11" s="64"/>
      <c r="URO11" s="64"/>
      <c r="URP11" s="64"/>
      <c r="URQ11" s="64"/>
      <c r="URR11" s="64"/>
      <c r="URS11" s="64"/>
      <c r="URT11" s="64"/>
      <c r="URU11" s="64"/>
      <c r="URV11" s="64"/>
      <c r="URW11" s="64"/>
      <c r="URX11" s="64"/>
      <c r="URY11" s="64"/>
      <c r="URZ11" s="64"/>
      <c r="USA11" s="64"/>
      <c r="USB11" s="64"/>
      <c r="USC11" s="64"/>
      <c r="USD11" s="64"/>
      <c r="USE11" s="64"/>
      <c r="USF11" s="64"/>
      <c r="USG11" s="64"/>
      <c r="USH11" s="64"/>
      <c r="USI11" s="64"/>
      <c r="USJ11" s="64"/>
      <c r="USK11" s="64"/>
      <c r="USL11" s="64"/>
      <c r="USM11" s="64"/>
      <c r="USN11" s="64"/>
      <c r="USO11" s="64"/>
      <c r="USP11" s="64"/>
      <c r="USQ11" s="64"/>
      <c r="USR11" s="64"/>
      <c r="USS11" s="64"/>
      <c r="UST11" s="64"/>
      <c r="USU11" s="64"/>
      <c r="USV11" s="64"/>
      <c r="USW11" s="64"/>
      <c r="USX11" s="64"/>
      <c r="USY11" s="64"/>
      <c r="USZ11" s="64"/>
      <c r="UTA11" s="64"/>
      <c r="UTB11" s="64"/>
      <c r="UTC11" s="64"/>
      <c r="UTD11" s="64"/>
      <c r="UTE11" s="64"/>
      <c r="UTF11" s="64"/>
      <c r="UTG11" s="64"/>
      <c r="UTH11" s="64"/>
      <c r="UTI11" s="64"/>
      <c r="UTJ11" s="64"/>
      <c r="UTK11" s="64"/>
      <c r="UTL11" s="64"/>
      <c r="UTM11" s="64"/>
      <c r="UTN11" s="64"/>
      <c r="UTO11" s="64"/>
      <c r="UTP11" s="64"/>
      <c r="UTQ11" s="64"/>
      <c r="UTR11" s="64"/>
      <c r="UTS11" s="64"/>
      <c r="UTT11" s="64"/>
      <c r="UTU11" s="64"/>
      <c r="UTV11" s="64"/>
      <c r="UTW11" s="64"/>
      <c r="UTX11" s="64"/>
      <c r="UTY11" s="64"/>
      <c r="UTZ11" s="64"/>
      <c r="UUA11" s="64"/>
      <c r="UUB11" s="64"/>
      <c r="UUC11" s="64"/>
      <c r="UUD11" s="64"/>
      <c r="UUE11" s="64"/>
      <c r="UUF11" s="64"/>
      <c r="UUG11" s="64"/>
      <c r="UUH11" s="64"/>
      <c r="UUI11" s="64"/>
      <c r="UUJ11" s="64"/>
      <c r="UUK11" s="64"/>
      <c r="UUL11" s="64"/>
      <c r="UUM11" s="64"/>
      <c r="UUN11" s="64"/>
      <c r="UUO11" s="64"/>
      <c r="UUP11" s="64"/>
      <c r="UUQ11" s="64"/>
      <c r="UUR11" s="64"/>
      <c r="UUS11" s="64"/>
      <c r="UUT11" s="64"/>
      <c r="UUU11" s="64"/>
      <c r="UUV11" s="64"/>
      <c r="UUW11" s="64"/>
      <c r="UUX11" s="64"/>
      <c r="UUY11" s="64"/>
      <c r="UUZ11" s="64"/>
      <c r="UVA11" s="64"/>
      <c r="UVB11" s="64"/>
      <c r="UVC11" s="64"/>
      <c r="UVD11" s="64"/>
      <c r="UVE11" s="64"/>
      <c r="UVF11" s="64"/>
      <c r="UVG11" s="64"/>
      <c r="UVH11" s="64"/>
      <c r="UVI11" s="64"/>
      <c r="UVJ11" s="64"/>
      <c r="UVK11" s="64"/>
      <c r="UVL11" s="64"/>
      <c r="UVM11" s="64"/>
      <c r="UVN11" s="64"/>
      <c r="UVO11" s="64"/>
      <c r="UVP11" s="64"/>
      <c r="UVQ11" s="64"/>
      <c r="UVR11" s="64"/>
      <c r="UVS11" s="64"/>
      <c r="UVT11" s="64"/>
      <c r="UVU11" s="64"/>
      <c r="UVV11" s="64"/>
      <c r="UVW11" s="64"/>
      <c r="UVX11" s="64"/>
      <c r="UVY11" s="64"/>
      <c r="UVZ11" s="64"/>
      <c r="UWA11" s="64"/>
      <c r="UWB11" s="64"/>
      <c r="UWC11" s="64"/>
      <c r="UWD11" s="64"/>
      <c r="UWE11" s="64"/>
      <c r="UWF11" s="64"/>
      <c r="UWG11" s="64"/>
      <c r="UWH11" s="64"/>
      <c r="UWI11" s="64"/>
      <c r="UWJ11" s="64"/>
      <c r="UWK11" s="64"/>
      <c r="UWL11" s="64"/>
      <c r="UWM11" s="64"/>
      <c r="UWN11" s="64"/>
      <c r="UWO11" s="64"/>
      <c r="UWP11" s="64"/>
      <c r="UWQ11" s="64"/>
      <c r="UWR11" s="64"/>
      <c r="UWS11" s="64"/>
      <c r="UWT11" s="64"/>
      <c r="UWU11" s="64"/>
      <c r="UWV11" s="64"/>
      <c r="UWW11" s="64"/>
      <c r="UWX11" s="64"/>
      <c r="UWY11" s="64"/>
      <c r="UWZ11" s="64"/>
      <c r="UXA11" s="64"/>
      <c r="UXB11" s="64"/>
      <c r="UXC11" s="64"/>
      <c r="UXD11" s="64"/>
      <c r="UXE11" s="64"/>
      <c r="UXF11" s="64"/>
      <c r="UXG11" s="64"/>
      <c r="UXH11" s="64"/>
      <c r="UXI11" s="64"/>
      <c r="UXJ11" s="64"/>
      <c r="UXK11" s="64"/>
      <c r="UXL11" s="64"/>
      <c r="UXM11" s="64"/>
      <c r="UXN11" s="64"/>
      <c r="UXO11" s="64"/>
      <c r="UXP11" s="64"/>
      <c r="UXQ11" s="64"/>
      <c r="UXR11" s="64"/>
      <c r="UXS11" s="64"/>
      <c r="UXT11" s="64"/>
      <c r="UXU11" s="64"/>
      <c r="UXV11" s="64"/>
      <c r="UXW11" s="64"/>
      <c r="UXX11" s="64"/>
      <c r="UXY11" s="64"/>
      <c r="UXZ11" s="64"/>
      <c r="UYA11" s="64"/>
      <c r="UYB11" s="64"/>
      <c r="UYC11" s="64"/>
      <c r="UYD11" s="64"/>
      <c r="UYE11" s="64"/>
      <c r="UYF11" s="64"/>
      <c r="UYG11" s="64"/>
      <c r="UYH11" s="64"/>
      <c r="UYI11" s="64"/>
      <c r="UYJ11" s="64"/>
      <c r="UYK11" s="64"/>
      <c r="UYL11" s="64"/>
      <c r="UYM11" s="64"/>
      <c r="UYN11" s="64"/>
      <c r="UYO11" s="64"/>
      <c r="UYP11" s="64"/>
      <c r="UYQ11" s="64"/>
      <c r="UYR11" s="64"/>
      <c r="UYS11" s="64"/>
      <c r="UYT11" s="64"/>
      <c r="UYU11" s="64"/>
      <c r="UYV11" s="64"/>
      <c r="UYW11" s="64"/>
      <c r="UYX11" s="64"/>
      <c r="UYY11" s="64"/>
      <c r="UYZ11" s="64"/>
      <c r="UZA11" s="64"/>
      <c r="UZB11" s="64"/>
      <c r="UZC11" s="64"/>
      <c r="UZD11" s="64"/>
      <c r="UZE11" s="64"/>
      <c r="UZF11" s="64"/>
      <c r="UZG11" s="64"/>
      <c r="UZH11" s="64"/>
      <c r="UZI11" s="64"/>
      <c r="UZJ11" s="64"/>
      <c r="UZK11" s="64"/>
      <c r="UZL11" s="64"/>
      <c r="UZM11" s="64"/>
      <c r="UZN11" s="64"/>
      <c r="UZO11" s="64"/>
      <c r="UZP11" s="64"/>
      <c r="UZQ11" s="64"/>
      <c r="UZR11" s="64"/>
      <c r="UZS11" s="64"/>
      <c r="UZT11" s="64"/>
      <c r="UZU11" s="64"/>
      <c r="UZV11" s="64"/>
      <c r="UZW11" s="64"/>
      <c r="UZX11" s="64"/>
      <c r="UZY11" s="64"/>
      <c r="UZZ11" s="64"/>
      <c r="VAA11" s="64"/>
      <c r="VAB11" s="64"/>
      <c r="VAC11" s="64"/>
      <c r="VAD11" s="64"/>
      <c r="VAE11" s="64"/>
      <c r="VAF11" s="64"/>
      <c r="VAG11" s="64"/>
      <c r="VAH11" s="64"/>
      <c r="VAI11" s="64"/>
      <c r="VAJ11" s="64"/>
      <c r="VAK11" s="64"/>
      <c r="VAL11" s="64"/>
      <c r="VAM11" s="64"/>
      <c r="VAN11" s="64"/>
      <c r="VAO11" s="64"/>
      <c r="VAP11" s="64"/>
      <c r="VAQ11" s="64"/>
      <c r="VAR11" s="64"/>
      <c r="VAS11" s="64"/>
      <c r="VAT11" s="64"/>
      <c r="VAU11" s="64"/>
      <c r="VAV11" s="64"/>
      <c r="VAW11" s="64"/>
      <c r="VAX11" s="64"/>
      <c r="VAY11" s="64"/>
      <c r="VAZ11" s="64"/>
      <c r="VBA11" s="64"/>
      <c r="VBB11" s="64"/>
      <c r="VBC11" s="64"/>
      <c r="VBD11" s="64"/>
      <c r="VBE11" s="64"/>
      <c r="VBF11" s="64"/>
      <c r="VBG11" s="64"/>
      <c r="VBH11" s="64"/>
      <c r="VBI11" s="64"/>
      <c r="VBJ11" s="64"/>
      <c r="VBK11" s="64"/>
      <c r="VBL11" s="64"/>
      <c r="VBM11" s="64"/>
      <c r="VBN11" s="64"/>
      <c r="VBO11" s="64"/>
      <c r="VBP11" s="64"/>
      <c r="VBQ11" s="64"/>
      <c r="VBR11" s="64"/>
      <c r="VBS11" s="64"/>
      <c r="VBT11" s="64"/>
      <c r="VBU11" s="64"/>
      <c r="VBV11" s="64"/>
      <c r="VBW11" s="64"/>
      <c r="VBX11" s="64"/>
      <c r="VBY11" s="64"/>
      <c r="VBZ11" s="64"/>
      <c r="VCA11" s="64"/>
      <c r="VCB11" s="64"/>
      <c r="VCC11" s="64"/>
      <c r="VCD11" s="64"/>
      <c r="VCE11" s="64"/>
      <c r="VCF11" s="64"/>
      <c r="VCG11" s="64"/>
      <c r="VCH11" s="64"/>
      <c r="VCI11" s="64"/>
      <c r="VCJ11" s="64"/>
      <c r="VCK11" s="64"/>
      <c r="VCL11" s="64"/>
      <c r="VCM11" s="64"/>
      <c r="VCN11" s="64"/>
      <c r="VCO11" s="64"/>
      <c r="VCP11" s="64"/>
      <c r="VCQ11" s="64"/>
      <c r="VCR11" s="64"/>
      <c r="VCS11" s="64"/>
      <c r="VCT11" s="64"/>
      <c r="VCU11" s="64"/>
      <c r="VCV11" s="64"/>
      <c r="VCW11" s="64"/>
      <c r="VCX11" s="64"/>
      <c r="VCY11" s="64"/>
      <c r="VCZ11" s="64"/>
      <c r="VDA11" s="64"/>
      <c r="VDB11" s="64"/>
      <c r="VDC11" s="64"/>
      <c r="VDD11" s="64"/>
      <c r="VDE11" s="64"/>
      <c r="VDF11" s="64"/>
      <c r="VDG11" s="64"/>
      <c r="VDH11" s="64"/>
      <c r="VDI11" s="64"/>
      <c r="VDJ11" s="64"/>
      <c r="VDK11" s="64"/>
      <c r="VDL11" s="64"/>
      <c r="VDM11" s="64"/>
      <c r="VDN11" s="64"/>
      <c r="VDO11" s="64"/>
      <c r="VDP11" s="64"/>
      <c r="VDQ11" s="64"/>
      <c r="VDR11" s="64"/>
      <c r="VDS11" s="64"/>
      <c r="VDT11" s="64"/>
      <c r="VDU11" s="64"/>
      <c r="VDV11" s="64"/>
      <c r="VDW11" s="64"/>
      <c r="VDX11" s="64"/>
      <c r="VDY11" s="64"/>
      <c r="VDZ11" s="64"/>
      <c r="VEA11" s="64"/>
      <c r="VEB11" s="64"/>
      <c r="VEC11" s="64"/>
      <c r="VED11" s="64"/>
      <c r="VEE11" s="64"/>
      <c r="VEF11" s="64"/>
      <c r="VEG11" s="64"/>
      <c r="VEH11" s="64"/>
      <c r="VEI11" s="64"/>
      <c r="VEJ11" s="64"/>
      <c r="VEK11" s="64"/>
      <c r="VEL11" s="64"/>
      <c r="VEM11" s="64"/>
      <c r="VEN11" s="64"/>
      <c r="VEO11" s="64"/>
      <c r="VEP11" s="64"/>
      <c r="VEQ11" s="64"/>
      <c r="VER11" s="64"/>
      <c r="VES11" s="64"/>
      <c r="VET11" s="64"/>
      <c r="VEU11" s="64"/>
      <c r="VEV11" s="64"/>
      <c r="VEW11" s="64"/>
      <c r="VEX11" s="64"/>
      <c r="VEY11" s="64"/>
      <c r="VEZ11" s="64"/>
      <c r="VFA11" s="64"/>
      <c r="VFB11" s="64"/>
      <c r="VFC11" s="64"/>
      <c r="VFD11" s="64"/>
      <c r="VFE11" s="64"/>
      <c r="VFF11" s="64"/>
      <c r="VFG11" s="64"/>
      <c r="VFH11" s="64"/>
      <c r="VFI11" s="64"/>
      <c r="VFJ11" s="64"/>
      <c r="VFK11" s="64"/>
      <c r="VFL11" s="64"/>
      <c r="VFM11" s="64"/>
      <c r="VFN11" s="64"/>
      <c r="VFO11" s="64"/>
      <c r="VFP11" s="64"/>
      <c r="VFQ11" s="64"/>
      <c r="VFR11" s="64"/>
      <c r="VFS11" s="64"/>
      <c r="VFT11" s="64"/>
      <c r="VFU11" s="64"/>
      <c r="VFV11" s="64"/>
      <c r="VFW11" s="64"/>
      <c r="VFX11" s="64"/>
      <c r="VFY11" s="64"/>
      <c r="VFZ11" s="64"/>
      <c r="VGA11" s="64"/>
      <c r="VGB11" s="64"/>
      <c r="VGC11" s="64"/>
      <c r="VGD11" s="64"/>
      <c r="VGE11" s="64"/>
      <c r="VGF11" s="64"/>
      <c r="VGG11" s="64"/>
      <c r="VGH11" s="64"/>
      <c r="VGI11" s="64"/>
      <c r="VGJ11" s="64"/>
      <c r="VGK11" s="64"/>
      <c r="VGL11" s="64"/>
      <c r="VGM11" s="64"/>
      <c r="VGN11" s="64"/>
      <c r="VGO11" s="64"/>
      <c r="VGP11" s="64"/>
      <c r="VGQ11" s="64"/>
      <c r="VGR11" s="64"/>
      <c r="VGS11" s="64"/>
      <c r="VGT11" s="64"/>
      <c r="VGU11" s="64"/>
      <c r="VGV11" s="64"/>
      <c r="VGW11" s="64"/>
      <c r="VGX11" s="64"/>
      <c r="VGY11" s="64"/>
      <c r="VGZ11" s="64"/>
      <c r="VHA11" s="64"/>
      <c r="VHB11" s="64"/>
      <c r="VHC11" s="64"/>
      <c r="VHD11" s="64"/>
      <c r="VHE11" s="64"/>
      <c r="VHF11" s="64"/>
      <c r="VHG11" s="64"/>
      <c r="VHH11" s="64"/>
      <c r="VHI11" s="64"/>
      <c r="VHJ11" s="64"/>
      <c r="VHK11" s="64"/>
      <c r="VHL11" s="64"/>
      <c r="VHM11" s="64"/>
      <c r="VHN11" s="64"/>
      <c r="VHO11" s="64"/>
      <c r="VHP11" s="64"/>
      <c r="VHQ11" s="64"/>
      <c r="VHR11" s="64"/>
      <c r="VHS11" s="64"/>
      <c r="VHT11" s="64"/>
      <c r="VHU11" s="64"/>
      <c r="VHV11" s="64"/>
      <c r="VHW11" s="64"/>
      <c r="VHX11" s="64"/>
      <c r="VHY11" s="64"/>
      <c r="VHZ11" s="64"/>
      <c r="VIA11" s="64"/>
      <c r="VIB11" s="64"/>
      <c r="VIC11" s="64"/>
      <c r="VID11" s="64"/>
      <c r="VIE11" s="64"/>
      <c r="VIF11" s="64"/>
      <c r="VIG11" s="64"/>
      <c r="VIH11" s="64"/>
      <c r="VII11" s="64"/>
      <c r="VIJ11" s="64"/>
      <c r="VIK11" s="64"/>
      <c r="VIL11" s="64"/>
      <c r="VIM11" s="64"/>
      <c r="VIN11" s="64"/>
      <c r="VIO11" s="64"/>
      <c r="VIP11" s="64"/>
      <c r="VIQ11" s="64"/>
      <c r="VIR11" s="64"/>
      <c r="VIS11" s="64"/>
      <c r="VIT11" s="64"/>
      <c r="VIU11" s="64"/>
      <c r="VIV11" s="64"/>
      <c r="VIW11" s="64"/>
      <c r="VIX11" s="64"/>
      <c r="VIY11" s="64"/>
      <c r="VIZ11" s="64"/>
      <c r="VJA11" s="64"/>
      <c r="VJB11" s="64"/>
      <c r="VJC11" s="64"/>
      <c r="VJD11" s="64"/>
      <c r="VJE11" s="64"/>
      <c r="VJF11" s="64"/>
      <c r="VJG11" s="64"/>
      <c r="VJH11" s="64"/>
      <c r="VJI11" s="64"/>
      <c r="VJJ11" s="64"/>
      <c r="VJK11" s="64"/>
      <c r="VJL11" s="64"/>
      <c r="VJM11" s="64"/>
      <c r="VJN11" s="64"/>
      <c r="VJO11" s="64"/>
      <c r="VJP11" s="64"/>
      <c r="VJQ11" s="64"/>
      <c r="VJR11" s="64"/>
      <c r="VJS11" s="64"/>
      <c r="VJT11" s="64"/>
      <c r="VJU11" s="64"/>
      <c r="VJV11" s="64"/>
      <c r="VJW11" s="64"/>
      <c r="VJX11" s="64"/>
      <c r="VJY11" s="64"/>
      <c r="VJZ11" s="64"/>
      <c r="VKA11" s="64"/>
      <c r="VKB11" s="64"/>
      <c r="VKC11" s="64"/>
      <c r="VKD11" s="64"/>
      <c r="VKE11" s="64"/>
      <c r="VKF11" s="64"/>
      <c r="VKG11" s="64"/>
      <c r="VKH11" s="64"/>
      <c r="VKI11" s="64"/>
      <c r="VKJ11" s="64"/>
      <c r="VKK11" s="64"/>
      <c r="VKL11" s="64"/>
      <c r="VKM11" s="64"/>
      <c r="VKN11" s="64"/>
      <c r="VKO11" s="64"/>
      <c r="VKP11" s="64"/>
      <c r="VKQ11" s="64"/>
      <c r="VKR11" s="64"/>
      <c r="VKS11" s="64"/>
      <c r="VKT11" s="64"/>
      <c r="VKU11" s="64"/>
      <c r="VKV11" s="64"/>
      <c r="VKW11" s="64"/>
      <c r="VKX11" s="64"/>
      <c r="VKY11" s="64"/>
      <c r="VKZ11" s="64"/>
      <c r="VLA11" s="64"/>
      <c r="VLB11" s="64"/>
      <c r="VLC11" s="64"/>
      <c r="VLD11" s="64"/>
      <c r="VLE11" s="64"/>
      <c r="VLF11" s="64"/>
      <c r="VLG11" s="64"/>
      <c r="VLH11" s="64"/>
      <c r="VLI11" s="64"/>
      <c r="VLJ11" s="64"/>
      <c r="VLK11" s="64"/>
      <c r="VLL11" s="64"/>
      <c r="VLM11" s="64"/>
      <c r="VLN11" s="64"/>
      <c r="VLO11" s="64"/>
      <c r="VLP11" s="64"/>
      <c r="VLQ11" s="64"/>
      <c r="VLR11" s="64"/>
      <c r="VLS11" s="64"/>
      <c r="VLT11" s="64"/>
      <c r="VLU11" s="64"/>
      <c r="VLV11" s="64"/>
      <c r="VLW11" s="64"/>
      <c r="VLX11" s="64"/>
      <c r="VLY11" s="64"/>
      <c r="VLZ11" s="64"/>
      <c r="VMA11" s="64"/>
      <c r="VMB11" s="64"/>
      <c r="VMC11" s="64"/>
      <c r="VMD11" s="64"/>
      <c r="VME11" s="64"/>
      <c r="VMF11" s="64"/>
      <c r="VMG11" s="64"/>
      <c r="VMH11" s="64"/>
      <c r="VMI11" s="64"/>
      <c r="VMJ11" s="64"/>
      <c r="VMK11" s="64"/>
      <c r="VML11" s="64"/>
      <c r="VMM11" s="64"/>
      <c r="VMN11" s="64"/>
      <c r="VMO11" s="64"/>
      <c r="VMP11" s="64"/>
      <c r="VMQ11" s="64"/>
      <c r="VMR11" s="64"/>
      <c r="VMS11" s="64"/>
      <c r="VMT11" s="64"/>
      <c r="VMU11" s="64"/>
      <c r="VMV11" s="64"/>
      <c r="VMW11" s="64"/>
      <c r="VMX11" s="64"/>
      <c r="VMY11" s="64"/>
      <c r="VMZ11" s="64"/>
      <c r="VNA11" s="64"/>
      <c r="VNB11" s="64"/>
      <c r="VNC11" s="64"/>
      <c r="VND11" s="64"/>
      <c r="VNE11" s="64"/>
      <c r="VNF11" s="64"/>
      <c r="VNG11" s="64"/>
      <c r="VNH11" s="64"/>
      <c r="VNI11" s="64"/>
      <c r="VNJ11" s="64"/>
      <c r="VNK11" s="64"/>
      <c r="VNL11" s="64"/>
      <c r="VNM11" s="64"/>
      <c r="VNN11" s="64"/>
      <c r="VNO11" s="64"/>
      <c r="VNP11" s="64"/>
      <c r="VNQ11" s="64"/>
      <c r="VNR11" s="64"/>
      <c r="VNS11" s="64"/>
      <c r="VNT11" s="64"/>
      <c r="VNU11" s="64"/>
      <c r="VNV11" s="64"/>
      <c r="VNW11" s="64"/>
      <c r="VNX11" s="64"/>
      <c r="VNY11" s="64"/>
      <c r="VNZ11" s="64"/>
      <c r="VOA11" s="64"/>
      <c r="VOB11" s="64"/>
      <c r="VOC11" s="64"/>
      <c r="VOD11" s="64"/>
      <c r="VOE11" s="64"/>
      <c r="VOF11" s="64"/>
      <c r="VOG11" s="64"/>
      <c r="VOH11" s="64"/>
      <c r="VOI11" s="64"/>
      <c r="VOJ11" s="64"/>
      <c r="VOK11" s="64"/>
      <c r="VOL11" s="64"/>
      <c r="VOM11" s="64"/>
      <c r="VON11" s="64"/>
      <c r="VOO11" s="64"/>
      <c r="VOP11" s="64"/>
      <c r="VOQ11" s="64"/>
      <c r="VOR11" s="64"/>
      <c r="VOS11" s="64"/>
      <c r="VOT11" s="64"/>
      <c r="VOU11" s="64"/>
      <c r="VOV11" s="64"/>
      <c r="VOW11" s="64"/>
      <c r="VOX11" s="64"/>
      <c r="VOY11" s="64"/>
      <c r="VOZ11" s="64"/>
      <c r="VPA11" s="64"/>
      <c r="VPB11" s="64"/>
      <c r="VPC11" s="64"/>
      <c r="VPD11" s="64"/>
      <c r="VPE11" s="64"/>
      <c r="VPF11" s="64"/>
      <c r="VPG11" s="64"/>
      <c r="VPH11" s="64"/>
      <c r="VPI11" s="64"/>
      <c r="VPJ11" s="64"/>
      <c r="VPK11" s="64"/>
      <c r="VPL11" s="64"/>
      <c r="VPM11" s="64"/>
      <c r="VPN11" s="64"/>
      <c r="VPO11" s="64"/>
      <c r="VPP11" s="64"/>
      <c r="VPQ11" s="64"/>
      <c r="VPR11" s="64"/>
      <c r="VPS11" s="64"/>
      <c r="VPT11" s="64"/>
      <c r="VPU11" s="64"/>
      <c r="VPV11" s="64"/>
      <c r="VPW11" s="64"/>
      <c r="VPX11" s="64"/>
      <c r="VPY11" s="64"/>
      <c r="VPZ11" s="64"/>
      <c r="VQA11" s="64"/>
      <c r="VQB11" s="64"/>
      <c r="VQC11" s="64"/>
      <c r="VQD11" s="64"/>
      <c r="VQE11" s="64"/>
      <c r="VQF11" s="64"/>
      <c r="VQG11" s="64"/>
      <c r="VQH11" s="64"/>
      <c r="VQI11" s="64"/>
      <c r="VQJ11" s="64"/>
      <c r="VQK11" s="64"/>
      <c r="VQL11" s="64"/>
      <c r="VQM11" s="64"/>
      <c r="VQN11" s="64"/>
      <c r="VQO11" s="64"/>
      <c r="VQP11" s="64"/>
      <c r="VQQ11" s="64"/>
      <c r="VQR11" s="64"/>
      <c r="VQS11" s="64"/>
      <c r="VQT11" s="64"/>
      <c r="VQU11" s="64"/>
      <c r="VQV11" s="64"/>
      <c r="VQW11" s="64"/>
      <c r="VQX11" s="64"/>
      <c r="VQY11" s="64"/>
      <c r="VQZ11" s="64"/>
      <c r="VRA11" s="64"/>
      <c r="VRB11" s="64"/>
      <c r="VRC11" s="64"/>
      <c r="VRD11" s="64"/>
      <c r="VRE11" s="64"/>
      <c r="VRF11" s="64"/>
      <c r="VRG11" s="64"/>
      <c r="VRH11" s="64"/>
      <c r="VRI11" s="64"/>
      <c r="VRJ11" s="64"/>
      <c r="VRK11" s="64"/>
      <c r="VRL11" s="64"/>
      <c r="VRM11" s="64"/>
      <c r="VRN11" s="64"/>
      <c r="VRO11" s="64"/>
      <c r="VRP11" s="64"/>
      <c r="VRQ11" s="64"/>
      <c r="VRR11" s="64"/>
      <c r="VRS11" s="64"/>
      <c r="VRT11" s="64"/>
      <c r="VRU11" s="64"/>
      <c r="VRV11" s="64"/>
      <c r="VRW11" s="64"/>
      <c r="VRX11" s="64"/>
      <c r="VRY11" s="64"/>
      <c r="VRZ11" s="64"/>
      <c r="VSA11" s="64"/>
      <c r="VSB11" s="64"/>
      <c r="VSC11" s="64"/>
      <c r="VSD11" s="64"/>
      <c r="VSE11" s="64"/>
      <c r="VSF11" s="64"/>
      <c r="VSG11" s="64"/>
      <c r="VSH11" s="64"/>
      <c r="VSI11" s="64"/>
      <c r="VSJ11" s="64"/>
      <c r="VSK11" s="64"/>
      <c r="VSL11" s="64"/>
      <c r="VSM11" s="64"/>
      <c r="VSN11" s="64"/>
      <c r="VSO11" s="64"/>
      <c r="VSP11" s="64"/>
      <c r="VSQ11" s="64"/>
      <c r="VSR11" s="64"/>
      <c r="VSS11" s="64"/>
      <c r="VST11" s="64"/>
      <c r="VSU11" s="64"/>
      <c r="VSV11" s="64"/>
      <c r="VSW11" s="64"/>
      <c r="VSX11" s="64"/>
      <c r="VSY11" s="64"/>
      <c r="VSZ11" s="64"/>
      <c r="VTA11" s="64"/>
      <c r="VTB11" s="64"/>
      <c r="VTC11" s="64"/>
      <c r="VTD11" s="64"/>
      <c r="VTE11" s="64"/>
      <c r="VTF11" s="64"/>
      <c r="VTG11" s="64"/>
      <c r="VTH11" s="64"/>
      <c r="VTI11" s="64"/>
      <c r="VTJ11" s="64"/>
      <c r="VTK11" s="64"/>
      <c r="VTL11" s="64"/>
      <c r="VTM11" s="64"/>
      <c r="VTN11" s="64"/>
      <c r="VTO11" s="64"/>
      <c r="VTP11" s="64"/>
      <c r="VTQ11" s="64"/>
      <c r="VTR11" s="64"/>
      <c r="VTS11" s="64"/>
      <c r="VTT11" s="64"/>
      <c r="VTU11" s="64"/>
      <c r="VTV11" s="64"/>
      <c r="VTW11" s="64"/>
      <c r="VTX11" s="64"/>
      <c r="VTY11" s="64"/>
      <c r="VTZ11" s="64"/>
      <c r="VUA11" s="64"/>
      <c r="VUB11" s="64"/>
      <c r="VUC11" s="64"/>
      <c r="VUD11" s="64"/>
      <c r="VUE11" s="64"/>
      <c r="VUF11" s="64"/>
      <c r="VUG11" s="64"/>
      <c r="VUH11" s="64"/>
      <c r="VUI11" s="64"/>
      <c r="VUJ11" s="64"/>
      <c r="VUK11" s="64"/>
      <c r="VUL11" s="64"/>
      <c r="VUM11" s="64"/>
      <c r="VUN11" s="64"/>
      <c r="VUO11" s="64"/>
      <c r="VUP11" s="64"/>
      <c r="VUQ11" s="64"/>
      <c r="VUR11" s="64"/>
      <c r="VUS11" s="64"/>
      <c r="VUT11" s="64"/>
      <c r="VUU11" s="64"/>
      <c r="VUV11" s="64"/>
      <c r="VUW11" s="64"/>
      <c r="VUX11" s="64"/>
      <c r="VUY11" s="64"/>
      <c r="VUZ11" s="64"/>
      <c r="VVA11" s="64"/>
      <c r="VVB11" s="64"/>
      <c r="VVC11" s="64"/>
      <c r="VVD11" s="64"/>
      <c r="VVE11" s="64"/>
      <c r="VVF11" s="64"/>
      <c r="VVG11" s="64"/>
      <c r="VVH11" s="64"/>
      <c r="VVI11" s="64"/>
      <c r="VVJ11" s="64"/>
      <c r="VVK11" s="64"/>
      <c r="VVL11" s="64"/>
      <c r="VVM11" s="64"/>
      <c r="VVN11" s="64"/>
      <c r="VVO11" s="64"/>
      <c r="VVP11" s="64"/>
      <c r="VVQ11" s="64"/>
      <c r="VVR11" s="64"/>
      <c r="VVS11" s="64"/>
      <c r="VVT11" s="64"/>
      <c r="VVU11" s="64"/>
      <c r="VVV11" s="64"/>
      <c r="VVW11" s="64"/>
      <c r="VVX11" s="64"/>
      <c r="VVY11" s="64"/>
      <c r="VVZ11" s="64"/>
      <c r="VWA11" s="64"/>
      <c r="VWB11" s="64"/>
      <c r="VWC11" s="64"/>
      <c r="VWD11" s="64"/>
      <c r="VWE11" s="64"/>
      <c r="VWF11" s="64"/>
      <c r="VWG11" s="64"/>
      <c r="VWH11" s="64"/>
      <c r="VWI11" s="64"/>
      <c r="VWJ11" s="64"/>
      <c r="VWK11" s="64"/>
      <c r="VWL11" s="64"/>
      <c r="VWM11" s="64"/>
      <c r="VWN11" s="64"/>
      <c r="VWO11" s="64"/>
      <c r="VWP11" s="64"/>
      <c r="VWQ11" s="64"/>
      <c r="VWR11" s="64"/>
      <c r="VWS11" s="64"/>
      <c r="VWT11" s="64"/>
      <c r="VWU11" s="64"/>
      <c r="VWV11" s="64"/>
      <c r="VWW11" s="64"/>
      <c r="VWX11" s="64"/>
      <c r="VWY11" s="64"/>
      <c r="VWZ11" s="64"/>
      <c r="VXA11" s="64"/>
      <c r="VXB11" s="64"/>
      <c r="VXC11" s="64"/>
      <c r="VXD11" s="64"/>
      <c r="VXE11" s="64"/>
      <c r="VXF11" s="64"/>
      <c r="VXG11" s="64"/>
      <c r="VXH11" s="64"/>
      <c r="VXI11" s="64"/>
      <c r="VXJ11" s="64"/>
      <c r="VXK11" s="64"/>
      <c r="VXL11" s="64"/>
      <c r="VXM11" s="64"/>
      <c r="VXN11" s="64"/>
      <c r="VXO11" s="64"/>
      <c r="VXP11" s="64"/>
      <c r="VXQ11" s="64"/>
      <c r="VXR11" s="64"/>
      <c r="VXS11" s="64"/>
      <c r="VXT11" s="64"/>
      <c r="VXU11" s="64"/>
      <c r="VXV11" s="64"/>
      <c r="VXW11" s="64"/>
      <c r="VXX11" s="64"/>
      <c r="VXY11" s="64"/>
      <c r="VXZ11" s="64"/>
      <c r="VYA11" s="64"/>
      <c r="VYB11" s="64"/>
      <c r="VYC11" s="64"/>
      <c r="VYD11" s="64"/>
      <c r="VYE11" s="64"/>
      <c r="VYF11" s="64"/>
      <c r="VYG11" s="64"/>
      <c r="VYH11" s="64"/>
      <c r="VYI11" s="64"/>
      <c r="VYJ11" s="64"/>
      <c r="VYK11" s="64"/>
      <c r="VYL11" s="64"/>
      <c r="VYM11" s="64"/>
      <c r="VYN11" s="64"/>
      <c r="VYO11" s="64"/>
      <c r="VYP11" s="64"/>
      <c r="VYQ11" s="64"/>
      <c r="VYR11" s="64"/>
      <c r="VYS11" s="64"/>
      <c r="VYT11" s="64"/>
      <c r="VYU11" s="64"/>
      <c r="VYV11" s="64"/>
      <c r="VYW11" s="64"/>
      <c r="VYX11" s="64"/>
      <c r="VYY11" s="64"/>
      <c r="VYZ11" s="64"/>
      <c r="VZA11" s="64"/>
      <c r="VZB11" s="64"/>
      <c r="VZC11" s="64"/>
      <c r="VZD11" s="64"/>
      <c r="VZE11" s="64"/>
      <c r="VZF11" s="64"/>
      <c r="VZG11" s="64"/>
      <c r="VZH11" s="64"/>
      <c r="VZI11" s="64"/>
      <c r="VZJ11" s="64"/>
      <c r="VZK11" s="64"/>
      <c r="VZL11" s="64"/>
      <c r="VZM11" s="64"/>
      <c r="VZN11" s="64"/>
      <c r="VZO11" s="64"/>
      <c r="VZP11" s="64"/>
      <c r="VZQ11" s="64"/>
      <c r="VZR11" s="64"/>
      <c r="VZS11" s="64"/>
      <c r="VZT11" s="64"/>
      <c r="VZU11" s="64"/>
      <c r="VZV11" s="64"/>
      <c r="VZW11" s="64"/>
      <c r="VZX11" s="64"/>
      <c r="VZY11" s="64"/>
      <c r="VZZ11" s="64"/>
      <c r="WAA11" s="64"/>
      <c r="WAB11" s="64"/>
      <c r="WAC11" s="64"/>
      <c r="WAD11" s="64"/>
      <c r="WAE11" s="64"/>
      <c r="WAF11" s="64"/>
      <c r="WAG11" s="64"/>
      <c r="WAH11" s="64"/>
      <c r="WAI11" s="64"/>
      <c r="WAJ11" s="64"/>
      <c r="WAK11" s="64"/>
      <c r="WAL11" s="64"/>
      <c r="WAM11" s="64"/>
      <c r="WAN11" s="64"/>
      <c r="WAO11" s="64"/>
      <c r="WAP11" s="64"/>
      <c r="WAQ11" s="64"/>
      <c r="WAR11" s="64"/>
      <c r="WAS11" s="64"/>
      <c r="WAT11" s="64"/>
      <c r="WAU11" s="64"/>
      <c r="WAV11" s="64"/>
      <c r="WAW11" s="64"/>
      <c r="WAX11" s="64"/>
      <c r="WAY11" s="64"/>
      <c r="WAZ11" s="64"/>
      <c r="WBA11" s="64"/>
      <c r="WBB11" s="64"/>
      <c r="WBC11" s="64"/>
      <c r="WBD11" s="64"/>
      <c r="WBE11" s="64"/>
      <c r="WBF11" s="64"/>
      <c r="WBG11" s="64"/>
      <c r="WBH11" s="64"/>
      <c r="WBI11" s="64"/>
      <c r="WBJ11" s="64"/>
      <c r="WBK11" s="64"/>
      <c r="WBL11" s="64"/>
      <c r="WBM11" s="64"/>
      <c r="WBN11" s="64"/>
      <c r="WBO11" s="64"/>
      <c r="WBP11" s="64"/>
      <c r="WBQ11" s="64"/>
      <c r="WBR11" s="64"/>
      <c r="WBS11" s="64"/>
      <c r="WBT11" s="64"/>
      <c r="WBU11" s="64"/>
      <c r="WBV11" s="64"/>
      <c r="WBW11" s="64"/>
      <c r="WBX11" s="64"/>
      <c r="WBY11" s="64"/>
      <c r="WBZ11" s="64"/>
      <c r="WCA11" s="64"/>
      <c r="WCB11" s="64"/>
      <c r="WCC11" s="64"/>
      <c r="WCD11" s="64"/>
      <c r="WCE11" s="64"/>
      <c r="WCF11" s="64"/>
      <c r="WCG11" s="64"/>
      <c r="WCH11" s="64"/>
      <c r="WCI11" s="64"/>
      <c r="WCJ11" s="64"/>
      <c r="WCK11" s="64"/>
      <c r="WCL11" s="64"/>
      <c r="WCM11" s="64"/>
      <c r="WCN11" s="64"/>
      <c r="WCO11" s="64"/>
      <c r="WCP11" s="64"/>
      <c r="WCQ11" s="64"/>
      <c r="WCR11" s="64"/>
      <c r="WCS11" s="64"/>
      <c r="WCT11" s="64"/>
      <c r="WCU11" s="64"/>
      <c r="WCV11" s="64"/>
      <c r="WCW11" s="64"/>
      <c r="WCX11" s="64"/>
      <c r="WCY11" s="64"/>
      <c r="WCZ11" s="64"/>
      <c r="WDA11" s="64"/>
      <c r="WDB11" s="64"/>
      <c r="WDC11" s="64"/>
      <c r="WDD11" s="64"/>
      <c r="WDE11" s="64"/>
      <c r="WDF11" s="64"/>
      <c r="WDG11" s="64"/>
      <c r="WDH11" s="64"/>
      <c r="WDI11" s="64"/>
      <c r="WDJ11" s="64"/>
      <c r="WDK11" s="64"/>
      <c r="WDL11" s="64"/>
      <c r="WDM11" s="64"/>
      <c r="WDN11" s="64"/>
      <c r="WDO11" s="64"/>
      <c r="WDP11" s="64"/>
      <c r="WDQ11" s="64"/>
      <c r="WDR11" s="64"/>
      <c r="WDS11" s="64"/>
      <c r="WDT11" s="64"/>
      <c r="WDU11" s="64"/>
      <c r="WDV11" s="64"/>
      <c r="WDW11" s="64"/>
      <c r="WDX11" s="64"/>
      <c r="WDY11" s="64"/>
      <c r="WDZ11" s="64"/>
      <c r="WEA11" s="64"/>
      <c r="WEB11" s="64"/>
      <c r="WEC11" s="64"/>
      <c r="WED11" s="64"/>
      <c r="WEE11" s="64"/>
      <c r="WEF11" s="64"/>
      <c r="WEG11" s="64"/>
      <c r="WEH11" s="64"/>
      <c r="WEI11" s="64"/>
      <c r="WEJ11" s="64"/>
      <c r="WEK11" s="64"/>
      <c r="WEL11" s="64"/>
      <c r="WEM11" s="64"/>
      <c r="WEN11" s="64"/>
      <c r="WEO11" s="64"/>
      <c r="WEP11" s="64"/>
      <c r="WEQ11" s="64"/>
      <c r="WER11" s="64"/>
      <c r="WES11" s="64"/>
      <c r="WET11" s="64"/>
      <c r="WEU11" s="64"/>
      <c r="WEV11" s="64"/>
      <c r="WEW11" s="64"/>
      <c r="WEX11" s="64"/>
      <c r="WEY11" s="64"/>
      <c r="WEZ11" s="64"/>
      <c r="WFA11" s="64"/>
      <c r="WFB11" s="64"/>
      <c r="WFC11" s="64"/>
      <c r="WFD11" s="64"/>
      <c r="WFE11" s="64"/>
      <c r="WFF11" s="64"/>
      <c r="WFG11" s="64"/>
      <c r="WFH11" s="64"/>
      <c r="WFI11" s="64"/>
      <c r="WFJ11" s="64"/>
      <c r="WFK11" s="64"/>
      <c r="WFL11" s="64"/>
      <c r="WFM11" s="64"/>
      <c r="WFN11" s="64"/>
      <c r="WFO11" s="64"/>
      <c r="WFP11" s="64"/>
      <c r="WFQ11" s="64"/>
      <c r="WFR11" s="64"/>
      <c r="WFS11" s="64"/>
      <c r="WFT11" s="64"/>
      <c r="WFU11" s="64"/>
      <c r="WFV11" s="64"/>
      <c r="WFW11" s="64"/>
      <c r="WFX11" s="64"/>
      <c r="WFY11" s="64"/>
      <c r="WFZ11" s="64"/>
      <c r="WGA11" s="64"/>
      <c r="WGB11" s="64"/>
      <c r="WGC11" s="64"/>
      <c r="WGD11" s="64"/>
      <c r="WGE11" s="64"/>
      <c r="WGF11" s="64"/>
      <c r="WGG11" s="64"/>
      <c r="WGH11" s="64"/>
      <c r="WGI11" s="64"/>
      <c r="WGJ11" s="64"/>
      <c r="WGK11" s="64"/>
      <c r="WGL11" s="64"/>
      <c r="WGM11" s="64"/>
      <c r="WGN11" s="64"/>
      <c r="WGO11" s="64"/>
      <c r="WGP11" s="64"/>
      <c r="WGQ11" s="64"/>
      <c r="WGR11" s="64"/>
      <c r="WGS11" s="64"/>
      <c r="WGT11" s="64"/>
      <c r="WGU11" s="64"/>
      <c r="WGV11" s="64"/>
      <c r="WGW11" s="64"/>
      <c r="WGX11" s="64"/>
      <c r="WGY11" s="64"/>
      <c r="WGZ11" s="64"/>
      <c r="WHA11" s="64"/>
      <c r="WHB11" s="64"/>
      <c r="WHC11" s="64"/>
      <c r="WHD11" s="64"/>
      <c r="WHE11" s="64"/>
      <c r="WHF11" s="64"/>
      <c r="WHG11" s="64"/>
      <c r="WHH11" s="64"/>
      <c r="WHI11" s="64"/>
      <c r="WHJ11" s="64"/>
      <c r="WHK11" s="64"/>
      <c r="WHL11" s="64"/>
      <c r="WHM11" s="64"/>
      <c r="WHN11" s="64"/>
      <c r="WHO11" s="64"/>
      <c r="WHP11" s="64"/>
      <c r="WHQ11" s="64"/>
      <c r="WHR11" s="64"/>
      <c r="WHS11" s="64"/>
      <c r="WHT11" s="64"/>
      <c r="WHU11" s="64"/>
      <c r="WHV11" s="64"/>
      <c r="WHW11" s="64"/>
      <c r="WHX11" s="64"/>
      <c r="WHY11" s="64"/>
      <c r="WHZ11" s="64"/>
      <c r="WIA11" s="64"/>
      <c r="WIB11" s="64"/>
      <c r="WIC11" s="64"/>
      <c r="WID11" s="64"/>
      <c r="WIE11" s="64"/>
      <c r="WIF11" s="64"/>
      <c r="WIG11" s="64"/>
      <c r="WIH11" s="64"/>
      <c r="WII11" s="64"/>
      <c r="WIJ11" s="64"/>
      <c r="WIK11" s="64"/>
      <c r="WIL11" s="64"/>
      <c r="WIM11" s="64"/>
      <c r="WIN11" s="64"/>
      <c r="WIO11" s="64"/>
      <c r="WIP11" s="64"/>
      <c r="WIQ11" s="64"/>
      <c r="WIR11" s="64"/>
      <c r="WIS11" s="64"/>
      <c r="WIT11" s="64"/>
      <c r="WIU11" s="64"/>
      <c r="WIV11" s="64"/>
      <c r="WIW11" s="64"/>
      <c r="WIX11" s="64"/>
      <c r="WIY11" s="64"/>
      <c r="WIZ11" s="64"/>
      <c r="WJA11" s="64"/>
      <c r="WJB11" s="64"/>
      <c r="WJC11" s="64"/>
      <c r="WJD11" s="64"/>
      <c r="WJE11" s="64"/>
      <c r="WJF11" s="64"/>
      <c r="WJG11" s="64"/>
      <c r="WJH11" s="64"/>
      <c r="WJI11" s="64"/>
      <c r="WJJ11" s="64"/>
      <c r="WJK11" s="64"/>
      <c r="WJL11" s="64"/>
      <c r="WJM11" s="64"/>
      <c r="WJN11" s="64"/>
      <c r="WJO11" s="64"/>
      <c r="WJP11" s="64"/>
      <c r="WJQ11" s="64"/>
      <c r="WJR11" s="64"/>
      <c r="WJS11" s="64"/>
      <c r="WJT11" s="64"/>
      <c r="WJU11" s="64"/>
      <c r="WJV11" s="64"/>
      <c r="WJW11" s="64"/>
      <c r="WJX11" s="64"/>
      <c r="WJY11" s="64"/>
      <c r="WJZ11" s="64"/>
      <c r="WKA11" s="64"/>
      <c r="WKB11" s="64"/>
      <c r="WKC11" s="64"/>
      <c r="WKD11" s="64"/>
      <c r="WKE11" s="64"/>
      <c r="WKF11" s="64"/>
      <c r="WKG11" s="64"/>
      <c r="WKH11" s="64"/>
      <c r="WKI11" s="64"/>
      <c r="WKJ11" s="64"/>
      <c r="WKK11" s="64"/>
      <c r="WKL11" s="64"/>
      <c r="WKM11" s="64"/>
      <c r="WKN11" s="64"/>
      <c r="WKO11" s="64"/>
      <c r="WKP11" s="64"/>
      <c r="WKQ11" s="64"/>
      <c r="WKR11" s="64"/>
      <c r="WKS11" s="64"/>
      <c r="WKT11" s="64"/>
      <c r="WKU11" s="64"/>
      <c r="WKV11" s="64"/>
      <c r="WKW11" s="64"/>
      <c r="WKX11" s="64"/>
      <c r="WKY11" s="64"/>
      <c r="WKZ11" s="64"/>
      <c r="WLA11" s="64"/>
      <c r="WLB11" s="64"/>
      <c r="WLC11" s="64"/>
      <c r="WLD11" s="64"/>
      <c r="WLE11" s="64"/>
      <c r="WLF11" s="64"/>
      <c r="WLG11" s="64"/>
      <c r="WLH11" s="64"/>
      <c r="WLI11" s="64"/>
      <c r="WLJ11" s="64"/>
      <c r="WLK11" s="64"/>
      <c r="WLL11" s="64"/>
      <c r="WLM11" s="64"/>
      <c r="WLN11" s="64"/>
      <c r="WLO11" s="64"/>
      <c r="WLP11" s="64"/>
      <c r="WLQ11" s="64"/>
      <c r="WLR11" s="64"/>
      <c r="WLS11" s="64"/>
      <c r="WLT11" s="64"/>
      <c r="WLU11" s="64"/>
      <c r="WLV11" s="64"/>
      <c r="WLW11" s="64"/>
      <c r="WLX11" s="64"/>
      <c r="WLY11" s="64"/>
      <c r="WLZ11" s="64"/>
      <c r="WMA11" s="64"/>
      <c r="WMB11" s="64"/>
      <c r="WMC11" s="64"/>
      <c r="WMD11" s="64"/>
      <c r="WME11" s="64"/>
      <c r="WMF11" s="64"/>
      <c r="WMG11" s="64"/>
      <c r="WMH11" s="64"/>
      <c r="WMI11" s="64"/>
      <c r="WMJ11" s="64"/>
      <c r="WMK11" s="64"/>
      <c r="WML11" s="64"/>
      <c r="WMM11" s="64"/>
      <c r="WMN11" s="64"/>
      <c r="WMO11" s="64"/>
      <c r="WMP11" s="64"/>
      <c r="WMQ11" s="64"/>
      <c r="WMR11" s="64"/>
      <c r="WMS11" s="64"/>
      <c r="WMT11" s="64"/>
      <c r="WMU11" s="64"/>
      <c r="WMV11" s="64"/>
      <c r="WMW11" s="64"/>
      <c r="WMX11" s="64"/>
      <c r="WMY11" s="64"/>
      <c r="WMZ11" s="64"/>
      <c r="WNA11" s="64"/>
      <c r="WNB11" s="64"/>
      <c r="WNC11" s="64"/>
      <c r="WND11" s="64"/>
      <c r="WNE11" s="64"/>
      <c r="WNF11" s="64"/>
      <c r="WNG11" s="64"/>
      <c r="WNH11" s="64"/>
      <c r="WNI11" s="64"/>
      <c r="WNJ11" s="64"/>
      <c r="WNK11" s="64"/>
      <c r="WNL11" s="64"/>
      <c r="WNM11" s="64"/>
      <c r="WNN11" s="64"/>
      <c r="WNO11" s="64"/>
      <c r="WNP11" s="64"/>
      <c r="WNQ11" s="64"/>
      <c r="WNR11" s="64"/>
      <c r="WNS11" s="64"/>
      <c r="WNT11" s="64"/>
      <c r="WNU11" s="64"/>
      <c r="WNV11" s="64"/>
      <c r="WNW11" s="64"/>
      <c r="WNX11" s="64"/>
      <c r="WNY11" s="64"/>
      <c r="WNZ11" s="64"/>
      <c r="WOA11" s="64"/>
      <c r="WOB11" s="64"/>
      <c r="WOC11" s="64"/>
      <c r="WOD11" s="64"/>
      <c r="WOE11" s="64"/>
      <c r="WOF11" s="64"/>
      <c r="WOG11" s="64"/>
      <c r="WOH11" s="64"/>
      <c r="WOI11" s="64"/>
      <c r="WOJ11" s="64"/>
      <c r="WOK11" s="64"/>
      <c r="WOL11" s="64"/>
      <c r="WOM11" s="64"/>
      <c r="WON11" s="64"/>
      <c r="WOO11" s="64"/>
      <c r="WOP11" s="64"/>
      <c r="WOQ11" s="64"/>
      <c r="WOR11" s="64"/>
      <c r="WOS11" s="64"/>
      <c r="WOT11" s="64"/>
      <c r="WOU11" s="64"/>
      <c r="WOV11" s="64"/>
      <c r="WOW11" s="64"/>
      <c r="WOX11" s="64"/>
      <c r="WOY11" s="64"/>
      <c r="WOZ11" s="64"/>
      <c r="WPA11" s="64"/>
      <c r="WPB11" s="64"/>
      <c r="WPC11" s="64"/>
      <c r="WPD11" s="64"/>
      <c r="WPE11" s="64"/>
      <c r="WPF11" s="64"/>
      <c r="WPG11" s="64"/>
      <c r="WPH11" s="64"/>
      <c r="WPI11" s="64"/>
      <c r="WPJ11" s="64"/>
      <c r="WPK11" s="64"/>
      <c r="WPL11" s="64"/>
      <c r="WPM11" s="64"/>
      <c r="WPN11" s="64"/>
      <c r="WPO11" s="64"/>
      <c r="WPP11" s="64"/>
      <c r="WPQ11" s="64"/>
      <c r="WPR11" s="64"/>
      <c r="WPS11" s="64"/>
      <c r="WPT11" s="64"/>
      <c r="WPU11" s="64"/>
      <c r="WPV11" s="64"/>
      <c r="WPW11" s="64"/>
      <c r="WPX11" s="64"/>
      <c r="WPY11" s="64"/>
      <c r="WPZ11" s="64"/>
      <c r="WQA11" s="64"/>
      <c r="WQB11" s="64"/>
      <c r="WQC11" s="64"/>
      <c r="WQD11" s="64"/>
      <c r="WQE11" s="64"/>
      <c r="WQF11" s="64"/>
      <c r="WQG11" s="64"/>
      <c r="WQH11" s="64"/>
      <c r="WQI11" s="64"/>
      <c r="WQJ11" s="64"/>
      <c r="WQK11" s="64"/>
      <c r="WQL11" s="64"/>
      <c r="WQM11" s="64"/>
      <c r="WQN11" s="64"/>
      <c r="WQO11" s="64"/>
      <c r="WQP11" s="64"/>
      <c r="WQQ11" s="64"/>
      <c r="WQR11" s="64"/>
      <c r="WQS11" s="64"/>
      <c r="WQT11" s="64"/>
      <c r="WQU11" s="64"/>
      <c r="WQV11" s="64"/>
      <c r="WQW11" s="64"/>
      <c r="WQX11" s="64"/>
      <c r="WQY11" s="64"/>
      <c r="WQZ11" s="64"/>
      <c r="WRA11" s="64"/>
      <c r="WRB11" s="64"/>
      <c r="WRC11" s="64"/>
      <c r="WRD11" s="64"/>
      <c r="WRE11" s="64"/>
      <c r="WRF11" s="64"/>
      <c r="WRG11" s="64"/>
      <c r="WRH11" s="64"/>
      <c r="WRI11" s="64"/>
      <c r="WRJ11" s="64"/>
      <c r="WRK11" s="64"/>
      <c r="WRL11" s="64"/>
      <c r="WRM11" s="64"/>
      <c r="WRN11" s="64"/>
      <c r="WRO11" s="64"/>
      <c r="WRP11" s="64"/>
      <c r="WRQ11" s="64"/>
      <c r="WRR11" s="64"/>
      <c r="WRS11" s="64"/>
      <c r="WRT11" s="64"/>
      <c r="WRU11" s="64"/>
      <c r="WRV11" s="64"/>
      <c r="WRW11" s="64"/>
      <c r="WRX11" s="64"/>
      <c r="WRY11" s="64"/>
      <c r="WRZ11" s="64"/>
      <c r="WSA11" s="64"/>
      <c r="WSB11" s="64"/>
      <c r="WSC11" s="64"/>
      <c r="WSD11" s="64"/>
      <c r="WSE11" s="64"/>
      <c r="WSF11" s="64"/>
      <c r="WSG11" s="64"/>
      <c r="WSH11" s="64"/>
      <c r="WSI11" s="64"/>
      <c r="WSJ11" s="64"/>
      <c r="WSK11" s="64"/>
      <c r="WSL11" s="64"/>
      <c r="WSM11" s="64"/>
      <c r="WSN11" s="64"/>
      <c r="WSO11" s="64"/>
      <c r="WSP11" s="64"/>
      <c r="WSQ11" s="64"/>
      <c r="WSR11" s="64"/>
      <c r="WSS11" s="64"/>
      <c r="WST11" s="64"/>
      <c r="WSU11" s="64"/>
      <c r="WSV11" s="64"/>
      <c r="WSW11" s="64"/>
      <c r="WSX11" s="64"/>
      <c r="WSY11" s="64"/>
      <c r="WSZ11" s="64"/>
      <c r="WTA11" s="64"/>
      <c r="WTB11" s="64"/>
      <c r="WTC11" s="64"/>
      <c r="WTD11" s="64"/>
      <c r="WTE11" s="64"/>
      <c r="WTF11" s="64"/>
      <c r="WTG11" s="64"/>
      <c r="WTH11" s="64"/>
      <c r="WTI11" s="64"/>
      <c r="WTJ11" s="64"/>
      <c r="WTK11" s="64"/>
      <c r="WTL11" s="64"/>
      <c r="WTM11" s="64"/>
      <c r="WTN11" s="64"/>
      <c r="WTO11" s="64"/>
      <c r="WTP11" s="64"/>
      <c r="WTQ11" s="64"/>
      <c r="WTR11" s="64"/>
      <c r="WTS11" s="64"/>
      <c r="WTT11" s="64"/>
      <c r="WTU11" s="64"/>
      <c r="WTV11" s="64"/>
      <c r="WTW11" s="64"/>
      <c r="WTX11" s="64"/>
      <c r="WTY11" s="64"/>
      <c r="WTZ11" s="64"/>
      <c r="WUA11" s="64"/>
      <c r="WUB11" s="64"/>
      <c r="WUC11" s="64"/>
      <c r="WUD11" s="64"/>
      <c r="WUE11" s="64"/>
      <c r="WUF11" s="64"/>
      <c r="WUG11" s="64"/>
      <c r="WUH11" s="64"/>
      <c r="WUI11" s="64"/>
      <c r="WUJ11" s="64"/>
      <c r="WUK11" s="64"/>
      <c r="WUL11" s="64"/>
      <c r="WUM11" s="64"/>
      <c r="WUN11" s="64"/>
      <c r="WUO11" s="64"/>
      <c r="WUP11" s="64"/>
      <c r="WUQ11" s="64"/>
      <c r="WUR11" s="64"/>
      <c r="WUS11" s="64"/>
      <c r="WUT11" s="64"/>
      <c r="WUU11" s="64"/>
      <c r="WUV11" s="64"/>
      <c r="WUW11" s="64"/>
      <c r="WUX11" s="64"/>
      <c r="WUY11" s="64"/>
      <c r="WUZ11" s="64"/>
      <c r="WVA11" s="64"/>
      <c r="WVB11" s="64"/>
      <c r="WVC11" s="64"/>
      <c r="WVD11" s="64"/>
      <c r="WVE11" s="64"/>
      <c r="WVF11" s="64"/>
      <c r="WVG11" s="64"/>
      <c r="WVH11" s="64"/>
      <c r="WVI11" s="64"/>
      <c r="WVJ11" s="64"/>
      <c r="WVK11" s="64"/>
      <c r="WVL11" s="64"/>
      <c r="WVM11" s="64"/>
      <c r="WVN11" s="64"/>
      <c r="WVO11" s="64"/>
      <c r="WVP11" s="64"/>
      <c r="WVQ11" s="64"/>
      <c r="WVR11" s="64"/>
      <c r="WVS11" s="64"/>
      <c r="WVT11" s="64"/>
      <c r="WVU11" s="64"/>
      <c r="WVV11" s="64"/>
      <c r="WVW11" s="64"/>
      <c r="WVX11" s="64"/>
      <c r="WVY11" s="64"/>
      <c r="WVZ11" s="64"/>
      <c r="WWA11" s="64"/>
      <c r="WWB11" s="64"/>
      <c r="WWC11" s="64"/>
      <c r="WWD11" s="64"/>
      <c r="WWE11" s="64"/>
      <c r="WWF11" s="64"/>
      <c r="WWG11" s="64"/>
      <c r="WWH11" s="64"/>
      <c r="WWI11" s="64"/>
      <c r="WWJ11" s="64"/>
      <c r="WWK11" s="64"/>
      <c r="WWL11" s="64"/>
      <c r="WWM11" s="64"/>
      <c r="WWN11" s="64"/>
      <c r="WWO11" s="64"/>
      <c r="WWP11" s="64"/>
      <c r="WWQ11" s="64"/>
      <c r="WWR11" s="64"/>
      <c r="WWS11" s="64"/>
      <c r="WWT11" s="64"/>
      <c r="WWU11" s="64"/>
      <c r="WWV11" s="64"/>
      <c r="WWW11" s="64"/>
      <c r="WWX11" s="64"/>
      <c r="WWY11" s="64"/>
      <c r="WWZ11" s="64"/>
      <c r="WXA11" s="64"/>
      <c r="WXB11" s="64"/>
      <c r="WXC11" s="64"/>
      <c r="WXD11" s="64"/>
      <c r="WXE11" s="64"/>
      <c r="WXF11" s="64"/>
      <c r="WXG11" s="64"/>
      <c r="WXH11" s="64"/>
      <c r="WXI11" s="64"/>
      <c r="WXJ11" s="64"/>
      <c r="WXK11" s="64"/>
      <c r="WXL11" s="64"/>
      <c r="WXM11" s="64"/>
      <c r="WXN11" s="64"/>
      <c r="WXO11" s="64"/>
      <c r="WXP11" s="64"/>
      <c r="WXQ11" s="64"/>
      <c r="WXR11" s="64"/>
      <c r="WXS11" s="64"/>
      <c r="WXT11" s="64"/>
      <c r="WXU11" s="64"/>
      <c r="WXV11" s="64"/>
      <c r="WXW11" s="64"/>
      <c r="WXX11" s="64"/>
      <c r="WXY11" s="64"/>
      <c r="WXZ11" s="64"/>
      <c r="WYA11" s="64"/>
      <c r="WYB11" s="64"/>
      <c r="WYC11" s="64"/>
      <c r="WYD11" s="64"/>
      <c r="WYE11" s="64"/>
      <c r="WYF11" s="64"/>
      <c r="WYG11" s="64"/>
      <c r="WYH11" s="64"/>
      <c r="WYI11" s="64"/>
      <c r="WYJ11" s="64"/>
      <c r="WYK11" s="64"/>
      <c r="WYL11" s="64"/>
      <c r="WYM11" s="64"/>
      <c r="WYN11" s="64"/>
      <c r="WYO11" s="64"/>
      <c r="WYP11" s="64"/>
      <c r="WYQ11" s="64"/>
      <c r="WYR11" s="64"/>
      <c r="WYS11" s="64"/>
      <c r="WYT11" s="64"/>
      <c r="WYU11" s="64"/>
      <c r="WYV11" s="64"/>
      <c r="WYW11" s="64"/>
      <c r="WYX11" s="64"/>
      <c r="WYY11" s="64"/>
      <c r="WYZ11" s="64"/>
      <c r="WZA11" s="64"/>
      <c r="WZB11" s="64"/>
      <c r="WZC11" s="64"/>
      <c r="WZD11" s="64"/>
      <c r="WZE11" s="64"/>
      <c r="WZF11" s="64"/>
      <c r="WZG11" s="64"/>
      <c r="WZH11" s="64"/>
      <c r="WZI11" s="64"/>
      <c r="WZJ11" s="64"/>
      <c r="WZK11" s="64"/>
      <c r="WZL11" s="64"/>
      <c r="WZM11" s="64"/>
      <c r="WZN11" s="64"/>
      <c r="WZO11" s="64"/>
      <c r="WZP11" s="64"/>
      <c r="WZQ11" s="64"/>
      <c r="WZR11" s="64"/>
      <c r="WZS11" s="64"/>
      <c r="WZT11" s="64"/>
      <c r="WZU11" s="64"/>
      <c r="WZV11" s="64"/>
      <c r="WZW11" s="64"/>
      <c r="WZX11" s="64"/>
      <c r="WZY11" s="64"/>
      <c r="WZZ11" s="64"/>
      <c r="XAA11" s="64"/>
      <c r="XAB11" s="64"/>
      <c r="XAC11" s="64"/>
      <c r="XAD11" s="64"/>
      <c r="XAE11" s="64"/>
      <c r="XAF11" s="64"/>
      <c r="XAG11" s="64"/>
      <c r="XAH11" s="64"/>
      <c r="XAI11" s="64"/>
      <c r="XAJ11" s="64"/>
      <c r="XAK11" s="64"/>
      <c r="XAL11" s="64"/>
      <c r="XAM11" s="64"/>
      <c r="XAN11" s="64"/>
      <c r="XAO11" s="64"/>
      <c r="XAP11" s="64"/>
      <c r="XAQ11" s="64"/>
      <c r="XAR11" s="64"/>
      <c r="XAS11" s="64"/>
      <c r="XAT11" s="64"/>
      <c r="XAU11" s="64"/>
      <c r="XAV11" s="64"/>
      <c r="XAW11" s="64"/>
      <c r="XAX11" s="64"/>
      <c r="XAY11" s="64"/>
      <c r="XAZ11" s="64"/>
      <c r="XBA11" s="64"/>
      <c r="XBB11" s="64"/>
      <c r="XBC11" s="64"/>
      <c r="XBD11" s="64"/>
      <c r="XBE11" s="64"/>
      <c r="XBF11" s="64"/>
      <c r="XBG11" s="64"/>
      <c r="XBH11" s="64"/>
      <c r="XBI11" s="64"/>
      <c r="XBJ11" s="64"/>
      <c r="XBK11" s="64"/>
      <c r="XBL11" s="64"/>
      <c r="XBM11" s="64"/>
      <c r="XBN11" s="64"/>
      <c r="XBO11" s="64"/>
      <c r="XBP11" s="64"/>
      <c r="XBQ11" s="64"/>
      <c r="XBR11" s="64"/>
      <c r="XBS11" s="64"/>
      <c r="XBT11" s="64"/>
      <c r="XBU11" s="64"/>
      <c r="XBV11" s="64"/>
      <c r="XBW11" s="64"/>
      <c r="XBX11" s="64"/>
      <c r="XBY11" s="64"/>
      <c r="XBZ11" s="64"/>
      <c r="XCA11" s="64"/>
      <c r="XCB11" s="64"/>
      <c r="XCC11" s="64"/>
      <c r="XCD11" s="64"/>
      <c r="XCE11" s="64"/>
      <c r="XCF11" s="64"/>
      <c r="XCG11" s="64"/>
      <c r="XCH11" s="64"/>
      <c r="XCI11" s="64"/>
      <c r="XCJ11" s="64"/>
      <c r="XCK11" s="64"/>
      <c r="XCL11" s="64"/>
      <c r="XCM11" s="64"/>
      <c r="XCN11" s="64"/>
      <c r="XCO11" s="64"/>
      <c r="XCP11" s="64"/>
      <c r="XCQ11" s="64"/>
      <c r="XCR11" s="64"/>
      <c r="XCS11" s="64"/>
      <c r="XCT11" s="64"/>
      <c r="XCU11" s="64"/>
      <c r="XCV11" s="64"/>
      <c r="XCW11" s="64"/>
      <c r="XCX11" s="64"/>
      <c r="XCY11" s="64"/>
      <c r="XCZ11" s="64"/>
      <c r="XDA11" s="64"/>
      <c r="XDB11" s="64"/>
      <c r="XDC11" s="64"/>
      <c r="XDD11" s="64"/>
      <c r="XDE11" s="64"/>
      <c r="XDF11" s="64"/>
      <c r="XDG11" s="64"/>
      <c r="XDH11" s="64"/>
      <c r="XDI11" s="64"/>
      <c r="XDJ11" s="64"/>
      <c r="XDK11" s="64"/>
      <c r="XDL11" s="64"/>
      <c r="XDM11" s="64"/>
      <c r="XDN11" s="64"/>
      <c r="XDO11" s="64"/>
      <c r="XDP11" s="64"/>
      <c r="XDQ11" s="64"/>
      <c r="XDR11" s="64"/>
      <c r="XDS11" s="64"/>
      <c r="XDT11" s="64"/>
      <c r="XDU11" s="64"/>
      <c r="XDV11" s="64"/>
      <c r="XDW11" s="64"/>
      <c r="XDX11" s="64"/>
      <c r="XDY11" s="64"/>
      <c r="XDZ11" s="64"/>
      <c r="XEA11" s="64"/>
      <c r="XEB11" s="64"/>
      <c r="XEC11" s="64"/>
      <c r="XED11" s="64"/>
      <c r="XEE11" s="64"/>
      <c r="XEF11" s="64"/>
      <c r="XEG11" s="64"/>
      <c r="XEH11" s="64"/>
      <c r="XEI11" s="64"/>
      <c r="XEJ11" s="64"/>
      <c r="XEK11" s="64"/>
      <c r="XEL11" s="64"/>
      <c r="XEM11" s="64"/>
      <c r="XEN11" s="64"/>
      <c r="XEO11" s="64"/>
      <c r="XEP11" s="64"/>
      <c r="XEQ11" s="64"/>
      <c r="XER11" s="64"/>
      <c r="XES11" s="64"/>
      <c r="XET11" s="64"/>
      <c r="XEU11" s="64"/>
      <c r="XEV11" s="64"/>
      <c r="XEW11" s="64"/>
      <c r="XEX11" s="64"/>
      <c r="XEY11" s="64"/>
      <c r="XEZ11" s="64"/>
      <c r="XFA11" s="64"/>
      <c r="XFB11" s="64"/>
      <c r="XFC11" s="64"/>
      <c r="XFD11" s="64"/>
    </row>
    <row r="12" spans="1:16384" ht="20">
      <c r="A12" s="34" t="s">
        <v>372</v>
      </c>
      <c r="B12" s="95">
        <v>300000</v>
      </c>
      <c r="C12" s="95">
        <v>36614</v>
      </c>
      <c r="D12" s="95">
        <v>46375</v>
      </c>
      <c r="E12" s="95">
        <v>22339</v>
      </c>
      <c r="F12" s="95">
        <v>0</v>
      </c>
      <c r="G12" s="95">
        <v>27194</v>
      </c>
      <c r="H12" s="95">
        <v>29228</v>
      </c>
      <c r="I12" s="95">
        <v>0</v>
      </c>
      <c r="J12" s="95">
        <v>21433</v>
      </c>
      <c r="K12" s="95">
        <v>30876</v>
      </c>
      <c r="L12" s="95">
        <v>0</v>
      </c>
      <c r="M12" s="95">
        <v>34230</v>
      </c>
      <c r="N12" s="95">
        <v>45387</v>
      </c>
      <c r="O12" s="95">
        <v>0</v>
      </c>
      <c r="P12" s="95">
        <v>45765</v>
      </c>
      <c r="Q12" s="95">
        <v>0</v>
      </c>
      <c r="R12" s="95">
        <v>23395</v>
      </c>
      <c r="S12" s="95">
        <v>0</v>
      </c>
      <c r="T12" s="95">
        <v>42929</v>
      </c>
      <c r="U12" s="95">
        <v>26900</v>
      </c>
      <c r="V12" s="95">
        <v>48672</v>
      </c>
      <c r="W12" s="95">
        <v>0</v>
      </c>
      <c r="X12" s="95">
        <v>13506</v>
      </c>
      <c r="Y12" s="95">
        <v>14292</v>
      </c>
      <c r="Z12" s="95">
        <v>42392</v>
      </c>
      <c r="AA12" s="95">
        <v>0</v>
      </c>
      <c r="AB12" s="95">
        <v>23215</v>
      </c>
      <c r="AC12" s="95">
        <v>43320</v>
      </c>
      <c r="AD12" s="95">
        <v>39774</v>
      </c>
      <c r="AE12" s="95">
        <v>31992</v>
      </c>
      <c r="AF12" s="95">
        <v>24289</v>
      </c>
      <c r="AG12" s="95">
        <v>0</v>
      </c>
      <c r="AH12" s="95">
        <v>40965</v>
      </c>
      <c r="AI12" s="95">
        <v>0</v>
      </c>
      <c r="AJ12" s="95">
        <v>45697</v>
      </c>
      <c r="AK12" s="95">
        <v>38176</v>
      </c>
      <c r="AL12" s="95">
        <v>0</v>
      </c>
      <c r="AM12" s="95">
        <v>40399</v>
      </c>
      <c r="AN12" s="95">
        <v>1318</v>
      </c>
      <c r="AO12" s="95">
        <v>29306</v>
      </c>
      <c r="AP12" s="95">
        <v>48856</v>
      </c>
      <c r="AQ12" s="95">
        <v>49746</v>
      </c>
      <c r="AR12" s="95">
        <v>23893</v>
      </c>
      <c r="AS12" s="95">
        <v>31763</v>
      </c>
      <c r="AT12" s="95">
        <v>8282</v>
      </c>
      <c r="AU12" s="95">
        <v>15811</v>
      </c>
      <c r="AV12" s="95">
        <v>40220</v>
      </c>
      <c r="AW12" s="95">
        <v>32359</v>
      </c>
      <c r="AX12" s="95">
        <v>21649</v>
      </c>
      <c r="AY12" s="95">
        <v>5604</v>
      </c>
      <c r="AZ12" s="95">
        <v>0</v>
      </c>
      <c r="BA12" s="95">
        <v>46933</v>
      </c>
      <c r="BB12" s="95">
        <v>15376</v>
      </c>
      <c r="BC12" s="95">
        <v>0</v>
      </c>
      <c r="BD12" s="95">
        <v>19957</v>
      </c>
      <c r="BE12" s="95">
        <v>393</v>
      </c>
      <c r="BF12" s="95">
        <v>0</v>
      </c>
      <c r="BG12" s="95">
        <v>0</v>
      </c>
      <c r="BH12" s="95">
        <v>0</v>
      </c>
      <c r="BI12" s="95">
        <v>0</v>
      </c>
      <c r="BJ12" s="95">
        <v>20410</v>
      </c>
      <c r="BK12" s="95">
        <v>38152</v>
      </c>
      <c r="BL12" s="95">
        <v>30318</v>
      </c>
      <c r="BM12" s="95">
        <v>0</v>
      </c>
      <c r="BN12" s="95">
        <v>28042</v>
      </c>
      <c r="BO12" s="95">
        <v>13691</v>
      </c>
      <c r="BP12" s="95">
        <v>35789</v>
      </c>
      <c r="BQ12" s="95">
        <v>973</v>
      </c>
      <c r="BR12" s="95">
        <v>0</v>
      </c>
      <c r="BS12" s="95">
        <v>12996</v>
      </c>
      <c r="BT12" s="95">
        <v>17987</v>
      </c>
      <c r="BU12" s="95">
        <v>48499</v>
      </c>
      <c r="BV12" s="95">
        <v>16367</v>
      </c>
      <c r="BW12" s="95">
        <v>5231</v>
      </c>
      <c r="BX12" s="95">
        <v>14678</v>
      </c>
      <c r="BY12" s="95">
        <v>0</v>
      </c>
      <c r="BZ12" s="95">
        <v>9922</v>
      </c>
      <c r="CA12" s="95">
        <v>8922</v>
      </c>
      <c r="CB12" s="95">
        <v>47799</v>
      </c>
      <c r="CC12" s="95">
        <v>48029</v>
      </c>
      <c r="CD12" s="95">
        <v>16105</v>
      </c>
      <c r="CE12" s="95">
        <v>15949</v>
      </c>
      <c r="CF12" s="95">
        <v>16209</v>
      </c>
      <c r="CG12" s="95">
        <v>0</v>
      </c>
      <c r="CH12" s="95">
        <v>0</v>
      </c>
      <c r="CI12" s="95">
        <v>0</v>
      </c>
      <c r="CJ12" s="95">
        <v>21536</v>
      </c>
      <c r="CK12" s="95">
        <v>0</v>
      </c>
      <c r="CL12" s="95">
        <v>42688</v>
      </c>
      <c r="CM12" s="95">
        <v>17584</v>
      </c>
      <c r="CN12" s="95">
        <v>0</v>
      </c>
      <c r="CO12" s="95">
        <v>32306</v>
      </c>
      <c r="CP12" s="95">
        <v>29913</v>
      </c>
      <c r="CQ12" s="95">
        <v>2198</v>
      </c>
      <c r="CR12" s="95">
        <v>28748</v>
      </c>
      <c r="CS12" s="95">
        <v>0</v>
      </c>
      <c r="CT12" s="95">
        <v>8425</v>
      </c>
      <c r="CU12" s="95">
        <v>7518</v>
      </c>
      <c r="CV12" s="95">
        <v>39443</v>
      </c>
      <c r="CW12" s="95">
        <v>0</v>
      </c>
      <c r="CX12" s="95">
        <v>48952</v>
      </c>
      <c r="CY12" s="95">
        <v>30610</v>
      </c>
      <c r="CZ12" s="95">
        <v>0</v>
      </c>
      <c r="DA12" s="100">
        <v>17000</v>
      </c>
      <c r="DB12" s="96">
        <v>19000</v>
      </c>
      <c r="DC12" s="92">
        <v>2500</v>
      </c>
      <c r="DD12" s="96">
        <v>30000</v>
      </c>
      <c r="DE12" s="92">
        <v>238000</v>
      </c>
      <c r="DF12" s="92">
        <v>10000</v>
      </c>
      <c r="DG12" s="92">
        <v>55000</v>
      </c>
      <c r="DH12" s="92">
        <v>3000</v>
      </c>
      <c r="DI12" s="92">
        <v>245000</v>
      </c>
      <c r="DJ12" s="92">
        <v>12500</v>
      </c>
      <c r="DK12" s="92">
        <v>50000</v>
      </c>
      <c r="DL12" s="92">
        <v>2500</v>
      </c>
      <c r="DM12" s="92">
        <v>450000</v>
      </c>
      <c r="DN12" s="92">
        <v>0</v>
      </c>
      <c r="DO12" s="92">
        <v>20000</v>
      </c>
      <c r="DP12" s="92">
        <v>34000</v>
      </c>
      <c r="DQ12" s="92">
        <v>90000</v>
      </c>
      <c r="DR12" s="92">
        <v>11000</v>
      </c>
      <c r="DS12" s="92">
        <v>58000</v>
      </c>
      <c r="DT12" s="92">
        <v>0</v>
      </c>
      <c r="DU12" s="92">
        <v>8000</v>
      </c>
      <c r="DV12" s="92">
        <v>13000</v>
      </c>
      <c r="DW12" s="92">
        <v>10000</v>
      </c>
      <c r="DX12" s="92">
        <v>30000</v>
      </c>
      <c r="DY12" s="92">
        <v>80000</v>
      </c>
      <c r="DZ12" s="92">
        <v>20000</v>
      </c>
      <c r="EA12" s="92">
        <v>300000</v>
      </c>
      <c r="EB12" s="92">
        <v>2000000</v>
      </c>
      <c r="EC12" s="92">
        <v>10000</v>
      </c>
      <c r="ED12" s="92">
        <v>0</v>
      </c>
      <c r="EE12" s="92">
        <v>17000</v>
      </c>
      <c r="EF12" s="92">
        <v>35000</v>
      </c>
      <c r="EG12" s="92">
        <v>0</v>
      </c>
      <c r="EH12" s="92">
        <v>8000</v>
      </c>
      <c r="EI12" s="92">
        <v>25000</v>
      </c>
      <c r="EJ12" s="92">
        <v>14000</v>
      </c>
      <c r="EK12" s="92">
        <v>1300</v>
      </c>
      <c r="EL12" s="92">
        <v>100000</v>
      </c>
      <c r="EM12" s="92">
        <v>35000</v>
      </c>
      <c r="EN12" s="92">
        <v>100000</v>
      </c>
      <c r="EO12" s="92">
        <v>100000</v>
      </c>
      <c r="EP12" s="92">
        <v>15000</v>
      </c>
      <c r="EQ12" s="92">
        <v>18000</v>
      </c>
      <c r="ER12" s="92">
        <v>8000</v>
      </c>
      <c r="ES12" s="92">
        <v>5000</v>
      </c>
      <c r="ET12" s="92">
        <v>20000</v>
      </c>
      <c r="EU12" s="96">
        <v>63000</v>
      </c>
      <c r="EV12" s="96">
        <v>180000</v>
      </c>
      <c r="EW12" s="96">
        <v>3000</v>
      </c>
      <c r="EX12" s="96">
        <v>45000</v>
      </c>
      <c r="EY12" s="96">
        <v>38000</v>
      </c>
      <c r="EZ12" s="96">
        <v>120000</v>
      </c>
      <c r="FA12" s="96">
        <v>55000</v>
      </c>
      <c r="FB12" s="92">
        <v>20000</v>
      </c>
      <c r="FC12" s="92">
        <v>300000</v>
      </c>
      <c r="FD12" s="92">
        <v>85000</v>
      </c>
      <c r="FE12" s="92">
        <v>13000</v>
      </c>
      <c r="FF12" s="92">
        <v>3003</v>
      </c>
      <c r="FG12" s="92">
        <v>14000</v>
      </c>
      <c r="FH12" s="92">
        <v>10000</v>
      </c>
      <c r="FI12" s="92">
        <v>23000</v>
      </c>
      <c r="FJ12" s="92">
        <v>5560</v>
      </c>
      <c r="FK12" s="92">
        <v>75000</v>
      </c>
      <c r="FL12" s="92">
        <v>21000</v>
      </c>
      <c r="FM12" s="96">
        <v>43000</v>
      </c>
      <c r="FN12" s="96">
        <v>75000</v>
      </c>
      <c r="FO12" s="96">
        <v>22000</v>
      </c>
      <c r="FP12" s="96">
        <v>38000</v>
      </c>
      <c r="FQ12" s="96">
        <v>75000</v>
      </c>
      <c r="FR12" s="104">
        <v>8000</v>
      </c>
      <c r="FS12" s="92">
        <v>15000</v>
      </c>
      <c r="FT12" s="96">
        <v>12000</v>
      </c>
      <c r="FU12" s="96">
        <v>50000</v>
      </c>
      <c r="FV12" s="96">
        <v>425000</v>
      </c>
      <c r="FW12" s="96">
        <v>85000</v>
      </c>
      <c r="FX12" s="96">
        <v>15000</v>
      </c>
      <c r="FY12" s="96">
        <v>130000</v>
      </c>
      <c r="FZ12" s="96">
        <v>10000</v>
      </c>
      <c r="GA12" s="92">
        <v>1500</v>
      </c>
      <c r="GB12" s="92">
        <v>13000</v>
      </c>
      <c r="GC12" s="92">
        <v>100001</v>
      </c>
      <c r="GD12" s="92">
        <v>7500</v>
      </c>
      <c r="GE12" s="92">
        <v>56000</v>
      </c>
      <c r="GF12" s="96">
        <v>63000</v>
      </c>
      <c r="GG12" s="96">
        <v>16000</v>
      </c>
      <c r="GH12" s="96">
        <v>23500</v>
      </c>
      <c r="GI12" s="96">
        <v>220000</v>
      </c>
      <c r="GJ12" s="96">
        <v>100000</v>
      </c>
      <c r="GK12" s="96">
        <v>25000</v>
      </c>
      <c r="GL12" s="96">
        <v>125000</v>
      </c>
      <c r="GM12" s="96">
        <v>7000</v>
      </c>
      <c r="GN12" s="96">
        <v>2500</v>
      </c>
      <c r="GO12" s="96">
        <v>57000</v>
      </c>
      <c r="GP12" s="96">
        <v>33022</v>
      </c>
      <c r="GQ12" s="96">
        <v>170000</v>
      </c>
      <c r="GR12" s="96">
        <v>14500</v>
      </c>
      <c r="GS12" s="96">
        <v>275000</v>
      </c>
      <c r="GT12" s="96">
        <v>322000</v>
      </c>
      <c r="GU12" s="96">
        <v>540000</v>
      </c>
      <c r="GV12" s="96">
        <v>56000</v>
      </c>
      <c r="GW12" s="96">
        <v>48500</v>
      </c>
      <c r="GX12" s="96">
        <v>180000</v>
      </c>
      <c r="GY12" s="96">
        <v>38000</v>
      </c>
      <c r="GZ12" s="92">
        <v>30000</v>
      </c>
      <c r="HA12" s="92">
        <v>13000</v>
      </c>
      <c r="HB12" s="92">
        <v>18000</v>
      </c>
      <c r="HC12" s="92">
        <v>8500</v>
      </c>
      <c r="HD12" s="92">
        <v>3500</v>
      </c>
      <c r="HE12" s="92">
        <v>6500</v>
      </c>
      <c r="HF12" s="92">
        <v>19000</v>
      </c>
      <c r="HG12" s="96">
        <v>96000</v>
      </c>
      <c r="HH12" s="96">
        <v>130000</v>
      </c>
      <c r="HI12" s="96">
        <v>85000</v>
      </c>
      <c r="HJ12" s="96">
        <v>18000</v>
      </c>
      <c r="HK12" s="96">
        <v>230000</v>
      </c>
      <c r="HL12" s="96">
        <v>390000</v>
      </c>
      <c r="HM12" s="96">
        <v>59000</v>
      </c>
      <c r="HN12" s="96">
        <v>656420</v>
      </c>
      <c r="HO12" s="96">
        <v>124000</v>
      </c>
      <c r="HP12" s="96">
        <v>43000</v>
      </c>
      <c r="HQ12" s="96">
        <v>280000</v>
      </c>
      <c r="HR12" s="96">
        <v>83000</v>
      </c>
      <c r="HS12" s="96">
        <v>24000</v>
      </c>
      <c r="HT12" s="96">
        <v>72000</v>
      </c>
      <c r="HU12" s="96">
        <v>46450</v>
      </c>
      <c r="HV12" s="96">
        <v>1200</v>
      </c>
      <c r="HW12" s="96">
        <v>624000</v>
      </c>
      <c r="HX12" s="96">
        <v>12000</v>
      </c>
      <c r="HY12" s="96">
        <v>16750</v>
      </c>
      <c r="HZ12" s="96">
        <v>32600</v>
      </c>
      <c r="IA12" s="96">
        <v>28000</v>
      </c>
      <c r="IB12" s="96">
        <v>167000</v>
      </c>
      <c r="IC12" s="92">
        <v>14000</v>
      </c>
      <c r="ID12" s="96">
        <v>175000</v>
      </c>
      <c r="IE12" s="92">
        <v>89000</v>
      </c>
      <c r="IF12" s="92">
        <v>46059</v>
      </c>
      <c r="IG12" s="92">
        <v>28000</v>
      </c>
      <c r="IH12" s="92">
        <v>18000</v>
      </c>
      <c r="II12" s="92">
        <v>8000</v>
      </c>
      <c r="IJ12" s="96">
        <v>245000</v>
      </c>
      <c r="IK12" s="96">
        <v>93000</v>
      </c>
      <c r="IL12" s="96">
        <v>19340</v>
      </c>
      <c r="IM12" s="96">
        <v>37000</v>
      </c>
      <c r="IN12" s="96">
        <v>32000</v>
      </c>
      <c r="IO12" s="96">
        <v>14500</v>
      </c>
      <c r="IP12" s="96">
        <v>15923</v>
      </c>
      <c r="IQ12" s="96">
        <v>37000</v>
      </c>
      <c r="IR12" s="96">
        <v>21230</v>
      </c>
      <c r="IS12" s="96">
        <v>132000</v>
      </c>
      <c r="IT12" s="96">
        <v>17340</v>
      </c>
      <c r="IU12" s="96">
        <v>19450</v>
      </c>
      <c r="IV12" s="96">
        <v>24500</v>
      </c>
      <c r="IW12" s="96">
        <v>65450</v>
      </c>
      <c r="IX12" s="96">
        <v>73400</v>
      </c>
      <c r="IY12" s="96">
        <v>36000</v>
      </c>
      <c r="IZ12" s="96">
        <v>13000</v>
      </c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  <c r="KT12" s="64"/>
      <c r="KU12" s="64"/>
      <c r="KV12" s="64"/>
      <c r="KW12" s="64"/>
      <c r="KX12" s="64"/>
      <c r="KY12" s="64"/>
      <c r="KZ12" s="64"/>
      <c r="LA12" s="64"/>
      <c r="LB12" s="64"/>
      <c r="LC12" s="64"/>
      <c r="LD12" s="64"/>
      <c r="LE12" s="64"/>
      <c r="LF12" s="64"/>
      <c r="LG12" s="64"/>
      <c r="LH12" s="64"/>
      <c r="LI12" s="64"/>
      <c r="LJ12" s="64"/>
      <c r="LK12" s="64"/>
      <c r="LL12" s="64"/>
      <c r="LM12" s="64"/>
      <c r="LN12" s="64"/>
      <c r="LO12" s="64"/>
      <c r="LP12" s="64"/>
      <c r="LQ12" s="64"/>
      <c r="LR12" s="64"/>
      <c r="LS12" s="64"/>
      <c r="LT12" s="64"/>
      <c r="LU12" s="64"/>
      <c r="LV12" s="64"/>
      <c r="LW12" s="64"/>
      <c r="LX12" s="64"/>
      <c r="LY12" s="64"/>
      <c r="LZ12" s="64"/>
      <c r="MA12" s="64"/>
      <c r="MB12" s="64"/>
      <c r="MC12" s="64"/>
      <c r="MD12" s="64"/>
      <c r="ME12" s="64"/>
      <c r="MF12" s="64"/>
      <c r="MG12" s="64"/>
      <c r="MH12" s="64"/>
      <c r="MI12" s="64"/>
      <c r="MJ12" s="64"/>
      <c r="MK12" s="64"/>
      <c r="ML12" s="64"/>
      <c r="MM12" s="64"/>
      <c r="MN12" s="64"/>
      <c r="MO12" s="64"/>
      <c r="MP12" s="64"/>
      <c r="MQ12" s="64"/>
      <c r="MR12" s="64"/>
      <c r="MS12" s="64"/>
      <c r="MT12" s="64"/>
      <c r="MU12" s="64"/>
      <c r="MV12" s="64"/>
      <c r="MW12" s="64"/>
      <c r="MX12" s="64"/>
      <c r="MY12" s="64"/>
      <c r="MZ12" s="64"/>
      <c r="NA12" s="64"/>
      <c r="NB12" s="64"/>
      <c r="NC12" s="64"/>
      <c r="ND12" s="64"/>
      <c r="NE12" s="64"/>
      <c r="NF12" s="64"/>
      <c r="NG12" s="64"/>
      <c r="NH12" s="64"/>
      <c r="NI12" s="64"/>
      <c r="NJ12" s="64"/>
      <c r="NK12" s="64"/>
      <c r="NL12" s="64"/>
      <c r="NM12" s="64"/>
      <c r="NN12" s="64"/>
      <c r="NO12" s="64"/>
      <c r="NP12" s="64"/>
      <c r="NQ12" s="64"/>
      <c r="NR12" s="64"/>
      <c r="NS12" s="64"/>
      <c r="NT12" s="64"/>
      <c r="NU12" s="64"/>
      <c r="NV12" s="64"/>
      <c r="NW12" s="64"/>
      <c r="NX12" s="64"/>
      <c r="NY12" s="64"/>
      <c r="NZ12" s="64"/>
      <c r="OA12" s="64"/>
      <c r="OB12" s="64"/>
      <c r="OC12" s="64"/>
      <c r="OD12" s="64"/>
      <c r="OE12" s="64"/>
      <c r="OF12" s="64"/>
      <c r="OG12" s="64"/>
      <c r="OH12" s="64"/>
      <c r="OI12" s="64"/>
      <c r="OJ12" s="64"/>
      <c r="OK12" s="64"/>
      <c r="OL12" s="64"/>
      <c r="OM12" s="64"/>
      <c r="ON12" s="64"/>
      <c r="OO12" s="64"/>
      <c r="OP12" s="64"/>
      <c r="OQ12" s="64"/>
      <c r="OR12" s="64"/>
      <c r="OS12" s="64"/>
      <c r="OT12" s="64"/>
      <c r="OU12" s="64"/>
      <c r="OV12" s="64"/>
      <c r="OW12" s="64"/>
      <c r="OX12" s="64"/>
      <c r="OY12" s="64"/>
      <c r="OZ12" s="64"/>
      <c r="PA12" s="64"/>
      <c r="PB12" s="64"/>
      <c r="PC12" s="64"/>
      <c r="PD12" s="64"/>
      <c r="PE12" s="64"/>
      <c r="PF12" s="64"/>
      <c r="PG12" s="64"/>
      <c r="PH12" s="64"/>
      <c r="PI12" s="64"/>
      <c r="PJ12" s="64"/>
      <c r="PK12" s="64"/>
      <c r="PL12" s="64"/>
      <c r="PM12" s="64"/>
      <c r="PN12" s="64"/>
      <c r="PO12" s="64"/>
      <c r="PP12" s="64"/>
      <c r="PQ12" s="64"/>
      <c r="PR12" s="64"/>
      <c r="PS12" s="64"/>
      <c r="PT12" s="64"/>
      <c r="PU12" s="64"/>
      <c r="PV12" s="64"/>
      <c r="PW12" s="64"/>
      <c r="PX12" s="64"/>
      <c r="PY12" s="64"/>
      <c r="PZ12" s="64"/>
      <c r="QA12" s="64"/>
      <c r="QB12" s="64"/>
      <c r="QC12" s="64"/>
      <c r="QD12" s="64"/>
      <c r="QE12" s="64"/>
      <c r="QF12" s="64"/>
      <c r="QG12" s="64"/>
      <c r="QH12" s="64"/>
      <c r="QI12" s="64"/>
      <c r="QJ12" s="64"/>
      <c r="QK12" s="64"/>
      <c r="QL12" s="64"/>
      <c r="QM12" s="64"/>
      <c r="QN12" s="64"/>
      <c r="QO12" s="64"/>
      <c r="QP12" s="64"/>
      <c r="QQ12" s="64"/>
      <c r="QR12" s="64"/>
      <c r="QS12" s="64"/>
      <c r="QT12" s="64"/>
      <c r="QU12" s="64"/>
      <c r="QV12" s="64"/>
      <c r="QW12" s="64"/>
      <c r="QX12" s="64"/>
      <c r="QY12" s="64"/>
      <c r="QZ12" s="64"/>
      <c r="RA12" s="64"/>
      <c r="RB12" s="64"/>
      <c r="RC12" s="64"/>
      <c r="RD12" s="64"/>
      <c r="RE12" s="64"/>
      <c r="RF12" s="64"/>
      <c r="RG12" s="64"/>
      <c r="RH12" s="64"/>
      <c r="RI12" s="64"/>
      <c r="RJ12" s="64"/>
      <c r="RK12" s="64"/>
      <c r="RL12" s="64"/>
      <c r="RM12" s="64"/>
      <c r="RN12" s="64"/>
      <c r="RO12" s="64"/>
      <c r="RP12" s="64"/>
      <c r="RQ12" s="64"/>
      <c r="RR12" s="64"/>
      <c r="RS12" s="64"/>
      <c r="RT12" s="64"/>
      <c r="RU12" s="64"/>
      <c r="RV12" s="64"/>
      <c r="RW12" s="64"/>
      <c r="RX12" s="64"/>
      <c r="RY12" s="64"/>
      <c r="RZ12" s="64"/>
      <c r="SA12" s="64"/>
      <c r="SB12" s="64"/>
      <c r="SC12" s="64"/>
      <c r="SD12" s="64"/>
      <c r="SE12" s="64"/>
      <c r="SF12" s="64"/>
      <c r="SG12" s="64"/>
      <c r="SH12" s="64"/>
      <c r="SI12" s="64"/>
      <c r="SJ12" s="64"/>
      <c r="SK12" s="64"/>
      <c r="SL12" s="64"/>
      <c r="SM12" s="64"/>
      <c r="SN12" s="64"/>
      <c r="SO12" s="64"/>
      <c r="SP12" s="64"/>
      <c r="SQ12" s="64"/>
      <c r="SR12" s="64"/>
      <c r="SS12" s="64"/>
      <c r="ST12" s="64"/>
      <c r="SU12" s="64"/>
      <c r="SV12" s="64"/>
      <c r="SW12" s="64"/>
      <c r="SX12" s="64"/>
      <c r="SY12" s="64"/>
      <c r="SZ12" s="64"/>
      <c r="TA12" s="64"/>
      <c r="TB12" s="64"/>
      <c r="TC12" s="64"/>
      <c r="TD12" s="64"/>
      <c r="TE12" s="64"/>
      <c r="TF12" s="64"/>
      <c r="TG12" s="64"/>
      <c r="TH12" s="64"/>
      <c r="TI12" s="64"/>
      <c r="TJ12" s="64"/>
      <c r="TK12" s="64"/>
      <c r="TL12" s="64"/>
      <c r="TM12" s="64"/>
      <c r="TN12" s="64"/>
      <c r="TO12" s="64"/>
      <c r="TP12" s="64"/>
      <c r="TQ12" s="64"/>
      <c r="TR12" s="64"/>
      <c r="TS12" s="64"/>
      <c r="TT12" s="64"/>
      <c r="TU12" s="64"/>
      <c r="TV12" s="64"/>
      <c r="TW12" s="64"/>
      <c r="TX12" s="64"/>
      <c r="TY12" s="64"/>
      <c r="TZ12" s="64"/>
      <c r="UA12" s="64"/>
      <c r="UB12" s="64"/>
      <c r="UC12" s="64"/>
      <c r="UD12" s="64"/>
      <c r="UE12" s="64"/>
      <c r="UF12" s="64"/>
      <c r="UG12" s="64"/>
      <c r="UH12" s="64"/>
      <c r="UI12" s="64"/>
      <c r="UJ12" s="64"/>
      <c r="UK12" s="64"/>
      <c r="UL12" s="64"/>
      <c r="UM12" s="64"/>
      <c r="UN12" s="64"/>
      <c r="UO12" s="64"/>
      <c r="UP12" s="64"/>
      <c r="UQ12" s="64"/>
      <c r="UR12" s="64"/>
      <c r="US12" s="64"/>
      <c r="UT12" s="64"/>
      <c r="UU12" s="64"/>
      <c r="UV12" s="64"/>
      <c r="UW12" s="64"/>
      <c r="UX12" s="64"/>
      <c r="UY12" s="64"/>
      <c r="UZ12" s="64"/>
      <c r="VA12" s="64"/>
      <c r="VB12" s="64"/>
      <c r="VC12" s="64"/>
      <c r="VD12" s="64"/>
      <c r="VE12" s="64"/>
      <c r="VF12" s="64"/>
      <c r="VG12" s="64"/>
      <c r="VH12" s="64"/>
      <c r="VI12" s="64"/>
      <c r="VJ12" s="64"/>
      <c r="VK12" s="64"/>
      <c r="VL12" s="64"/>
      <c r="VM12" s="64"/>
      <c r="VN12" s="64"/>
      <c r="VO12" s="64"/>
      <c r="VP12" s="64"/>
      <c r="VQ12" s="64"/>
      <c r="VR12" s="64"/>
      <c r="VS12" s="64"/>
      <c r="VT12" s="64"/>
      <c r="VU12" s="64"/>
      <c r="VV12" s="64"/>
      <c r="VW12" s="64"/>
      <c r="VX12" s="64"/>
      <c r="VY12" s="64"/>
      <c r="VZ12" s="64"/>
      <c r="WA12" s="64"/>
      <c r="WB12" s="64"/>
      <c r="WC12" s="64"/>
      <c r="WD12" s="64"/>
      <c r="WE12" s="64"/>
      <c r="WF12" s="64"/>
      <c r="WG12" s="64"/>
      <c r="WH12" s="64"/>
      <c r="WI12" s="64"/>
      <c r="WJ12" s="64"/>
      <c r="WK12" s="64"/>
      <c r="WL12" s="64"/>
      <c r="WM12" s="64"/>
      <c r="WN12" s="64"/>
      <c r="WO12" s="64"/>
      <c r="WP12" s="64"/>
      <c r="WQ12" s="64"/>
      <c r="WR12" s="64"/>
      <c r="WS12" s="64"/>
      <c r="WT12" s="64"/>
      <c r="WU12" s="64"/>
      <c r="WV12" s="64"/>
      <c r="WW12" s="64"/>
      <c r="WX12" s="64"/>
      <c r="WY12" s="64"/>
      <c r="WZ12" s="64"/>
      <c r="XA12" s="64"/>
      <c r="XB12" s="64"/>
      <c r="XC12" s="64"/>
      <c r="XD12" s="64"/>
      <c r="XE12" s="64"/>
      <c r="XF12" s="64"/>
      <c r="XG12" s="64"/>
      <c r="XH12" s="64"/>
      <c r="XI12" s="64"/>
      <c r="XJ12" s="64"/>
      <c r="XK12" s="64"/>
      <c r="XL12" s="64"/>
      <c r="XM12" s="64"/>
      <c r="XN12" s="64"/>
      <c r="XO12" s="64"/>
      <c r="XP12" s="64"/>
      <c r="XQ12" s="64"/>
      <c r="XR12" s="64"/>
      <c r="XS12" s="64"/>
      <c r="XT12" s="64"/>
      <c r="XU12" s="64"/>
      <c r="XV12" s="64"/>
      <c r="XW12" s="64"/>
      <c r="XX12" s="64"/>
      <c r="XY12" s="64"/>
      <c r="XZ12" s="64"/>
      <c r="YA12" s="64"/>
      <c r="YB12" s="64"/>
      <c r="YC12" s="64"/>
      <c r="YD12" s="64"/>
      <c r="YE12" s="64"/>
      <c r="YF12" s="64"/>
      <c r="YG12" s="64"/>
      <c r="YH12" s="64"/>
      <c r="YI12" s="64"/>
      <c r="YJ12" s="64"/>
      <c r="YK12" s="64"/>
      <c r="YL12" s="64"/>
      <c r="YM12" s="64"/>
      <c r="YN12" s="64"/>
      <c r="YO12" s="64"/>
      <c r="YP12" s="64"/>
      <c r="YQ12" s="64"/>
      <c r="YR12" s="64"/>
      <c r="YS12" s="64"/>
      <c r="YT12" s="64"/>
      <c r="YU12" s="64"/>
      <c r="YV12" s="64"/>
      <c r="YW12" s="64"/>
      <c r="YX12" s="64"/>
      <c r="YY12" s="64"/>
      <c r="YZ12" s="64"/>
      <c r="ZA12" s="64"/>
      <c r="ZB12" s="64"/>
      <c r="ZC12" s="64"/>
      <c r="ZD12" s="64"/>
      <c r="ZE12" s="64"/>
      <c r="ZF12" s="64"/>
      <c r="ZG12" s="64"/>
      <c r="ZH12" s="64"/>
      <c r="ZI12" s="64"/>
      <c r="ZJ12" s="64"/>
      <c r="ZK12" s="64"/>
      <c r="ZL12" s="64"/>
      <c r="ZM12" s="64"/>
      <c r="ZN12" s="64"/>
      <c r="ZO12" s="64"/>
      <c r="ZP12" s="64"/>
      <c r="ZQ12" s="64"/>
      <c r="ZR12" s="64"/>
      <c r="ZS12" s="64"/>
      <c r="ZT12" s="64"/>
      <c r="ZU12" s="64"/>
      <c r="ZV12" s="64"/>
      <c r="ZW12" s="64"/>
      <c r="ZX12" s="64"/>
      <c r="ZY12" s="64"/>
      <c r="ZZ12" s="64"/>
      <c r="AAA12" s="64"/>
      <c r="AAB12" s="64"/>
      <c r="AAC12" s="64"/>
      <c r="AAD12" s="64"/>
      <c r="AAE12" s="64"/>
      <c r="AAF12" s="64"/>
      <c r="AAG12" s="64"/>
      <c r="AAH12" s="64"/>
      <c r="AAI12" s="64"/>
      <c r="AAJ12" s="64"/>
      <c r="AAK12" s="64"/>
      <c r="AAL12" s="64"/>
      <c r="AAM12" s="64"/>
      <c r="AAN12" s="64"/>
      <c r="AAO12" s="64"/>
      <c r="AAP12" s="64"/>
      <c r="AAQ12" s="64"/>
      <c r="AAR12" s="64"/>
      <c r="AAS12" s="64"/>
      <c r="AAT12" s="64"/>
      <c r="AAU12" s="64"/>
      <c r="AAV12" s="64"/>
      <c r="AAW12" s="64"/>
      <c r="AAX12" s="64"/>
      <c r="AAY12" s="64"/>
      <c r="AAZ12" s="64"/>
      <c r="ABA12" s="64"/>
      <c r="ABB12" s="64"/>
      <c r="ABC12" s="64"/>
      <c r="ABD12" s="64"/>
      <c r="ABE12" s="64"/>
      <c r="ABF12" s="64"/>
      <c r="ABG12" s="64"/>
      <c r="ABH12" s="64"/>
      <c r="ABI12" s="64"/>
      <c r="ABJ12" s="64"/>
      <c r="ABK12" s="64"/>
      <c r="ABL12" s="64"/>
      <c r="ABM12" s="64"/>
      <c r="ABN12" s="64"/>
      <c r="ABO12" s="64"/>
      <c r="ABP12" s="64"/>
      <c r="ABQ12" s="64"/>
      <c r="ABR12" s="64"/>
      <c r="ABS12" s="64"/>
      <c r="ABT12" s="64"/>
      <c r="ABU12" s="64"/>
      <c r="ABV12" s="64"/>
      <c r="ABW12" s="64"/>
      <c r="ABX12" s="64"/>
      <c r="ABY12" s="64"/>
      <c r="ABZ12" s="64"/>
      <c r="ACA12" s="64"/>
      <c r="ACB12" s="64"/>
      <c r="ACC12" s="64"/>
      <c r="ACD12" s="64"/>
      <c r="ACE12" s="64"/>
      <c r="ACF12" s="64"/>
      <c r="ACG12" s="64"/>
      <c r="ACH12" s="64"/>
      <c r="ACI12" s="64"/>
      <c r="ACJ12" s="64"/>
      <c r="ACK12" s="64"/>
      <c r="ACL12" s="64"/>
      <c r="ACM12" s="64"/>
      <c r="ACN12" s="64"/>
      <c r="ACO12" s="64"/>
      <c r="ACP12" s="64"/>
      <c r="ACQ12" s="64"/>
      <c r="ACR12" s="64"/>
      <c r="ACS12" s="64"/>
      <c r="ACT12" s="64"/>
      <c r="ACU12" s="64"/>
      <c r="ACV12" s="64"/>
      <c r="ACW12" s="64"/>
      <c r="ACX12" s="64"/>
      <c r="ACY12" s="64"/>
      <c r="ACZ12" s="64"/>
      <c r="ADA12" s="64"/>
      <c r="ADB12" s="64"/>
      <c r="ADC12" s="64"/>
      <c r="ADD12" s="64"/>
      <c r="ADE12" s="64"/>
      <c r="ADF12" s="64"/>
      <c r="ADG12" s="64"/>
      <c r="ADH12" s="64"/>
      <c r="ADI12" s="64"/>
      <c r="ADJ12" s="64"/>
      <c r="ADK12" s="64"/>
      <c r="ADL12" s="64"/>
      <c r="ADM12" s="64"/>
      <c r="ADN12" s="64"/>
      <c r="ADO12" s="64"/>
      <c r="ADP12" s="64"/>
      <c r="ADQ12" s="64"/>
      <c r="ADR12" s="64"/>
      <c r="ADS12" s="64"/>
      <c r="ADT12" s="64"/>
      <c r="ADU12" s="64"/>
      <c r="ADV12" s="64"/>
      <c r="ADW12" s="64"/>
      <c r="ADX12" s="64"/>
      <c r="ADY12" s="64"/>
      <c r="ADZ12" s="64"/>
      <c r="AEA12" s="64"/>
      <c r="AEB12" s="64"/>
      <c r="AEC12" s="64"/>
      <c r="AED12" s="64"/>
      <c r="AEE12" s="64"/>
      <c r="AEF12" s="64"/>
      <c r="AEG12" s="64"/>
      <c r="AEH12" s="64"/>
      <c r="AEI12" s="64"/>
      <c r="AEJ12" s="64"/>
      <c r="AEK12" s="64"/>
      <c r="AEL12" s="64"/>
      <c r="AEM12" s="64"/>
      <c r="AEN12" s="64"/>
      <c r="AEO12" s="64"/>
      <c r="AEP12" s="64"/>
      <c r="AEQ12" s="64"/>
      <c r="AER12" s="64"/>
      <c r="AES12" s="64"/>
      <c r="AET12" s="64"/>
      <c r="AEU12" s="64"/>
      <c r="AEV12" s="64"/>
      <c r="AEW12" s="64"/>
      <c r="AEX12" s="64"/>
      <c r="AEY12" s="64"/>
      <c r="AEZ12" s="64"/>
      <c r="AFA12" s="64"/>
      <c r="AFB12" s="64"/>
      <c r="AFC12" s="64"/>
      <c r="AFD12" s="64"/>
      <c r="AFE12" s="64"/>
      <c r="AFF12" s="64"/>
      <c r="AFG12" s="64"/>
      <c r="AFH12" s="64"/>
      <c r="AFI12" s="64"/>
      <c r="AFJ12" s="64"/>
      <c r="AFK12" s="64"/>
      <c r="AFL12" s="64"/>
      <c r="AFM12" s="64"/>
      <c r="AFN12" s="64"/>
      <c r="AFO12" s="64"/>
      <c r="AFP12" s="64"/>
      <c r="AFQ12" s="64"/>
      <c r="AFR12" s="64"/>
      <c r="AFS12" s="64"/>
      <c r="AFT12" s="64"/>
      <c r="AFU12" s="64"/>
      <c r="AFV12" s="64"/>
      <c r="AFW12" s="64"/>
      <c r="AFX12" s="64"/>
      <c r="AFY12" s="64"/>
      <c r="AFZ12" s="64"/>
      <c r="AGA12" s="64"/>
      <c r="AGB12" s="64"/>
      <c r="AGC12" s="64"/>
      <c r="AGD12" s="64"/>
      <c r="AGE12" s="64"/>
      <c r="AGF12" s="64"/>
      <c r="AGG12" s="64"/>
      <c r="AGH12" s="64"/>
      <c r="AGI12" s="64"/>
      <c r="AGJ12" s="64"/>
      <c r="AGK12" s="64"/>
      <c r="AGL12" s="64"/>
      <c r="AGM12" s="64"/>
      <c r="AGN12" s="64"/>
      <c r="AGO12" s="64"/>
      <c r="AGP12" s="64"/>
      <c r="AGQ12" s="64"/>
      <c r="AGR12" s="64"/>
      <c r="AGS12" s="64"/>
      <c r="AGT12" s="64"/>
      <c r="AGU12" s="64"/>
      <c r="AGV12" s="64"/>
      <c r="AGW12" s="64"/>
      <c r="AGX12" s="64"/>
      <c r="AGY12" s="64"/>
      <c r="AGZ12" s="64"/>
      <c r="AHA12" s="64"/>
      <c r="AHB12" s="64"/>
      <c r="AHC12" s="64"/>
      <c r="AHD12" s="64"/>
      <c r="AHE12" s="64"/>
      <c r="AHF12" s="64"/>
      <c r="AHG12" s="64"/>
      <c r="AHH12" s="64"/>
      <c r="AHI12" s="64"/>
      <c r="AHJ12" s="64"/>
      <c r="AHK12" s="64"/>
      <c r="AHL12" s="64"/>
      <c r="AHM12" s="64"/>
      <c r="AHN12" s="64"/>
      <c r="AHO12" s="64"/>
      <c r="AHP12" s="64"/>
      <c r="AHQ12" s="64"/>
      <c r="AHR12" s="64"/>
      <c r="AHS12" s="64"/>
      <c r="AHT12" s="64"/>
      <c r="AHU12" s="64"/>
      <c r="AHV12" s="64"/>
      <c r="AHW12" s="64"/>
      <c r="AHX12" s="64"/>
      <c r="AHY12" s="64"/>
      <c r="AHZ12" s="64"/>
      <c r="AIA12" s="64"/>
      <c r="AIB12" s="64"/>
      <c r="AIC12" s="64"/>
      <c r="AID12" s="64"/>
      <c r="AIE12" s="64"/>
      <c r="AIF12" s="64"/>
      <c r="AIG12" s="64"/>
      <c r="AIH12" s="64"/>
      <c r="AII12" s="64"/>
      <c r="AIJ12" s="64"/>
      <c r="AIK12" s="64"/>
      <c r="AIL12" s="64"/>
      <c r="AIM12" s="64"/>
      <c r="AIN12" s="64"/>
      <c r="AIO12" s="64"/>
      <c r="AIP12" s="64"/>
      <c r="AIQ12" s="64"/>
      <c r="AIR12" s="64"/>
      <c r="AIS12" s="64"/>
      <c r="AIT12" s="64"/>
      <c r="AIU12" s="64"/>
      <c r="AIV12" s="64"/>
      <c r="AIW12" s="64"/>
      <c r="AIX12" s="64"/>
      <c r="AIY12" s="64"/>
      <c r="AIZ12" s="64"/>
      <c r="AJA12" s="64"/>
      <c r="AJB12" s="64"/>
      <c r="AJC12" s="64"/>
      <c r="AJD12" s="64"/>
      <c r="AJE12" s="64"/>
      <c r="AJF12" s="64"/>
      <c r="AJG12" s="64"/>
      <c r="AJH12" s="64"/>
      <c r="AJI12" s="64"/>
      <c r="AJJ12" s="64"/>
      <c r="AJK12" s="64"/>
      <c r="AJL12" s="64"/>
      <c r="AJM12" s="64"/>
      <c r="AJN12" s="64"/>
      <c r="AJO12" s="64"/>
      <c r="AJP12" s="64"/>
      <c r="AJQ12" s="64"/>
      <c r="AJR12" s="64"/>
      <c r="AJS12" s="64"/>
      <c r="AJT12" s="64"/>
      <c r="AJU12" s="64"/>
      <c r="AJV12" s="64"/>
      <c r="AJW12" s="64"/>
      <c r="AJX12" s="64"/>
      <c r="AJY12" s="64"/>
      <c r="AJZ12" s="64"/>
      <c r="AKA12" s="64"/>
      <c r="AKB12" s="64"/>
      <c r="AKC12" s="64"/>
      <c r="AKD12" s="64"/>
      <c r="AKE12" s="64"/>
      <c r="AKF12" s="64"/>
      <c r="AKG12" s="64"/>
      <c r="AKH12" s="64"/>
      <c r="AKI12" s="64"/>
      <c r="AKJ12" s="64"/>
      <c r="AKK12" s="64"/>
      <c r="AKL12" s="64"/>
      <c r="AKM12" s="64"/>
      <c r="AKN12" s="64"/>
      <c r="AKO12" s="64"/>
      <c r="AKP12" s="64"/>
      <c r="AKQ12" s="64"/>
      <c r="AKR12" s="64"/>
      <c r="AKS12" s="64"/>
      <c r="AKT12" s="64"/>
      <c r="AKU12" s="64"/>
      <c r="AKV12" s="64"/>
      <c r="AKW12" s="64"/>
      <c r="AKX12" s="64"/>
      <c r="AKY12" s="64"/>
      <c r="AKZ12" s="64"/>
      <c r="ALA12" s="64"/>
      <c r="ALB12" s="64"/>
      <c r="ALC12" s="64"/>
      <c r="ALD12" s="64"/>
      <c r="ALE12" s="64"/>
      <c r="ALF12" s="64"/>
      <c r="ALG12" s="64"/>
      <c r="ALH12" s="64"/>
      <c r="ALI12" s="64"/>
      <c r="ALJ12" s="64"/>
      <c r="ALK12" s="64"/>
      <c r="ALL12" s="64"/>
      <c r="ALM12" s="64"/>
      <c r="ALN12" s="64"/>
      <c r="ALO12" s="64"/>
      <c r="ALP12" s="64"/>
      <c r="ALQ12" s="64"/>
      <c r="ALR12" s="64"/>
      <c r="ALS12" s="64"/>
      <c r="ALT12" s="64"/>
      <c r="ALU12" s="64"/>
      <c r="ALV12" s="64"/>
      <c r="ALW12" s="64"/>
      <c r="ALX12" s="64"/>
      <c r="ALY12" s="64"/>
      <c r="ALZ12" s="64"/>
      <c r="AMA12" s="64"/>
      <c r="AMB12" s="64"/>
      <c r="AMC12" s="64"/>
      <c r="AMD12" s="64"/>
      <c r="AME12" s="64"/>
      <c r="AMF12" s="64"/>
      <c r="AMG12" s="64"/>
      <c r="AMH12" s="64"/>
      <c r="AMI12" s="64"/>
      <c r="AMJ12" s="64"/>
      <c r="AMK12" s="64"/>
      <c r="AML12" s="64"/>
      <c r="AMM12" s="64"/>
      <c r="AMN12" s="64"/>
      <c r="AMO12" s="64"/>
      <c r="AMP12" s="64"/>
      <c r="AMQ12" s="64"/>
      <c r="AMR12" s="64"/>
      <c r="AMS12" s="64"/>
      <c r="AMT12" s="64"/>
      <c r="AMU12" s="64"/>
      <c r="AMV12" s="64"/>
      <c r="AMW12" s="64"/>
      <c r="AMX12" s="64"/>
      <c r="AMY12" s="64"/>
      <c r="AMZ12" s="64"/>
      <c r="ANA12" s="64"/>
      <c r="ANB12" s="64"/>
      <c r="ANC12" s="64"/>
      <c r="AND12" s="64"/>
      <c r="ANE12" s="64"/>
      <c r="ANF12" s="64"/>
      <c r="ANG12" s="64"/>
      <c r="ANH12" s="64"/>
      <c r="ANI12" s="64"/>
      <c r="ANJ12" s="64"/>
      <c r="ANK12" s="64"/>
      <c r="ANL12" s="64"/>
      <c r="ANM12" s="64"/>
      <c r="ANN12" s="64"/>
      <c r="ANO12" s="64"/>
      <c r="ANP12" s="64"/>
      <c r="ANQ12" s="64"/>
      <c r="ANR12" s="64"/>
      <c r="ANS12" s="64"/>
      <c r="ANT12" s="64"/>
      <c r="ANU12" s="64"/>
      <c r="ANV12" s="64"/>
      <c r="ANW12" s="64"/>
      <c r="ANX12" s="64"/>
      <c r="ANY12" s="64"/>
      <c r="ANZ12" s="64"/>
      <c r="AOA12" s="64"/>
      <c r="AOB12" s="64"/>
      <c r="AOC12" s="64"/>
      <c r="AOD12" s="64"/>
      <c r="AOE12" s="64"/>
      <c r="AOF12" s="64"/>
      <c r="AOG12" s="64"/>
      <c r="AOH12" s="64"/>
      <c r="AOI12" s="64"/>
      <c r="AOJ12" s="64"/>
      <c r="AOK12" s="64"/>
      <c r="AOL12" s="64"/>
      <c r="AOM12" s="64"/>
      <c r="AON12" s="64"/>
      <c r="AOO12" s="64"/>
      <c r="AOP12" s="64"/>
      <c r="AOQ12" s="64"/>
      <c r="AOR12" s="64"/>
      <c r="AOS12" s="64"/>
      <c r="AOT12" s="64"/>
      <c r="AOU12" s="64"/>
      <c r="AOV12" s="64"/>
      <c r="AOW12" s="64"/>
      <c r="AOX12" s="64"/>
      <c r="AOY12" s="64"/>
      <c r="AOZ12" s="64"/>
      <c r="APA12" s="64"/>
      <c r="APB12" s="64"/>
      <c r="APC12" s="64"/>
      <c r="APD12" s="64"/>
      <c r="APE12" s="64"/>
      <c r="APF12" s="64"/>
      <c r="APG12" s="64"/>
      <c r="APH12" s="64"/>
      <c r="API12" s="64"/>
      <c r="APJ12" s="64"/>
      <c r="APK12" s="64"/>
      <c r="APL12" s="64"/>
      <c r="APM12" s="64"/>
      <c r="APN12" s="64"/>
      <c r="APO12" s="64"/>
      <c r="APP12" s="64"/>
      <c r="APQ12" s="64"/>
      <c r="APR12" s="64"/>
      <c r="APS12" s="64"/>
      <c r="APT12" s="64"/>
      <c r="APU12" s="64"/>
      <c r="APV12" s="64"/>
      <c r="APW12" s="64"/>
      <c r="APX12" s="64"/>
      <c r="APY12" s="64"/>
      <c r="APZ12" s="64"/>
      <c r="AQA12" s="64"/>
      <c r="AQB12" s="64"/>
      <c r="AQC12" s="64"/>
      <c r="AQD12" s="64"/>
      <c r="AQE12" s="64"/>
      <c r="AQF12" s="64"/>
      <c r="AQG12" s="64"/>
      <c r="AQH12" s="64"/>
      <c r="AQI12" s="64"/>
      <c r="AQJ12" s="64"/>
      <c r="AQK12" s="64"/>
      <c r="AQL12" s="64"/>
      <c r="AQM12" s="64"/>
      <c r="AQN12" s="64"/>
      <c r="AQO12" s="64"/>
      <c r="AQP12" s="64"/>
      <c r="AQQ12" s="64"/>
      <c r="AQR12" s="64"/>
      <c r="AQS12" s="64"/>
      <c r="AQT12" s="64"/>
      <c r="AQU12" s="64"/>
      <c r="AQV12" s="64"/>
      <c r="AQW12" s="64"/>
      <c r="AQX12" s="64"/>
      <c r="AQY12" s="64"/>
      <c r="AQZ12" s="64"/>
      <c r="ARA12" s="64"/>
      <c r="ARB12" s="64"/>
      <c r="ARC12" s="64"/>
      <c r="ARD12" s="64"/>
      <c r="ARE12" s="64"/>
      <c r="ARF12" s="64"/>
      <c r="ARG12" s="64"/>
      <c r="ARH12" s="64"/>
      <c r="ARI12" s="64"/>
      <c r="ARJ12" s="64"/>
      <c r="ARK12" s="64"/>
      <c r="ARL12" s="64"/>
      <c r="ARM12" s="64"/>
      <c r="ARN12" s="64"/>
      <c r="ARO12" s="64"/>
      <c r="ARP12" s="64"/>
      <c r="ARQ12" s="64"/>
      <c r="ARR12" s="64"/>
      <c r="ARS12" s="64"/>
      <c r="ART12" s="64"/>
      <c r="ARU12" s="64"/>
      <c r="ARV12" s="64"/>
      <c r="ARW12" s="64"/>
      <c r="ARX12" s="64"/>
      <c r="ARY12" s="64"/>
      <c r="ARZ12" s="64"/>
      <c r="ASA12" s="64"/>
      <c r="ASB12" s="64"/>
      <c r="ASC12" s="64"/>
      <c r="ASD12" s="64"/>
      <c r="ASE12" s="64"/>
      <c r="ASF12" s="64"/>
      <c r="ASG12" s="64"/>
      <c r="ASH12" s="64"/>
      <c r="ASI12" s="64"/>
      <c r="ASJ12" s="64"/>
      <c r="ASK12" s="64"/>
      <c r="ASL12" s="64"/>
      <c r="ASM12" s="64"/>
      <c r="ASN12" s="64"/>
      <c r="ASO12" s="64"/>
      <c r="ASP12" s="64"/>
      <c r="ASQ12" s="64"/>
      <c r="ASR12" s="64"/>
      <c r="ASS12" s="64"/>
      <c r="AST12" s="64"/>
      <c r="ASU12" s="64"/>
      <c r="ASV12" s="64"/>
      <c r="ASW12" s="64"/>
      <c r="ASX12" s="64"/>
      <c r="ASY12" s="64"/>
      <c r="ASZ12" s="64"/>
      <c r="ATA12" s="64"/>
      <c r="ATB12" s="64"/>
      <c r="ATC12" s="64"/>
      <c r="ATD12" s="64"/>
      <c r="ATE12" s="64"/>
      <c r="ATF12" s="64"/>
      <c r="ATG12" s="64"/>
      <c r="ATH12" s="64"/>
      <c r="ATI12" s="64"/>
      <c r="ATJ12" s="64"/>
      <c r="ATK12" s="64"/>
      <c r="ATL12" s="64"/>
      <c r="ATM12" s="64"/>
      <c r="ATN12" s="64"/>
      <c r="ATO12" s="64"/>
      <c r="ATP12" s="64"/>
      <c r="ATQ12" s="64"/>
      <c r="ATR12" s="64"/>
      <c r="ATS12" s="64"/>
      <c r="ATT12" s="64"/>
      <c r="ATU12" s="64"/>
      <c r="ATV12" s="64"/>
      <c r="ATW12" s="64"/>
      <c r="ATX12" s="64"/>
      <c r="ATY12" s="64"/>
      <c r="ATZ12" s="64"/>
      <c r="AUA12" s="64"/>
      <c r="AUB12" s="64"/>
      <c r="AUC12" s="64"/>
      <c r="AUD12" s="64"/>
      <c r="AUE12" s="64"/>
      <c r="AUF12" s="64"/>
      <c r="AUG12" s="64"/>
      <c r="AUH12" s="64"/>
      <c r="AUI12" s="64"/>
      <c r="AUJ12" s="64"/>
      <c r="AUK12" s="64"/>
      <c r="AUL12" s="64"/>
      <c r="AUM12" s="64"/>
      <c r="AUN12" s="64"/>
      <c r="AUO12" s="64"/>
      <c r="AUP12" s="64"/>
      <c r="AUQ12" s="64"/>
      <c r="AUR12" s="64"/>
      <c r="AUS12" s="64"/>
      <c r="AUT12" s="64"/>
      <c r="AUU12" s="64"/>
      <c r="AUV12" s="64"/>
      <c r="AUW12" s="64"/>
      <c r="AUX12" s="64"/>
      <c r="AUY12" s="64"/>
      <c r="AUZ12" s="64"/>
      <c r="AVA12" s="64"/>
      <c r="AVB12" s="64"/>
      <c r="AVC12" s="64"/>
      <c r="AVD12" s="64"/>
      <c r="AVE12" s="64"/>
      <c r="AVF12" s="64"/>
      <c r="AVG12" s="64"/>
      <c r="AVH12" s="64"/>
      <c r="AVI12" s="64"/>
      <c r="AVJ12" s="64"/>
      <c r="AVK12" s="64"/>
      <c r="AVL12" s="64"/>
      <c r="AVM12" s="64"/>
      <c r="AVN12" s="64"/>
      <c r="AVO12" s="64"/>
      <c r="AVP12" s="64"/>
      <c r="AVQ12" s="64"/>
      <c r="AVR12" s="64"/>
      <c r="AVS12" s="64"/>
      <c r="AVT12" s="64"/>
      <c r="AVU12" s="64"/>
      <c r="AVV12" s="64"/>
      <c r="AVW12" s="64"/>
      <c r="AVX12" s="64"/>
      <c r="AVY12" s="64"/>
      <c r="AVZ12" s="64"/>
      <c r="AWA12" s="64"/>
      <c r="AWB12" s="64"/>
      <c r="AWC12" s="64"/>
      <c r="AWD12" s="64"/>
      <c r="AWE12" s="64"/>
      <c r="AWF12" s="64"/>
      <c r="AWG12" s="64"/>
      <c r="AWH12" s="64"/>
      <c r="AWI12" s="64"/>
      <c r="AWJ12" s="64"/>
      <c r="AWK12" s="64"/>
      <c r="AWL12" s="64"/>
      <c r="AWM12" s="64"/>
      <c r="AWN12" s="64"/>
      <c r="AWO12" s="64"/>
      <c r="AWP12" s="64"/>
      <c r="AWQ12" s="64"/>
      <c r="AWR12" s="64"/>
      <c r="AWS12" s="64"/>
      <c r="AWT12" s="64"/>
      <c r="AWU12" s="64"/>
      <c r="AWV12" s="64"/>
      <c r="AWW12" s="64"/>
      <c r="AWX12" s="64"/>
      <c r="AWY12" s="64"/>
      <c r="AWZ12" s="64"/>
      <c r="AXA12" s="64"/>
      <c r="AXB12" s="64"/>
      <c r="AXC12" s="64"/>
      <c r="AXD12" s="64"/>
      <c r="AXE12" s="64"/>
      <c r="AXF12" s="64"/>
      <c r="AXG12" s="64"/>
      <c r="AXH12" s="64"/>
      <c r="AXI12" s="64"/>
      <c r="AXJ12" s="64"/>
      <c r="AXK12" s="64"/>
      <c r="AXL12" s="64"/>
      <c r="AXM12" s="64"/>
      <c r="AXN12" s="64"/>
      <c r="AXO12" s="64"/>
      <c r="AXP12" s="64"/>
      <c r="AXQ12" s="64"/>
      <c r="AXR12" s="64"/>
      <c r="AXS12" s="64"/>
      <c r="AXT12" s="64"/>
      <c r="AXU12" s="64"/>
      <c r="AXV12" s="64"/>
      <c r="AXW12" s="64"/>
      <c r="AXX12" s="64"/>
      <c r="AXY12" s="64"/>
      <c r="AXZ12" s="64"/>
      <c r="AYA12" s="64"/>
      <c r="AYB12" s="64"/>
      <c r="AYC12" s="64"/>
      <c r="AYD12" s="64"/>
      <c r="AYE12" s="64"/>
      <c r="AYF12" s="64"/>
      <c r="AYG12" s="64"/>
      <c r="AYH12" s="64"/>
      <c r="AYI12" s="64"/>
      <c r="AYJ12" s="64"/>
      <c r="AYK12" s="64"/>
      <c r="AYL12" s="64"/>
      <c r="AYM12" s="64"/>
      <c r="AYN12" s="64"/>
      <c r="AYO12" s="64"/>
      <c r="AYP12" s="64"/>
      <c r="AYQ12" s="64"/>
      <c r="AYR12" s="64"/>
      <c r="AYS12" s="64"/>
      <c r="AYT12" s="64"/>
      <c r="AYU12" s="64"/>
      <c r="AYV12" s="64"/>
      <c r="AYW12" s="64"/>
      <c r="AYX12" s="64"/>
      <c r="AYY12" s="64"/>
      <c r="AYZ12" s="64"/>
      <c r="AZA12" s="64"/>
      <c r="AZB12" s="64"/>
      <c r="AZC12" s="64"/>
      <c r="AZD12" s="64"/>
      <c r="AZE12" s="64"/>
      <c r="AZF12" s="64"/>
      <c r="AZG12" s="64"/>
      <c r="AZH12" s="64"/>
      <c r="AZI12" s="64"/>
      <c r="AZJ12" s="64"/>
      <c r="AZK12" s="64"/>
      <c r="AZL12" s="64"/>
      <c r="AZM12" s="64"/>
      <c r="AZN12" s="64"/>
      <c r="AZO12" s="64"/>
      <c r="AZP12" s="64"/>
      <c r="AZQ12" s="64"/>
      <c r="AZR12" s="64"/>
      <c r="AZS12" s="64"/>
      <c r="AZT12" s="64"/>
      <c r="AZU12" s="64"/>
      <c r="AZV12" s="64"/>
      <c r="AZW12" s="64"/>
      <c r="AZX12" s="64"/>
      <c r="AZY12" s="64"/>
      <c r="AZZ12" s="64"/>
      <c r="BAA12" s="64"/>
      <c r="BAB12" s="64"/>
      <c r="BAC12" s="64"/>
      <c r="BAD12" s="64"/>
      <c r="BAE12" s="64"/>
      <c r="BAF12" s="64"/>
      <c r="BAG12" s="64"/>
      <c r="BAH12" s="64"/>
      <c r="BAI12" s="64"/>
      <c r="BAJ12" s="64"/>
      <c r="BAK12" s="64"/>
      <c r="BAL12" s="64"/>
      <c r="BAM12" s="64"/>
      <c r="BAN12" s="64"/>
      <c r="BAO12" s="64"/>
      <c r="BAP12" s="64"/>
      <c r="BAQ12" s="64"/>
      <c r="BAR12" s="64"/>
      <c r="BAS12" s="64"/>
      <c r="BAT12" s="64"/>
      <c r="BAU12" s="64"/>
      <c r="BAV12" s="64"/>
      <c r="BAW12" s="64"/>
      <c r="BAX12" s="64"/>
      <c r="BAY12" s="64"/>
      <c r="BAZ12" s="64"/>
      <c r="BBA12" s="64"/>
      <c r="BBB12" s="64"/>
      <c r="BBC12" s="64"/>
      <c r="BBD12" s="64"/>
      <c r="BBE12" s="64"/>
      <c r="BBF12" s="64"/>
      <c r="BBG12" s="64"/>
      <c r="BBH12" s="64"/>
      <c r="BBI12" s="64"/>
      <c r="BBJ12" s="64"/>
      <c r="BBK12" s="64"/>
      <c r="BBL12" s="64"/>
      <c r="BBM12" s="64"/>
      <c r="BBN12" s="64"/>
      <c r="BBO12" s="64"/>
      <c r="BBP12" s="64"/>
      <c r="BBQ12" s="64"/>
      <c r="BBR12" s="64"/>
      <c r="BBS12" s="64"/>
      <c r="BBT12" s="64"/>
      <c r="BBU12" s="64"/>
      <c r="BBV12" s="64"/>
      <c r="BBW12" s="64"/>
      <c r="BBX12" s="64"/>
      <c r="BBY12" s="64"/>
      <c r="BBZ12" s="64"/>
      <c r="BCA12" s="64"/>
      <c r="BCB12" s="64"/>
      <c r="BCC12" s="64"/>
      <c r="BCD12" s="64"/>
      <c r="BCE12" s="64"/>
      <c r="BCF12" s="64"/>
      <c r="BCG12" s="64"/>
      <c r="BCH12" s="64"/>
      <c r="BCI12" s="64"/>
      <c r="BCJ12" s="64"/>
      <c r="BCK12" s="64"/>
      <c r="BCL12" s="64"/>
      <c r="BCM12" s="64"/>
      <c r="BCN12" s="64"/>
      <c r="BCO12" s="64"/>
      <c r="BCP12" s="64"/>
      <c r="BCQ12" s="64"/>
      <c r="BCR12" s="64"/>
      <c r="BCS12" s="64"/>
      <c r="BCT12" s="64"/>
      <c r="BCU12" s="64"/>
      <c r="BCV12" s="64"/>
      <c r="BCW12" s="64"/>
      <c r="BCX12" s="64"/>
      <c r="BCY12" s="64"/>
      <c r="BCZ12" s="64"/>
      <c r="BDA12" s="64"/>
      <c r="BDB12" s="64"/>
      <c r="BDC12" s="64"/>
      <c r="BDD12" s="64"/>
      <c r="BDE12" s="64"/>
      <c r="BDF12" s="64"/>
      <c r="BDG12" s="64"/>
      <c r="BDH12" s="64"/>
      <c r="BDI12" s="64"/>
      <c r="BDJ12" s="64"/>
      <c r="BDK12" s="64"/>
      <c r="BDL12" s="64"/>
      <c r="BDM12" s="64"/>
      <c r="BDN12" s="64"/>
      <c r="BDO12" s="64"/>
      <c r="BDP12" s="64"/>
      <c r="BDQ12" s="64"/>
      <c r="BDR12" s="64"/>
      <c r="BDS12" s="64"/>
      <c r="BDT12" s="64"/>
      <c r="BDU12" s="64"/>
      <c r="BDV12" s="64"/>
      <c r="BDW12" s="64"/>
      <c r="BDX12" s="64"/>
      <c r="BDY12" s="64"/>
      <c r="BDZ12" s="64"/>
      <c r="BEA12" s="64"/>
      <c r="BEB12" s="64"/>
      <c r="BEC12" s="64"/>
      <c r="BED12" s="64"/>
      <c r="BEE12" s="64"/>
      <c r="BEF12" s="64"/>
      <c r="BEG12" s="64"/>
      <c r="BEH12" s="64"/>
      <c r="BEI12" s="64"/>
      <c r="BEJ12" s="64"/>
      <c r="BEK12" s="64"/>
      <c r="BEL12" s="64"/>
      <c r="BEM12" s="64"/>
      <c r="BEN12" s="64"/>
      <c r="BEO12" s="64"/>
      <c r="BEP12" s="64"/>
      <c r="BEQ12" s="64"/>
      <c r="BER12" s="64"/>
      <c r="BES12" s="64"/>
      <c r="BET12" s="64"/>
      <c r="BEU12" s="64"/>
      <c r="BEV12" s="64"/>
      <c r="BEW12" s="64"/>
      <c r="BEX12" s="64"/>
      <c r="BEY12" s="64"/>
      <c r="BEZ12" s="64"/>
      <c r="BFA12" s="64"/>
      <c r="BFB12" s="64"/>
      <c r="BFC12" s="64"/>
      <c r="BFD12" s="64"/>
      <c r="BFE12" s="64"/>
      <c r="BFF12" s="64"/>
      <c r="BFG12" s="64"/>
      <c r="BFH12" s="64"/>
      <c r="BFI12" s="64"/>
      <c r="BFJ12" s="64"/>
      <c r="BFK12" s="64"/>
      <c r="BFL12" s="64"/>
      <c r="BFM12" s="64"/>
      <c r="BFN12" s="64"/>
      <c r="BFO12" s="64"/>
      <c r="BFP12" s="64"/>
      <c r="BFQ12" s="64"/>
      <c r="BFR12" s="64"/>
      <c r="BFS12" s="64"/>
      <c r="BFT12" s="64"/>
      <c r="BFU12" s="64"/>
      <c r="BFV12" s="64"/>
      <c r="BFW12" s="64"/>
      <c r="BFX12" s="64"/>
      <c r="BFY12" s="64"/>
      <c r="BFZ12" s="64"/>
      <c r="BGA12" s="64"/>
      <c r="BGB12" s="64"/>
      <c r="BGC12" s="64"/>
      <c r="BGD12" s="64"/>
      <c r="BGE12" s="64"/>
      <c r="BGF12" s="64"/>
      <c r="BGG12" s="64"/>
      <c r="BGH12" s="64"/>
      <c r="BGI12" s="64"/>
      <c r="BGJ12" s="64"/>
      <c r="BGK12" s="64"/>
      <c r="BGL12" s="64"/>
      <c r="BGM12" s="64"/>
      <c r="BGN12" s="64"/>
      <c r="BGO12" s="64"/>
      <c r="BGP12" s="64"/>
      <c r="BGQ12" s="64"/>
      <c r="BGR12" s="64"/>
      <c r="BGS12" s="64"/>
      <c r="BGT12" s="64"/>
      <c r="BGU12" s="64"/>
      <c r="BGV12" s="64"/>
      <c r="BGW12" s="64"/>
      <c r="BGX12" s="64"/>
      <c r="BGY12" s="64"/>
      <c r="BGZ12" s="64"/>
      <c r="BHA12" s="64"/>
      <c r="BHB12" s="64"/>
      <c r="BHC12" s="64"/>
      <c r="BHD12" s="64"/>
      <c r="BHE12" s="64"/>
      <c r="BHF12" s="64"/>
      <c r="BHG12" s="64"/>
      <c r="BHH12" s="64"/>
      <c r="BHI12" s="64"/>
      <c r="BHJ12" s="64"/>
      <c r="BHK12" s="64"/>
      <c r="BHL12" s="64"/>
      <c r="BHM12" s="64"/>
      <c r="BHN12" s="64"/>
      <c r="BHO12" s="64"/>
      <c r="BHP12" s="64"/>
      <c r="BHQ12" s="64"/>
      <c r="BHR12" s="64"/>
      <c r="BHS12" s="64"/>
      <c r="BHT12" s="64"/>
      <c r="BHU12" s="64"/>
      <c r="BHV12" s="64"/>
      <c r="BHW12" s="64"/>
      <c r="BHX12" s="64"/>
      <c r="BHY12" s="64"/>
      <c r="BHZ12" s="64"/>
      <c r="BIA12" s="64"/>
      <c r="BIB12" s="64"/>
      <c r="BIC12" s="64"/>
      <c r="BID12" s="64"/>
      <c r="BIE12" s="64"/>
      <c r="BIF12" s="64"/>
      <c r="BIG12" s="64"/>
      <c r="BIH12" s="64"/>
      <c r="BII12" s="64"/>
      <c r="BIJ12" s="64"/>
      <c r="BIK12" s="64"/>
      <c r="BIL12" s="64"/>
      <c r="BIM12" s="64"/>
      <c r="BIN12" s="64"/>
      <c r="BIO12" s="64"/>
      <c r="BIP12" s="64"/>
      <c r="BIQ12" s="64"/>
      <c r="BIR12" s="64"/>
      <c r="BIS12" s="64"/>
      <c r="BIT12" s="64"/>
      <c r="BIU12" s="64"/>
      <c r="BIV12" s="64"/>
      <c r="BIW12" s="64"/>
      <c r="BIX12" s="64"/>
      <c r="BIY12" s="64"/>
      <c r="BIZ12" s="64"/>
      <c r="BJA12" s="64"/>
      <c r="BJB12" s="64"/>
      <c r="BJC12" s="64"/>
      <c r="BJD12" s="64"/>
      <c r="BJE12" s="64"/>
      <c r="BJF12" s="64"/>
      <c r="BJG12" s="64"/>
      <c r="BJH12" s="64"/>
      <c r="BJI12" s="64"/>
      <c r="BJJ12" s="64"/>
      <c r="BJK12" s="64"/>
      <c r="BJL12" s="64"/>
      <c r="BJM12" s="64"/>
      <c r="BJN12" s="64"/>
      <c r="BJO12" s="64"/>
      <c r="BJP12" s="64"/>
      <c r="BJQ12" s="64"/>
      <c r="BJR12" s="64"/>
      <c r="BJS12" s="64"/>
      <c r="BJT12" s="64"/>
      <c r="BJU12" s="64"/>
      <c r="BJV12" s="64"/>
      <c r="BJW12" s="64"/>
      <c r="BJX12" s="64"/>
      <c r="BJY12" s="64"/>
      <c r="BJZ12" s="64"/>
      <c r="BKA12" s="64"/>
      <c r="BKB12" s="64"/>
      <c r="BKC12" s="64"/>
      <c r="BKD12" s="64"/>
      <c r="BKE12" s="64"/>
      <c r="BKF12" s="64"/>
      <c r="BKG12" s="64"/>
      <c r="BKH12" s="64"/>
      <c r="BKI12" s="64"/>
      <c r="BKJ12" s="64"/>
      <c r="BKK12" s="64"/>
      <c r="BKL12" s="64"/>
      <c r="BKM12" s="64"/>
      <c r="BKN12" s="64"/>
      <c r="BKO12" s="64"/>
      <c r="BKP12" s="64"/>
      <c r="BKQ12" s="64"/>
      <c r="BKR12" s="64"/>
      <c r="BKS12" s="64"/>
      <c r="BKT12" s="64"/>
      <c r="BKU12" s="64"/>
      <c r="BKV12" s="64"/>
      <c r="BKW12" s="64"/>
      <c r="BKX12" s="64"/>
      <c r="BKY12" s="64"/>
      <c r="BKZ12" s="64"/>
      <c r="BLA12" s="64"/>
      <c r="BLB12" s="64"/>
      <c r="BLC12" s="64"/>
      <c r="BLD12" s="64"/>
      <c r="BLE12" s="64"/>
      <c r="BLF12" s="64"/>
      <c r="BLG12" s="64"/>
      <c r="BLH12" s="64"/>
      <c r="BLI12" s="64"/>
      <c r="BLJ12" s="64"/>
      <c r="BLK12" s="64"/>
      <c r="BLL12" s="64"/>
      <c r="BLM12" s="64"/>
      <c r="BLN12" s="64"/>
      <c r="BLO12" s="64"/>
      <c r="BLP12" s="64"/>
      <c r="BLQ12" s="64"/>
      <c r="BLR12" s="64"/>
      <c r="BLS12" s="64"/>
      <c r="BLT12" s="64"/>
      <c r="BLU12" s="64"/>
      <c r="BLV12" s="64"/>
      <c r="BLW12" s="64"/>
      <c r="BLX12" s="64"/>
      <c r="BLY12" s="64"/>
      <c r="BLZ12" s="64"/>
      <c r="BMA12" s="64"/>
      <c r="BMB12" s="64"/>
      <c r="BMC12" s="64"/>
      <c r="BMD12" s="64"/>
      <c r="BME12" s="64"/>
      <c r="BMF12" s="64"/>
      <c r="BMG12" s="64"/>
      <c r="BMH12" s="64"/>
      <c r="BMI12" s="64"/>
      <c r="BMJ12" s="64"/>
      <c r="BMK12" s="64"/>
      <c r="BML12" s="64"/>
      <c r="BMM12" s="64"/>
      <c r="BMN12" s="64"/>
      <c r="BMO12" s="64"/>
      <c r="BMP12" s="64"/>
      <c r="BMQ12" s="64"/>
      <c r="BMR12" s="64"/>
      <c r="BMS12" s="64"/>
      <c r="BMT12" s="64"/>
      <c r="BMU12" s="64"/>
      <c r="BMV12" s="64"/>
      <c r="BMW12" s="64"/>
      <c r="BMX12" s="64"/>
      <c r="BMY12" s="64"/>
      <c r="BMZ12" s="64"/>
      <c r="BNA12" s="64"/>
      <c r="BNB12" s="64"/>
      <c r="BNC12" s="64"/>
      <c r="BND12" s="64"/>
      <c r="BNE12" s="64"/>
      <c r="BNF12" s="64"/>
      <c r="BNG12" s="64"/>
      <c r="BNH12" s="64"/>
      <c r="BNI12" s="64"/>
      <c r="BNJ12" s="64"/>
      <c r="BNK12" s="64"/>
      <c r="BNL12" s="64"/>
      <c r="BNM12" s="64"/>
      <c r="BNN12" s="64"/>
      <c r="BNO12" s="64"/>
      <c r="BNP12" s="64"/>
      <c r="BNQ12" s="64"/>
      <c r="BNR12" s="64"/>
      <c r="BNS12" s="64"/>
      <c r="BNT12" s="64"/>
      <c r="BNU12" s="64"/>
      <c r="BNV12" s="64"/>
      <c r="BNW12" s="64"/>
      <c r="BNX12" s="64"/>
      <c r="BNY12" s="64"/>
      <c r="BNZ12" s="64"/>
      <c r="BOA12" s="64"/>
      <c r="BOB12" s="64"/>
      <c r="BOC12" s="64"/>
      <c r="BOD12" s="64"/>
      <c r="BOE12" s="64"/>
      <c r="BOF12" s="64"/>
      <c r="BOG12" s="64"/>
      <c r="BOH12" s="64"/>
      <c r="BOI12" s="64"/>
      <c r="BOJ12" s="64"/>
      <c r="BOK12" s="64"/>
      <c r="BOL12" s="64"/>
      <c r="BOM12" s="64"/>
      <c r="BON12" s="64"/>
      <c r="BOO12" s="64"/>
      <c r="BOP12" s="64"/>
      <c r="BOQ12" s="64"/>
      <c r="BOR12" s="64"/>
      <c r="BOS12" s="64"/>
      <c r="BOT12" s="64"/>
      <c r="BOU12" s="64"/>
      <c r="BOV12" s="64"/>
      <c r="BOW12" s="64"/>
      <c r="BOX12" s="64"/>
      <c r="BOY12" s="64"/>
      <c r="BOZ12" s="64"/>
      <c r="BPA12" s="64"/>
      <c r="BPB12" s="64"/>
      <c r="BPC12" s="64"/>
      <c r="BPD12" s="64"/>
      <c r="BPE12" s="64"/>
      <c r="BPF12" s="64"/>
      <c r="BPG12" s="64"/>
      <c r="BPH12" s="64"/>
      <c r="BPI12" s="64"/>
      <c r="BPJ12" s="64"/>
      <c r="BPK12" s="64"/>
      <c r="BPL12" s="64"/>
      <c r="BPM12" s="64"/>
      <c r="BPN12" s="64"/>
      <c r="BPO12" s="64"/>
      <c r="BPP12" s="64"/>
      <c r="BPQ12" s="64"/>
      <c r="BPR12" s="64"/>
      <c r="BPS12" s="64"/>
      <c r="BPT12" s="64"/>
      <c r="BPU12" s="64"/>
      <c r="BPV12" s="64"/>
      <c r="BPW12" s="64"/>
      <c r="BPX12" s="64"/>
      <c r="BPY12" s="64"/>
      <c r="BPZ12" s="64"/>
      <c r="BQA12" s="64"/>
      <c r="BQB12" s="64"/>
      <c r="BQC12" s="64"/>
      <c r="BQD12" s="64"/>
      <c r="BQE12" s="64"/>
      <c r="BQF12" s="64"/>
      <c r="BQG12" s="64"/>
      <c r="BQH12" s="64"/>
      <c r="BQI12" s="64"/>
      <c r="BQJ12" s="64"/>
      <c r="BQK12" s="64"/>
      <c r="BQL12" s="64"/>
      <c r="BQM12" s="64"/>
      <c r="BQN12" s="64"/>
      <c r="BQO12" s="64"/>
      <c r="BQP12" s="64"/>
      <c r="BQQ12" s="64"/>
      <c r="BQR12" s="64"/>
      <c r="BQS12" s="64"/>
      <c r="BQT12" s="64"/>
      <c r="BQU12" s="64"/>
      <c r="BQV12" s="64"/>
      <c r="BQW12" s="64"/>
      <c r="BQX12" s="64"/>
      <c r="BQY12" s="64"/>
      <c r="BQZ12" s="64"/>
      <c r="BRA12" s="64"/>
      <c r="BRB12" s="64"/>
      <c r="BRC12" s="64"/>
      <c r="BRD12" s="64"/>
      <c r="BRE12" s="64"/>
      <c r="BRF12" s="64"/>
      <c r="BRG12" s="64"/>
      <c r="BRH12" s="64"/>
      <c r="BRI12" s="64"/>
      <c r="BRJ12" s="64"/>
      <c r="BRK12" s="64"/>
      <c r="BRL12" s="64"/>
      <c r="BRM12" s="64"/>
      <c r="BRN12" s="64"/>
      <c r="BRO12" s="64"/>
      <c r="BRP12" s="64"/>
      <c r="BRQ12" s="64"/>
      <c r="BRR12" s="64"/>
      <c r="BRS12" s="64"/>
      <c r="BRT12" s="64"/>
      <c r="BRU12" s="64"/>
      <c r="BRV12" s="64"/>
      <c r="BRW12" s="64"/>
      <c r="BRX12" s="64"/>
      <c r="BRY12" s="64"/>
      <c r="BRZ12" s="64"/>
      <c r="BSA12" s="64"/>
      <c r="BSB12" s="64"/>
      <c r="BSC12" s="64"/>
      <c r="BSD12" s="64"/>
      <c r="BSE12" s="64"/>
      <c r="BSF12" s="64"/>
      <c r="BSG12" s="64"/>
      <c r="BSH12" s="64"/>
      <c r="BSI12" s="64"/>
      <c r="BSJ12" s="64"/>
      <c r="BSK12" s="64"/>
      <c r="BSL12" s="64"/>
      <c r="BSM12" s="64"/>
      <c r="BSN12" s="64"/>
      <c r="BSO12" s="64"/>
      <c r="BSP12" s="64"/>
      <c r="BSQ12" s="64"/>
      <c r="BSR12" s="64"/>
      <c r="BSS12" s="64"/>
      <c r="BST12" s="64"/>
      <c r="BSU12" s="64"/>
      <c r="BSV12" s="64"/>
      <c r="BSW12" s="64"/>
      <c r="BSX12" s="64"/>
      <c r="BSY12" s="64"/>
      <c r="BSZ12" s="64"/>
      <c r="BTA12" s="64"/>
      <c r="BTB12" s="64"/>
      <c r="BTC12" s="64"/>
      <c r="BTD12" s="64"/>
      <c r="BTE12" s="64"/>
      <c r="BTF12" s="64"/>
      <c r="BTG12" s="64"/>
      <c r="BTH12" s="64"/>
      <c r="BTI12" s="64"/>
      <c r="BTJ12" s="64"/>
      <c r="BTK12" s="64"/>
      <c r="BTL12" s="64"/>
      <c r="BTM12" s="64"/>
      <c r="BTN12" s="64"/>
      <c r="BTO12" s="64"/>
      <c r="BTP12" s="64"/>
      <c r="BTQ12" s="64"/>
      <c r="BTR12" s="64"/>
      <c r="BTS12" s="64"/>
      <c r="BTT12" s="64"/>
      <c r="BTU12" s="64"/>
      <c r="BTV12" s="64"/>
      <c r="BTW12" s="64"/>
      <c r="BTX12" s="64"/>
      <c r="BTY12" s="64"/>
      <c r="BTZ12" s="64"/>
      <c r="BUA12" s="64"/>
      <c r="BUB12" s="64"/>
      <c r="BUC12" s="64"/>
      <c r="BUD12" s="64"/>
      <c r="BUE12" s="64"/>
      <c r="BUF12" s="64"/>
      <c r="BUG12" s="64"/>
      <c r="BUH12" s="64"/>
      <c r="BUI12" s="64"/>
      <c r="BUJ12" s="64"/>
      <c r="BUK12" s="64"/>
      <c r="BUL12" s="64"/>
      <c r="BUM12" s="64"/>
      <c r="BUN12" s="64"/>
      <c r="BUO12" s="64"/>
      <c r="BUP12" s="64"/>
      <c r="BUQ12" s="64"/>
      <c r="BUR12" s="64"/>
      <c r="BUS12" s="64"/>
      <c r="BUT12" s="64"/>
      <c r="BUU12" s="64"/>
      <c r="BUV12" s="64"/>
      <c r="BUW12" s="64"/>
      <c r="BUX12" s="64"/>
      <c r="BUY12" s="64"/>
      <c r="BUZ12" s="64"/>
      <c r="BVA12" s="64"/>
      <c r="BVB12" s="64"/>
      <c r="BVC12" s="64"/>
      <c r="BVD12" s="64"/>
      <c r="BVE12" s="64"/>
      <c r="BVF12" s="64"/>
      <c r="BVG12" s="64"/>
      <c r="BVH12" s="64"/>
      <c r="BVI12" s="64"/>
      <c r="BVJ12" s="64"/>
      <c r="BVK12" s="64"/>
      <c r="BVL12" s="64"/>
      <c r="BVM12" s="64"/>
      <c r="BVN12" s="64"/>
      <c r="BVO12" s="64"/>
      <c r="BVP12" s="64"/>
      <c r="BVQ12" s="64"/>
      <c r="BVR12" s="64"/>
      <c r="BVS12" s="64"/>
      <c r="BVT12" s="64"/>
      <c r="BVU12" s="64"/>
      <c r="BVV12" s="64"/>
      <c r="BVW12" s="64"/>
      <c r="BVX12" s="64"/>
      <c r="BVY12" s="64"/>
      <c r="BVZ12" s="64"/>
      <c r="BWA12" s="64"/>
      <c r="BWB12" s="64"/>
      <c r="BWC12" s="64"/>
      <c r="BWD12" s="64"/>
      <c r="BWE12" s="64"/>
      <c r="BWF12" s="64"/>
      <c r="BWG12" s="64"/>
      <c r="BWH12" s="64"/>
      <c r="BWI12" s="64"/>
      <c r="BWJ12" s="64"/>
      <c r="BWK12" s="64"/>
      <c r="BWL12" s="64"/>
      <c r="BWM12" s="64"/>
      <c r="BWN12" s="64"/>
      <c r="BWO12" s="64"/>
      <c r="BWP12" s="64"/>
      <c r="BWQ12" s="64"/>
      <c r="BWR12" s="64"/>
      <c r="BWS12" s="64"/>
      <c r="BWT12" s="64"/>
      <c r="BWU12" s="64"/>
      <c r="BWV12" s="64"/>
      <c r="BWW12" s="64"/>
      <c r="BWX12" s="64"/>
      <c r="BWY12" s="64"/>
      <c r="BWZ12" s="64"/>
      <c r="BXA12" s="64"/>
      <c r="BXB12" s="64"/>
      <c r="BXC12" s="64"/>
      <c r="BXD12" s="64"/>
      <c r="BXE12" s="64"/>
      <c r="BXF12" s="64"/>
      <c r="BXG12" s="64"/>
      <c r="BXH12" s="64"/>
      <c r="BXI12" s="64"/>
      <c r="BXJ12" s="64"/>
      <c r="BXK12" s="64"/>
      <c r="BXL12" s="64"/>
      <c r="BXM12" s="64"/>
      <c r="BXN12" s="64"/>
      <c r="BXO12" s="64"/>
      <c r="BXP12" s="64"/>
      <c r="BXQ12" s="64"/>
      <c r="BXR12" s="64"/>
      <c r="BXS12" s="64"/>
      <c r="BXT12" s="64"/>
      <c r="BXU12" s="64"/>
      <c r="BXV12" s="64"/>
      <c r="BXW12" s="64"/>
      <c r="BXX12" s="64"/>
      <c r="BXY12" s="64"/>
      <c r="BXZ12" s="64"/>
      <c r="BYA12" s="64"/>
      <c r="BYB12" s="64"/>
      <c r="BYC12" s="64"/>
      <c r="BYD12" s="64"/>
      <c r="BYE12" s="64"/>
      <c r="BYF12" s="64"/>
      <c r="BYG12" s="64"/>
      <c r="BYH12" s="64"/>
      <c r="BYI12" s="64"/>
      <c r="BYJ12" s="64"/>
      <c r="BYK12" s="64"/>
      <c r="BYL12" s="64"/>
      <c r="BYM12" s="64"/>
      <c r="BYN12" s="64"/>
      <c r="BYO12" s="64"/>
      <c r="BYP12" s="64"/>
      <c r="BYQ12" s="64"/>
      <c r="BYR12" s="64"/>
      <c r="BYS12" s="64"/>
      <c r="BYT12" s="64"/>
      <c r="BYU12" s="64"/>
      <c r="BYV12" s="64"/>
      <c r="BYW12" s="64"/>
      <c r="BYX12" s="64"/>
      <c r="BYY12" s="64"/>
      <c r="BYZ12" s="64"/>
      <c r="BZA12" s="64"/>
      <c r="BZB12" s="64"/>
      <c r="BZC12" s="64"/>
      <c r="BZD12" s="64"/>
      <c r="BZE12" s="64"/>
      <c r="BZF12" s="64"/>
      <c r="BZG12" s="64"/>
      <c r="BZH12" s="64"/>
      <c r="BZI12" s="64"/>
      <c r="BZJ12" s="64"/>
      <c r="BZK12" s="64"/>
      <c r="BZL12" s="64"/>
      <c r="BZM12" s="64"/>
      <c r="BZN12" s="64"/>
      <c r="BZO12" s="64"/>
      <c r="BZP12" s="64"/>
      <c r="BZQ12" s="64"/>
      <c r="BZR12" s="64"/>
      <c r="BZS12" s="64"/>
      <c r="BZT12" s="64"/>
      <c r="BZU12" s="64"/>
      <c r="BZV12" s="64"/>
      <c r="BZW12" s="64"/>
      <c r="BZX12" s="64"/>
      <c r="BZY12" s="64"/>
      <c r="BZZ12" s="64"/>
      <c r="CAA12" s="64"/>
      <c r="CAB12" s="64"/>
      <c r="CAC12" s="64"/>
      <c r="CAD12" s="64"/>
      <c r="CAE12" s="64"/>
      <c r="CAF12" s="64"/>
      <c r="CAG12" s="64"/>
      <c r="CAH12" s="64"/>
      <c r="CAI12" s="64"/>
      <c r="CAJ12" s="64"/>
      <c r="CAK12" s="64"/>
      <c r="CAL12" s="64"/>
      <c r="CAM12" s="64"/>
      <c r="CAN12" s="64"/>
      <c r="CAO12" s="64"/>
      <c r="CAP12" s="64"/>
      <c r="CAQ12" s="64"/>
      <c r="CAR12" s="64"/>
      <c r="CAS12" s="64"/>
      <c r="CAT12" s="64"/>
      <c r="CAU12" s="64"/>
      <c r="CAV12" s="64"/>
      <c r="CAW12" s="64"/>
      <c r="CAX12" s="64"/>
      <c r="CAY12" s="64"/>
      <c r="CAZ12" s="64"/>
      <c r="CBA12" s="64"/>
      <c r="CBB12" s="64"/>
      <c r="CBC12" s="64"/>
      <c r="CBD12" s="64"/>
      <c r="CBE12" s="64"/>
      <c r="CBF12" s="64"/>
      <c r="CBG12" s="64"/>
      <c r="CBH12" s="64"/>
      <c r="CBI12" s="64"/>
      <c r="CBJ12" s="64"/>
      <c r="CBK12" s="64"/>
      <c r="CBL12" s="64"/>
      <c r="CBM12" s="64"/>
      <c r="CBN12" s="64"/>
      <c r="CBO12" s="64"/>
      <c r="CBP12" s="64"/>
      <c r="CBQ12" s="64"/>
      <c r="CBR12" s="64"/>
      <c r="CBS12" s="64"/>
      <c r="CBT12" s="64"/>
      <c r="CBU12" s="64"/>
      <c r="CBV12" s="64"/>
      <c r="CBW12" s="64"/>
      <c r="CBX12" s="64"/>
      <c r="CBY12" s="64"/>
      <c r="CBZ12" s="64"/>
      <c r="CCA12" s="64"/>
      <c r="CCB12" s="64"/>
      <c r="CCC12" s="64"/>
      <c r="CCD12" s="64"/>
      <c r="CCE12" s="64"/>
      <c r="CCF12" s="64"/>
      <c r="CCG12" s="64"/>
      <c r="CCH12" s="64"/>
      <c r="CCI12" s="64"/>
      <c r="CCJ12" s="64"/>
      <c r="CCK12" s="64"/>
      <c r="CCL12" s="64"/>
      <c r="CCM12" s="64"/>
      <c r="CCN12" s="64"/>
      <c r="CCO12" s="64"/>
      <c r="CCP12" s="64"/>
      <c r="CCQ12" s="64"/>
      <c r="CCR12" s="64"/>
      <c r="CCS12" s="64"/>
      <c r="CCT12" s="64"/>
      <c r="CCU12" s="64"/>
      <c r="CCV12" s="64"/>
      <c r="CCW12" s="64"/>
      <c r="CCX12" s="64"/>
      <c r="CCY12" s="64"/>
      <c r="CCZ12" s="64"/>
      <c r="CDA12" s="64"/>
      <c r="CDB12" s="64"/>
      <c r="CDC12" s="64"/>
      <c r="CDD12" s="64"/>
      <c r="CDE12" s="64"/>
      <c r="CDF12" s="64"/>
      <c r="CDG12" s="64"/>
      <c r="CDH12" s="64"/>
      <c r="CDI12" s="64"/>
      <c r="CDJ12" s="64"/>
      <c r="CDK12" s="64"/>
      <c r="CDL12" s="64"/>
      <c r="CDM12" s="64"/>
      <c r="CDN12" s="64"/>
      <c r="CDO12" s="64"/>
      <c r="CDP12" s="64"/>
      <c r="CDQ12" s="64"/>
      <c r="CDR12" s="64"/>
      <c r="CDS12" s="64"/>
      <c r="CDT12" s="64"/>
      <c r="CDU12" s="64"/>
      <c r="CDV12" s="64"/>
      <c r="CDW12" s="64"/>
      <c r="CDX12" s="64"/>
      <c r="CDY12" s="64"/>
      <c r="CDZ12" s="64"/>
      <c r="CEA12" s="64"/>
      <c r="CEB12" s="64"/>
      <c r="CEC12" s="64"/>
      <c r="CED12" s="64"/>
      <c r="CEE12" s="64"/>
      <c r="CEF12" s="64"/>
      <c r="CEG12" s="64"/>
      <c r="CEH12" s="64"/>
      <c r="CEI12" s="64"/>
      <c r="CEJ12" s="64"/>
      <c r="CEK12" s="64"/>
      <c r="CEL12" s="64"/>
      <c r="CEM12" s="64"/>
      <c r="CEN12" s="64"/>
      <c r="CEO12" s="64"/>
      <c r="CEP12" s="64"/>
      <c r="CEQ12" s="64"/>
      <c r="CER12" s="64"/>
      <c r="CES12" s="64"/>
      <c r="CET12" s="64"/>
      <c r="CEU12" s="64"/>
      <c r="CEV12" s="64"/>
      <c r="CEW12" s="64"/>
      <c r="CEX12" s="64"/>
      <c r="CEY12" s="64"/>
      <c r="CEZ12" s="64"/>
      <c r="CFA12" s="64"/>
      <c r="CFB12" s="64"/>
      <c r="CFC12" s="64"/>
      <c r="CFD12" s="64"/>
      <c r="CFE12" s="64"/>
      <c r="CFF12" s="64"/>
      <c r="CFG12" s="64"/>
      <c r="CFH12" s="64"/>
      <c r="CFI12" s="64"/>
      <c r="CFJ12" s="64"/>
      <c r="CFK12" s="64"/>
      <c r="CFL12" s="64"/>
      <c r="CFM12" s="64"/>
      <c r="CFN12" s="64"/>
      <c r="CFO12" s="64"/>
      <c r="CFP12" s="64"/>
      <c r="CFQ12" s="64"/>
      <c r="CFR12" s="64"/>
      <c r="CFS12" s="64"/>
      <c r="CFT12" s="64"/>
      <c r="CFU12" s="64"/>
      <c r="CFV12" s="64"/>
      <c r="CFW12" s="64"/>
      <c r="CFX12" s="64"/>
      <c r="CFY12" s="64"/>
      <c r="CFZ12" s="64"/>
      <c r="CGA12" s="64"/>
      <c r="CGB12" s="64"/>
      <c r="CGC12" s="64"/>
      <c r="CGD12" s="64"/>
      <c r="CGE12" s="64"/>
      <c r="CGF12" s="64"/>
      <c r="CGG12" s="64"/>
      <c r="CGH12" s="64"/>
      <c r="CGI12" s="64"/>
      <c r="CGJ12" s="64"/>
      <c r="CGK12" s="64"/>
      <c r="CGL12" s="64"/>
      <c r="CGM12" s="64"/>
      <c r="CGN12" s="64"/>
      <c r="CGO12" s="64"/>
      <c r="CGP12" s="64"/>
      <c r="CGQ12" s="64"/>
      <c r="CGR12" s="64"/>
      <c r="CGS12" s="64"/>
      <c r="CGT12" s="64"/>
      <c r="CGU12" s="64"/>
      <c r="CGV12" s="64"/>
      <c r="CGW12" s="64"/>
      <c r="CGX12" s="64"/>
      <c r="CGY12" s="64"/>
      <c r="CGZ12" s="64"/>
      <c r="CHA12" s="64"/>
      <c r="CHB12" s="64"/>
      <c r="CHC12" s="64"/>
      <c r="CHD12" s="64"/>
      <c r="CHE12" s="64"/>
      <c r="CHF12" s="64"/>
      <c r="CHG12" s="64"/>
      <c r="CHH12" s="64"/>
      <c r="CHI12" s="64"/>
      <c r="CHJ12" s="64"/>
      <c r="CHK12" s="64"/>
      <c r="CHL12" s="64"/>
      <c r="CHM12" s="64"/>
      <c r="CHN12" s="64"/>
      <c r="CHO12" s="64"/>
      <c r="CHP12" s="64"/>
      <c r="CHQ12" s="64"/>
      <c r="CHR12" s="64"/>
      <c r="CHS12" s="64"/>
      <c r="CHT12" s="64"/>
      <c r="CHU12" s="64"/>
      <c r="CHV12" s="64"/>
      <c r="CHW12" s="64"/>
      <c r="CHX12" s="64"/>
      <c r="CHY12" s="64"/>
      <c r="CHZ12" s="64"/>
      <c r="CIA12" s="64"/>
      <c r="CIB12" s="64"/>
      <c r="CIC12" s="64"/>
      <c r="CID12" s="64"/>
      <c r="CIE12" s="64"/>
      <c r="CIF12" s="64"/>
      <c r="CIG12" s="64"/>
      <c r="CIH12" s="64"/>
      <c r="CII12" s="64"/>
      <c r="CIJ12" s="64"/>
      <c r="CIK12" s="64"/>
      <c r="CIL12" s="64"/>
      <c r="CIM12" s="64"/>
      <c r="CIN12" s="64"/>
      <c r="CIO12" s="64"/>
      <c r="CIP12" s="64"/>
      <c r="CIQ12" s="64"/>
      <c r="CIR12" s="64"/>
      <c r="CIS12" s="64"/>
      <c r="CIT12" s="64"/>
      <c r="CIU12" s="64"/>
      <c r="CIV12" s="64"/>
      <c r="CIW12" s="64"/>
      <c r="CIX12" s="64"/>
      <c r="CIY12" s="64"/>
      <c r="CIZ12" s="64"/>
      <c r="CJA12" s="64"/>
      <c r="CJB12" s="64"/>
      <c r="CJC12" s="64"/>
      <c r="CJD12" s="64"/>
      <c r="CJE12" s="64"/>
      <c r="CJF12" s="64"/>
      <c r="CJG12" s="64"/>
      <c r="CJH12" s="64"/>
      <c r="CJI12" s="64"/>
      <c r="CJJ12" s="64"/>
      <c r="CJK12" s="64"/>
      <c r="CJL12" s="64"/>
      <c r="CJM12" s="64"/>
      <c r="CJN12" s="64"/>
      <c r="CJO12" s="64"/>
      <c r="CJP12" s="64"/>
      <c r="CJQ12" s="64"/>
      <c r="CJR12" s="64"/>
      <c r="CJS12" s="64"/>
      <c r="CJT12" s="64"/>
      <c r="CJU12" s="64"/>
      <c r="CJV12" s="64"/>
      <c r="CJW12" s="64"/>
      <c r="CJX12" s="64"/>
      <c r="CJY12" s="64"/>
      <c r="CJZ12" s="64"/>
      <c r="CKA12" s="64"/>
      <c r="CKB12" s="64"/>
      <c r="CKC12" s="64"/>
      <c r="CKD12" s="64"/>
      <c r="CKE12" s="64"/>
      <c r="CKF12" s="64"/>
      <c r="CKG12" s="64"/>
      <c r="CKH12" s="64"/>
      <c r="CKI12" s="64"/>
      <c r="CKJ12" s="64"/>
      <c r="CKK12" s="64"/>
      <c r="CKL12" s="64"/>
      <c r="CKM12" s="64"/>
      <c r="CKN12" s="64"/>
      <c r="CKO12" s="64"/>
      <c r="CKP12" s="64"/>
      <c r="CKQ12" s="64"/>
      <c r="CKR12" s="64"/>
      <c r="CKS12" s="64"/>
      <c r="CKT12" s="64"/>
      <c r="CKU12" s="64"/>
      <c r="CKV12" s="64"/>
      <c r="CKW12" s="64"/>
      <c r="CKX12" s="64"/>
      <c r="CKY12" s="64"/>
      <c r="CKZ12" s="64"/>
      <c r="CLA12" s="64"/>
      <c r="CLB12" s="64"/>
      <c r="CLC12" s="64"/>
      <c r="CLD12" s="64"/>
      <c r="CLE12" s="64"/>
      <c r="CLF12" s="64"/>
      <c r="CLG12" s="64"/>
      <c r="CLH12" s="64"/>
      <c r="CLI12" s="64"/>
      <c r="CLJ12" s="64"/>
      <c r="CLK12" s="64"/>
      <c r="CLL12" s="64"/>
      <c r="CLM12" s="64"/>
      <c r="CLN12" s="64"/>
      <c r="CLO12" s="64"/>
      <c r="CLP12" s="64"/>
      <c r="CLQ12" s="64"/>
      <c r="CLR12" s="64"/>
      <c r="CLS12" s="64"/>
      <c r="CLT12" s="64"/>
      <c r="CLU12" s="64"/>
      <c r="CLV12" s="64"/>
      <c r="CLW12" s="64"/>
      <c r="CLX12" s="64"/>
      <c r="CLY12" s="64"/>
      <c r="CLZ12" s="64"/>
      <c r="CMA12" s="64"/>
      <c r="CMB12" s="64"/>
      <c r="CMC12" s="64"/>
      <c r="CMD12" s="64"/>
      <c r="CME12" s="64"/>
      <c r="CMF12" s="64"/>
      <c r="CMG12" s="64"/>
      <c r="CMH12" s="64"/>
      <c r="CMI12" s="64"/>
      <c r="CMJ12" s="64"/>
      <c r="CMK12" s="64"/>
      <c r="CML12" s="64"/>
      <c r="CMM12" s="64"/>
      <c r="CMN12" s="64"/>
      <c r="CMO12" s="64"/>
      <c r="CMP12" s="64"/>
      <c r="CMQ12" s="64"/>
      <c r="CMR12" s="64"/>
      <c r="CMS12" s="64"/>
      <c r="CMT12" s="64"/>
      <c r="CMU12" s="64"/>
      <c r="CMV12" s="64"/>
      <c r="CMW12" s="64"/>
      <c r="CMX12" s="64"/>
      <c r="CMY12" s="64"/>
      <c r="CMZ12" s="64"/>
      <c r="CNA12" s="64"/>
      <c r="CNB12" s="64"/>
      <c r="CNC12" s="64"/>
      <c r="CND12" s="64"/>
      <c r="CNE12" s="64"/>
      <c r="CNF12" s="64"/>
      <c r="CNG12" s="64"/>
      <c r="CNH12" s="64"/>
      <c r="CNI12" s="64"/>
      <c r="CNJ12" s="64"/>
      <c r="CNK12" s="64"/>
      <c r="CNL12" s="64"/>
      <c r="CNM12" s="64"/>
      <c r="CNN12" s="64"/>
      <c r="CNO12" s="64"/>
      <c r="CNP12" s="64"/>
      <c r="CNQ12" s="64"/>
      <c r="CNR12" s="64"/>
      <c r="CNS12" s="64"/>
      <c r="CNT12" s="64"/>
      <c r="CNU12" s="64"/>
      <c r="CNV12" s="64"/>
      <c r="CNW12" s="64"/>
      <c r="CNX12" s="64"/>
      <c r="CNY12" s="64"/>
      <c r="CNZ12" s="64"/>
      <c r="COA12" s="64"/>
      <c r="COB12" s="64"/>
      <c r="COC12" s="64"/>
      <c r="COD12" s="64"/>
      <c r="COE12" s="64"/>
      <c r="COF12" s="64"/>
      <c r="COG12" s="64"/>
      <c r="COH12" s="64"/>
      <c r="COI12" s="64"/>
      <c r="COJ12" s="64"/>
      <c r="COK12" s="64"/>
      <c r="COL12" s="64"/>
      <c r="COM12" s="64"/>
      <c r="CON12" s="64"/>
      <c r="COO12" s="64"/>
      <c r="COP12" s="64"/>
      <c r="COQ12" s="64"/>
      <c r="COR12" s="64"/>
      <c r="COS12" s="64"/>
      <c r="COT12" s="64"/>
      <c r="COU12" s="64"/>
      <c r="COV12" s="64"/>
      <c r="COW12" s="64"/>
      <c r="COX12" s="64"/>
      <c r="COY12" s="64"/>
      <c r="COZ12" s="64"/>
      <c r="CPA12" s="64"/>
      <c r="CPB12" s="64"/>
      <c r="CPC12" s="64"/>
      <c r="CPD12" s="64"/>
      <c r="CPE12" s="64"/>
      <c r="CPF12" s="64"/>
      <c r="CPG12" s="64"/>
      <c r="CPH12" s="64"/>
      <c r="CPI12" s="64"/>
      <c r="CPJ12" s="64"/>
      <c r="CPK12" s="64"/>
      <c r="CPL12" s="64"/>
      <c r="CPM12" s="64"/>
      <c r="CPN12" s="64"/>
      <c r="CPO12" s="64"/>
      <c r="CPP12" s="64"/>
      <c r="CPQ12" s="64"/>
      <c r="CPR12" s="64"/>
      <c r="CPS12" s="64"/>
      <c r="CPT12" s="64"/>
      <c r="CPU12" s="64"/>
      <c r="CPV12" s="64"/>
      <c r="CPW12" s="64"/>
      <c r="CPX12" s="64"/>
      <c r="CPY12" s="64"/>
      <c r="CPZ12" s="64"/>
      <c r="CQA12" s="64"/>
      <c r="CQB12" s="64"/>
      <c r="CQC12" s="64"/>
      <c r="CQD12" s="64"/>
      <c r="CQE12" s="64"/>
      <c r="CQF12" s="64"/>
      <c r="CQG12" s="64"/>
      <c r="CQH12" s="64"/>
      <c r="CQI12" s="64"/>
      <c r="CQJ12" s="64"/>
      <c r="CQK12" s="64"/>
      <c r="CQL12" s="64"/>
      <c r="CQM12" s="64"/>
      <c r="CQN12" s="64"/>
      <c r="CQO12" s="64"/>
      <c r="CQP12" s="64"/>
      <c r="CQQ12" s="64"/>
      <c r="CQR12" s="64"/>
      <c r="CQS12" s="64"/>
      <c r="CQT12" s="64"/>
      <c r="CQU12" s="64"/>
      <c r="CQV12" s="64"/>
      <c r="CQW12" s="64"/>
      <c r="CQX12" s="64"/>
      <c r="CQY12" s="64"/>
      <c r="CQZ12" s="64"/>
      <c r="CRA12" s="64"/>
      <c r="CRB12" s="64"/>
      <c r="CRC12" s="64"/>
      <c r="CRD12" s="64"/>
      <c r="CRE12" s="64"/>
      <c r="CRF12" s="64"/>
      <c r="CRG12" s="64"/>
      <c r="CRH12" s="64"/>
      <c r="CRI12" s="64"/>
      <c r="CRJ12" s="64"/>
      <c r="CRK12" s="64"/>
      <c r="CRL12" s="64"/>
      <c r="CRM12" s="64"/>
      <c r="CRN12" s="64"/>
      <c r="CRO12" s="64"/>
      <c r="CRP12" s="64"/>
      <c r="CRQ12" s="64"/>
      <c r="CRR12" s="64"/>
      <c r="CRS12" s="64"/>
      <c r="CRT12" s="64"/>
      <c r="CRU12" s="64"/>
      <c r="CRV12" s="64"/>
      <c r="CRW12" s="64"/>
      <c r="CRX12" s="64"/>
      <c r="CRY12" s="64"/>
      <c r="CRZ12" s="64"/>
      <c r="CSA12" s="64"/>
      <c r="CSB12" s="64"/>
      <c r="CSC12" s="64"/>
      <c r="CSD12" s="64"/>
      <c r="CSE12" s="64"/>
      <c r="CSF12" s="64"/>
      <c r="CSG12" s="64"/>
      <c r="CSH12" s="64"/>
      <c r="CSI12" s="64"/>
      <c r="CSJ12" s="64"/>
      <c r="CSK12" s="64"/>
      <c r="CSL12" s="64"/>
      <c r="CSM12" s="64"/>
      <c r="CSN12" s="64"/>
      <c r="CSO12" s="64"/>
      <c r="CSP12" s="64"/>
      <c r="CSQ12" s="64"/>
      <c r="CSR12" s="64"/>
      <c r="CSS12" s="64"/>
      <c r="CST12" s="64"/>
      <c r="CSU12" s="64"/>
      <c r="CSV12" s="64"/>
      <c r="CSW12" s="64"/>
      <c r="CSX12" s="64"/>
      <c r="CSY12" s="64"/>
      <c r="CSZ12" s="64"/>
      <c r="CTA12" s="64"/>
      <c r="CTB12" s="64"/>
      <c r="CTC12" s="64"/>
      <c r="CTD12" s="64"/>
      <c r="CTE12" s="64"/>
      <c r="CTF12" s="64"/>
      <c r="CTG12" s="64"/>
      <c r="CTH12" s="64"/>
      <c r="CTI12" s="64"/>
      <c r="CTJ12" s="64"/>
      <c r="CTK12" s="64"/>
      <c r="CTL12" s="64"/>
      <c r="CTM12" s="64"/>
      <c r="CTN12" s="64"/>
      <c r="CTO12" s="64"/>
      <c r="CTP12" s="64"/>
      <c r="CTQ12" s="64"/>
      <c r="CTR12" s="64"/>
      <c r="CTS12" s="64"/>
      <c r="CTT12" s="64"/>
      <c r="CTU12" s="64"/>
      <c r="CTV12" s="64"/>
      <c r="CTW12" s="64"/>
      <c r="CTX12" s="64"/>
      <c r="CTY12" s="64"/>
      <c r="CTZ12" s="64"/>
      <c r="CUA12" s="64"/>
      <c r="CUB12" s="64"/>
      <c r="CUC12" s="64"/>
      <c r="CUD12" s="64"/>
      <c r="CUE12" s="64"/>
      <c r="CUF12" s="64"/>
      <c r="CUG12" s="64"/>
      <c r="CUH12" s="64"/>
      <c r="CUI12" s="64"/>
      <c r="CUJ12" s="64"/>
      <c r="CUK12" s="64"/>
      <c r="CUL12" s="64"/>
      <c r="CUM12" s="64"/>
      <c r="CUN12" s="64"/>
      <c r="CUO12" s="64"/>
      <c r="CUP12" s="64"/>
      <c r="CUQ12" s="64"/>
      <c r="CUR12" s="64"/>
      <c r="CUS12" s="64"/>
      <c r="CUT12" s="64"/>
      <c r="CUU12" s="64"/>
      <c r="CUV12" s="64"/>
      <c r="CUW12" s="64"/>
      <c r="CUX12" s="64"/>
      <c r="CUY12" s="64"/>
      <c r="CUZ12" s="64"/>
      <c r="CVA12" s="64"/>
      <c r="CVB12" s="64"/>
      <c r="CVC12" s="64"/>
      <c r="CVD12" s="64"/>
      <c r="CVE12" s="64"/>
      <c r="CVF12" s="64"/>
      <c r="CVG12" s="64"/>
      <c r="CVH12" s="64"/>
      <c r="CVI12" s="64"/>
      <c r="CVJ12" s="64"/>
      <c r="CVK12" s="64"/>
      <c r="CVL12" s="64"/>
      <c r="CVM12" s="64"/>
      <c r="CVN12" s="64"/>
      <c r="CVO12" s="64"/>
      <c r="CVP12" s="64"/>
      <c r="CVQ12" s="64"/>
      <c r="CVR12" s="64"/>
      <c r="CVS12" s="64"/>
      <c r="CVT12" s="64"/>
      <c r="CVU12" s="64"/>
      <c r="CVV12" s="64"/>
      <c r="CVW12" s="64"/>
      <c r="CVX12" s="64"/>
      <c r="CVY12" s="64"/>
      <c r="CVZ12" s="64"/>
      <c r="CWA12" s="64"/>
      <c r="CWB12" s="64"/>
      <c r="CWC12" s="64"/>
      <c r="CWD12" s="64"/>
      <c r="CWE12" s="64"/>
      <c r="CWF12" s="64"/>
      <c r="CWG12" s="64"/>
      <c r="CWH12" s="64"/>
      <c r="CWI12" s="64"/>
      <c r="CWJ12" s="64"/>
      <c r="CWK12" s="64"/>
      <c r="CWL12" s="64"/>
      <c r="CWM12" s="64"/>
      <c r="CWN12" s="64"/>
      <c r="CWO12" s="64"/>
      <c r="CWP12" s="64"/>
      <c r="CWQ12" s="64"/>
      <c r="CWR12" s="64"/>
      <c r="CWS12" s="64"/>
      <c r="CWT12" s="64"/>
      <c r="CWU12" s="64"/>
      <c r="CWV12" s="64"/>
      <c r="CWW12" s="64"/>
      <c r="CWX12" s="64"/>
      <c r="CWY12" s="64"/>
      <c r="CWZ12" s="64"/>
      <c r="CXA12" s="64"/>
      <c r="CXB12" s="64"/>
      <c r="CXC12" s="64"/>
      <c r="CXD12" s="64"/>
      <c r="CXE12" s="64"/>
      <c r="CXF12" s="64"/>
      <c r="CXG12" s="64"/>
      <c r="CXH12" s="64"/>
      <c r="CXI12" s="64"/>
      <c r="CXJ12" s="64"/>
      <c r="CXK12" s="64"/>
      <c r="CXL12" s="64"/>
      <c r="CXM12" s="64"/>
      <c r="CXN12" s="64"/>
      <c r="CXO12" s="64"/>
      <c r="CXP12" s="64"/>
      <c r="CXQ12" s="64"/>
      <c r="CXR12" s="64"/>
      <c r="CXS12" s="64"/>
      <c r="CXT12" s="64"/>
      <c r="CXU12" s="64"/>
      <c r="CXV12" s="64"/>
      <c r="CXW12" s="64"/>
      <c r="CXX12" s="64"/>
      <c r="CXY12" s="64"/>
      <c r="CXZ12" s="64"/>
      <c r="CYA12" s="64"/>
      <c r="CYB12" s="64"/>
      <c r="CYC12" s="64"/>
      <c r="CYD12" s="64"/>
      <c r="CYE12" s="64"/>
      <c r="CYF12" s="64"/>
      <c r="CYG12" s="64"/>
      <c r="CYH12" s="64"/>
      <c r="CYI12" s="64"/>
      <c r="CYJ12" s="64"/>
      <c r="CYK12" s="64"/>
      <c r="CYL12" s="64"/>
      <c r="CYM12" s="64"/>
      <c r="CYN12" s="64"/>
      <c r="CYO12" s="64"/>
      <c r="CYP12" s="64"/>
      <c r="CYQ12" s="64"/>
      <c r="CYR12" s="64"/>
      <c r="CYS12" s="64"/>
      <c r="CYT12" s="64"/>
      <c r="CYU12" s="64"/>
      <c r="CYV12" s="64"/>
      <c r="CYW12" s="64"/>
      <c r="CYX12" s="64"/>
      <c r="CYY12" s="64"/>
      <c r="CYZ12" s="64"/>
      <c r="CZA12" s="64"/>
      <c r="CZB12" s="64"/>
      <c r="CZC12" s="64"/>
      <c r="CZD12" s="64"/>
      <c r="CZE12" s="64"/>
      <c r="CZF12" s="64"/>
      <c r="CZG12" s="64"/>
      <c r="CZH12" s="64"/>
      <c r="CZI12" s="64"/>
      <c r="CZJ12" s="64"/>
      <c r="CZK12" s="64"/>
      <c r="CZL12" s="64"/>
      <c r="CZM12" s="64"/>
      <c r="CZN12" s="64"/>
      <c r="CZO12" s="64"/>
      <c r="CZP12" s="64"/>
      <c r="CZQ12" s="64"/>
      <c r="CZR12" s="64"/>
      <c r="CZS12" s="64"/>
      <c r="CZT12" s="64"/>
      <c r="CZU12" s="64"/>
      <c r="CZV12" s="64"/>
      <c r="CZW12" s="64"/>
      <c r="CZX12" s="64"/>
      <c r="CZY12" s="64"/>
      <c r="CZZ12" s="64"/>
      <c r="DAA12" s="64"/>
      <c r="DAB12" s="64"/>
      <c r="DAC12" s="64"/>
      <c r="DAD12" s="64"/>
      <c r="DAE12" s="64"/>
      <c r="DAF12" s="64"/>
      <c r="DAG12" s="64"/>
      <c r="DAH12" s="64"/>
      <c r="DAI12" s="64"/>
      <c r="DAJ12" s="64"/>
      <c r="DAK12" s="64"/>
      <c r="DAL12" s="64"/>
      <c r="DAM12" s="64"/>
      <c r="DAN12" s="64"/>
      <c r="DAO12" s="64"/>
      <c r="DAP12" s="64"/>
      <c r="DAQ12" s="64"/>
      <c r="DAR12" s="64"/>
      <c r="DAS12" s="64"/>
      <c r="DAT12" s="64"/>
      <c r="DAU12" s="64"/>
      <c r="DAV12" s="64"/>
      <c r="DAW12" s="64"/>
      <c r="DAX12" s="64"/>
      <c r="DAY12" s="64"/>
      <c r="DAZ12" s="64"/>
      <c r="DBA12" s="64"/>
      <c r="DBB12" s="64"/>
      <c r="DBC12" s="64"/>
      <c r="DBD12" s="64"/>
      <c r="DBE12" s="64"/>
      <c r="DBF12" s="64"/>
      <c r="DBG12" s="64"/>
      <c r="DBH12" s="64"/>
      <c r="DBI12" s="64"/>
      <c r="DBJ12" s="64"/>
      <c r="DBK12" s="64"/>
      <c r="DBL12" s="64"/>
      <c r="DBM12" s="64"/>
      <c r="DBN12" s="64"/>
      <c r="DBO12" s="64"/>
      <c r="DBP12" s="64"/>
      <c r="DBQ12" s="64"/>
      <c r="DBR12" s="64"/>
      <c r="DBS12" s="64"/>
      <c r="DBT12" s="64"/>
      <c r="DBU12" s="64"/>
      <c r="DBV12" s="64"/>
      <c r="DBW12" s="64"/>
      <c r="DBX12" s="64"/>
      <c r="DBY12" s="64"/>
      <c r="DBZ12" s="64"/>
      <c r="DCA12" s="64"/>
      <c r="DCB12" s="64"/>
      <c r="DCC12" s="64"/>
      <c r="DCD12" s="64"/>
      <c r="DCE12" s="64"/>
      <c r="DCF12" s="64"/>
      <c r="DCG12" s="64"/>
      <c r="DCH12" s="64"/>
      <c r="DCI12" s="64"/>
      <c r="DCJ12" s="64"/>
      <c r="DCK12" s="64"/>
      <c r="DCL12" s="64"/>
      <c r="DCM12" s="64"/>
      <c r="DCN12" s="64"/>
      <c r="DCO12" s="64"/>
      <c r="DCP12" s="64"/>
      <c r="DCQ12" s="64"/>
      <c r="DCR12" s="64"/>
      <c r="DCS12" s="64"/>
      <c r="DCT12" s="64"/>
      <c r="DCU12" s="64"/>
      <c r="DCV12" s="64"/>
      <c r="DCW12" s="64"/>
      <c r="DCX12" s="64"/>
      <c r="DCY12" s="64"/>
      <c r="DCZ12" s="64"/>
      <c r="DDA12" s="64"/>
      <c r="DDB12" s="64"/>
      <c r="DDC12" s="64"/>
      <c r="DDD12" s="64"/>
      <c r="DDE12" s="64"/>
      <c r="DDF12" s="64"/>
      <c r="DDG12" s="64"/>
      <c r="DDH12" s="64"/>
      <c r="DDI12" s="64"/>
      <c r="DDJ12" s="64"/>
      <c r="DDK12" s="64"/>
      <c r="DDL12" s="64"/>
      <c r="DDM12" s="64"/>
      <c r="DDN12" s="64"/>
      <c r="DDO12" s="64"/>
      <c r="DDP12" s="64"/>
      <c r="DDQ12" s="64"/>
      <c r="DDR12" s="64"/>
      <c r="DDS12" s="64"/>
      <c r="DDT12" s="64"/>
      <c r="DDU12" s="64"/>
      <c r="DDV12" s="64"/>
      <c r="DDW12" s="64"/>
      <c r="DDX12" s="64"/>
      <c r="DDY12" s="64"/>
      <c r="DDZ12" s="64"/>
      <c r="DEA12" s="64"/>
      <c r="DEB12" s="64"/>
      <c r="DEC12" s="64"/>
      <c r="DED12" s="64"/>
      <c r="DEE12" s="64"/>
      <c r="DEF12" s="64"/>
      <c r="DEG12" s="64"/>
      <c r="DEH12" s="64"/>
      <c r="DEI12" s="64"/>
      <c r="DEJ12" s="64"/>
      <c r="DEK12" s="64"/>
      <c r="DEL12" s="64"/>
      <c r="DEM12" s="64"/>
      <c r="DEN12" s="64"/>
      <c r="DEO12" s="64"/>
      <c r="DEP12" s="64"/>
      <c r="DEQ12" s="64"/>
      <c r="DER12" s="64"/>
      <c r="DES12" s="64"/>
      <c r="DET12" s="64"/>
      <c r="DEU12" s="64"/>
      <c r="DEV12" s="64"/>
      <c r="DEW12" s="64"/>
      <c r="DEX12" s="64"/>
      <c r="DEY12" s="64"/>
      <c r="DEZ12" s="64"/>
      <c r="DFA12" s="64"/>
      <c r="DFB12" s="64"/>
      <c r="DFC12" s="64"/>
      <c r="DFD12" s="64"/>
      <c r="DFE12" s="64"/>
      <c r="DFF12" s="64"/>
      <c r="DFG12" s="64"/>
      <c r="DFH12" s="64"/>
      <c r="DFI12" s="64"/>
      <c r="DFJ12" s="64"/>
      <c r="DFK12" s="64"/>
      <c r="DFL12" s="64"/>
      <c r="DFM12" s="64"/>
      <c r="DFN12" s="64"/>
      <c r="DFO12" s="64"/>
      <c r="DFP12" s="64"/>
      <c r="DFQ12" s="64"/>
      <c r="DFR12" s="64"/>
      <c r="DFS12" s="64"/>
      <c r="DFT12" s="64"/>
      <c r="DFU12" s="64"/>
      <c r="DFV12" s="64"/>
      <c r="DFW12" s="64"/>
      <c r="DFX12" s="64"/>
      <c r="DFY12" s="64"/>
      <c r="DFZ12" s="64"/>
      <c r="DGA12" s="64"/>
      <c r="DGB12" s="64"/>
      <c r="DGC12" s="64"/>
      <c r="DGD12" s="64"/>
      <c r="DGE12" s="64"/>
      <c r="DGF12" s="64"/>
      <c r="DGG12" s="64"/>
      <c r="DGH12" s="64"/>
      <c r="DGI12" s="64"/>
      <c r="DGJ12" s="64"/>
      <c r="DGK12" s="64"/>
      <c r="DGL12" s="64"/>
      <c r="DGM12" s="64"/>
      <c r="DGN12" s="64"/>
      <c r="DGO12" s="64"/>
      <c r="DGP12" s="64"/>
      <c r="DGQ12" s="64"/>
      <c r="DGR12" s="64"/>
      <c r="DGS12" s="64"/>
      <c r="DGT12" s="64"/>
      <c r="DGU12" s="64"/>
      <c r="DGV12" s="64"/>
      <c r="DGW12" s="64"/>
      <c r="DGX12" s="64"/>
      <c r="DGY12" s="64"/>
      <c r="DGZ12" s="64"/>
      <c r="DHA12" s="64"/>
      <c r="DHB12" s="64"/>
      <c r="DHC12" s="64"/>
      <c r="DHD12" s="64"/>
      <c r="DHE12" s="64"/>
      <c r="DHF12" s="64"/>
      <c r="DHG12" s="64"/>
      <c r="DHH12" s="64"/>
      <c r="DHI12" s="64"/>
      <c r="DHJ12" s="64"/>
      <c r="DHK12" s="64"/>
      <c r="DHL12" s="64"/>
      <c r="DHM12" s="64"/>
      <c r="DHN12" s="64"/>
      <c r="DHO12" s="64"/>
      <c r="DHP12" s="64"/>
      <c r="DHQ12" s="64"/>
      <c r="DHR12" s="64"/>
      <c r="DHS12" s="64"/>
      <c r="DHT12" s="64"/>
      <c r="DHU12" s="64"/>
      <c r="DHV12" s="64"/>
      <c r="DHW12" s="64"/>
      <c r="DHX12" s="64"/>
      <c r="DHY12" s="64"/>
      <c r="DHZ12" s="64"/>
      <c r="DIA12" s="64"/>
      <c r="DIB12" s="64"/>
      <c r="DIC12" s="64"/>
      <c r="DID12" s="64"/>
      <c r="DIE12" s="64"/>
      <c r="DIF12" s="64"/>
      <c r="DIG12" s="64"/>
      <c r="DIH12" s="64"/>
      <c r="DII12" s="64"/>
      <c r="DIJ12" s="64"/>
      <c r="DIK12" s="64"/>
      <c r="DIL12" s="64"/>
      <c r="DIM12" s="64"/>
      <c r="DIN12" s="64"/>
      <c r="DIO12" s="64"/>
      <c r="DIP12" s="64"/>
      <c r="DIQ12" s="64"/>
      <c r="DIR12" s="64"/>
      <c r="DIS12" s="64"/>
      <c r="DIT12" s="64"/>
      <c r="DIU12" s="64"/>
      <c r="DIV12" s="64"/>
      <c r="DIW12" s="64"/>
      <c r="DIX12" s="64"/>
      <c r="DIY12" s="64"/>
      <c r="DIZ12" s="64"/>
      <c r="DJA12" s="64"/>
      <c r="DJB12" s="64"/>
      <c r="DJC12" s="64"/>
      <c r="DJD12" s="64"/>
      <c r="DJE12" s="64"/>
      <c r="DJF12" s="64"/>
      <c r="DJG12" s="64"/>
      <c r="DJH12" s="64"/>
      <c r="DJI12" s="64"/>
      <c r="DJJ12" s="64"/>
      <c r="DJK12" s="64"/>
      <c r="DJL12" s="64"/>
      <c r="DJM12" s="64"/>
      <c r="DJN12" s="64"/>
      <c r="DJO12" s="64"/>
      <c r="DJP12" s="64"/>
      <c r="DJQ12" s="64"/>
      <c r="DJR12" s="64"/>
      <c r="DJS12" s="64"/>
      <c r="DJT12" s="64"/>
      <c r="DJU12" s="64"/>
      <c r="DJV12" s="64"/>
      <c r="DJW12" s="64"/>
      <c r="DJX12" s="64"/>
      <c r="DJY12" s="64"/>
      <c r="DJZ12" s="64"/>
      <c r="DKA12" s="64"/>
      <c r="DKB12" s="64"/>
      <c r="DKC12" s="64"/>
      <c r="DKD12" s="64"/>
      <c r="DKE12" s="64"/>
      <c r="DKF12" s="64"/>
      <c r="DKG12" s="64"/>
      <c r="DKH12" s="64"/>
      <c r="DKI12" s="64"/>
      <c r="DKJ12" s="64"/>
      <c r="DKK12" s="64"/>
      <c r="DKL12" s="64"/>
      <c r="DKM12" s="64"/>
      <c r="DKN12" s="64"/>
      <c r="DKO12" s="64"/>
      <c r="DKP12" s="64"/>
      <c r="DKQ12" s="64"/>
      <c r="DKR12" s="64"/>
      <c r="DKS12" s="64"/>
      <c r="DKT12" s="64"/>
      <c r="DKU12" s="64"/>
      <c r="DKV12" s="64"/>
      <c r="DKW12" s="64"/>
      <c r="DKX12" s="64"/>
      <c r="DKY12" s="64"/>
      <c r="DKZ12" s="64"/>
      <c r="DLA12" s="64"/>
      <c r="DLB12" s="64"/>
      <c r="DLC12" s="64"/>
      <c r="DLD12" s="64"/>
      <c r="DLE12" s="64"/>
      <c r="DLF12" s="64"/>
      <c r="DLG12" s="64"/>
      <c r="DLH12" s="64"/>
      <c r="DLI12" s="64"/>
      <c r="DLJ12" s="64"/>
      <c r="DLK12" s="64"/>
      <c r="DLL12" s="64"/>
      <c r="DLM12" s="64"/>
      <c r="DLN12" s="64"/>
      <c r="DLO12" s="64"/>
      <c r="DLP12" s="64"/>
      <c r="DLQ12" s="64"/>
      <c r="DLR12" s="64"/>
      <c r="DLS12" s="64"/>
      <c r="DLT12" s="64"/>
      <c r="DLU12" s="64"/>
      <c r="DLV12" s="64"/>
      <c r="DLW12" s="64"/>
      <c r="DLX12" s="64"/>
      <c r="DLY12" s="64"/>
      <c r="DLZ12" s="64"/>
      <c r="DMA12" s="64"/>
      <c r="DMB12" s="64"/>
      <c r="DMC12" s="64"/>
      <c r="DMD12" s="64"/>
      <c r="DME12" s="64"/>
      <c r="DMF12" s="64"/>
      <c r="DMG12" s="64"/>
      <c r="DMH12" s="64"/>
      <c r="DMI12" s="64"/>
      <c r="DMJ12" s="64"/>
      <c r="DMK12" s="64"/>
      <c r="DML12" s="64"/>
      <c r="DMM12" s="64"/>
      <c r="DMN12" s="64"/>
      <c r="DMO12" s="64"/>
      <c r="DMP12" s="64"/>
      <c r="DMQ12" s="64"/>
      <c r="DMR12" s="64"/>
      <c r="DMS12" s="64"/>
      <c r="DMT12" s="64"/>
      <c r="DMU12" s="64"/>
      <c r="DMV12" s="64"/>
      <c r="DMW12" s="64"/>
      <c r="DMX12" s="64"/>
      <c r="DMY12" s="64"/>
      <c r="DMZ12" s="64"/>
      <c r="DNA12" s="64"/>
      <c r="DNB12" s="64"/>
      <c r="DNC12" s="64"/>
      <c r="DND12" s="64"/>
      <c r="DNE12" s="64"/>
      <c r="DNF12" s="64"/>
      <c r="DNG12" s="64"/>
      <c r="DNH12" s="64"/>
      <c r="DNI12" s="64"/>
      <c r="DNJ12" s="64"/>
      <c r="DNK12" s="64"/>
      <c r="DNL12" s="64"/>
      <c r="DNM12" s="64"/>
      <c r="DNN12" s="64"/>
      <c r="DNO12" s="64"/>
      <c r="DNP12" s="64"/>
      <c r="DNQ12" s="64"/>
      <c r="DNR12" s="64"/>
      <c r="DNS12" s="64"/>
      <c r="DNT12" s="64"/>
      <c r="DNU12" s="64"/>
      <c r="DNV12" s="64"/>
      <c r="DNW12" s="64"/>
      <c r="DNX12" s="64"/>
      <c r="DNY12" s="64"/>
      <c r="DNZ12" s="64"/>
      <c r="DOA12" s="64"/>
      <c r="DOB12" s="64"/>
      <c r="DOC12" s="64"/>
      <c r="DOD12" s="64"/>
      <c r="DOE12" s="64"/>
      <c r="DOF12" s="64"/>
      <c r="DOG12" s="64"/>
      <c r="DOH12" s="64"/>
      <c r="DOI12" s="64"/>
      <c r="DOJ12" s="64"/>
      <c r="DOK12" s="64"/>
      <c r="DOL12" s="64"/>
      <c r="DOM12" s="64"/>
      <c r="DON12" s="64"/>
      <c r="DOO12" s="64"/>
      <c r="DOP12" s="64"/>
      <c r="DOQ12" s="64"/>
      <c r="DOR12" s="64"/>
      <c r="DOS12" s="64"/>
      <c r="DOT12" s="64"/>
      <c r="DOU12" s="64"/>
      <c r="DOV12" s="64"/>
      <c r="DOW12" s="64"/>
      <c r="DOX12" s="64"/>
      <c r="DOY12" s="64"/>
      <c r="DOZ12" s="64"/>
      <c r="DPA12" s="64"/>
      <c r="DPB12" s="64"/>
      <c r="DPC12" s="64"/>
      <c r="DPD12" s="64"/>
      <c r="DPE12" s="64"/>
      <c r="DPF12" s="64"/>
      <c r="DPG12" s="64"/>
      <c r="DPH12" s="64"/>
      <c r="DPI12" s="64"/>
      <c r="DPJ12" s="64"/>
      <c r="DPK12" s="64"/>
      <c r="DPL12" s="64"/>
      <c r="DPM12" s="64"/>
      <c r="DPN12" s="64"/>
      <c r="DPO12" s="64"/>
      <c r="DPP12" s="64"/>
      <c r="DPQ12" s="64"/>
      <c r="DPR12" s="64"/>
      <c r="DPS12" s="64"/>
      <c r="DPT12" s="64"/>
      <c r="DPU12" s="64"/>
      <c r="DPV12" s="64"/>
      <c r="DPW12" s="64"/>
      <c r="DPX12" s="64"/>
      <c r="DPY12" s="64"/>
      <c r="DPZ12" s="64"/>
      <c r="DQA12" s="64"/>
      <c r="DQB12" s="64"/>
      <c r="DQC12" s="64"/>
      <c r="DQD12" s="64"/>
      <c r="DQE12" s="64"/>
      <c r="DQF12" s="64"/>
      <c r="DQG12" s="64"/>
      <c r="DQH12" s="64"/>
      <c r="DQI12" s="64"/>
      <c r="DQJ12" s="64"/>
      <c r="DQK12" s="64"/>
      <c r="DQL12" s="64"/>
      <c r="DQM12" s="64"/>
      <c r="DQN12" s="64"/>
      <c r="DQO12" s="64"/>
      <c r="DQP12" s="64"/>
      <c r="DQQ12" s="64"/>
      <c r="DQR12" s="64"/>
      <c r="DQS12" s="64"/>
      <c r="DQT12" s="64"/>
      <c r="DQU12" s="64"/>
      <c r="DQV12" s="64"/>
      <c r="DQW12" s="64"/>
      <c r="DQX12" s="64"/>
      <c r="DQY12" s="64"/>
      <c r="DQZ12" s="64"/>
      <c r="DRA12" s="64"/>
      <c r="DRB12" s="64"/>
      <c r="DRC12" s="64"/>
      <c r="DRD12" s="64"/>
      <c r="DRE12" s="64"/>
      <c r="DRF12" s="64"/>
      <c r="DRG12" s="64"/>
      <c r="DRH12" s="64"/>
      <c r="DRI12" s="64"/>
      <c r="DRJ12" s="64"/>
      <c r="DRK12" s="64"/>
      <c r="DRL12" s="64"/>
      <c r="DRM12" s="64"/>
      <c r="DRN12" s="64"/>
      <c r="DRO12" s="64"/>
      <c r="DRP12" s="64"/>
      <c r="DRQ12" s="64"/>
      <c r="DRR12" s="64"/>
      <c r="DRS12" s="64"/>
      <c r="DRT12" s="64"/>
      <c r="DRU12" s="64"/>
      <c r="DRV12" s="64"/>
      <c r="DRW12" s="64"/>
      <c r="DRX12" s="64"/>
      <c r="DRY12" s="64"/>
      <c r="DRZ12" s="64"/>
      <c r="DSA12" s="64"/>
      <c r="DSB12" s="64"/>
      <c r="DSC12" s="64"/>
      <c r="DSD12" s="64"/>
      <c r="DSE12" s="64"/>
      <c r="DSF12" s="64"/>
      <c r="DSG12" s="64"/>
      <c r="DSH12" s="64"/>
      <c r="DSI12" s="64"/>
      <c r="DSJ12" s="64"/>
      <c r="DSK12" s="64"/>
      <c r="DSL12" s="64"/>
      <c r="DSM12" s="64"/>
      <c r="DSN12" s="64"/>
      <c r="DSO12" s="64"/>
      <c r="DSP12" s="64"/>
      <c r="DSQ12" s="64"/>
      <c r="DSR12" s="64"/>
      <c r="DSS12" s="64"/>
      <c r="DST12" s="64"/>
      <c r="DSU12" s="64"/>
      <c r="DSV12" s="64"/>
      <c r="DSW12" s="64"/>
      <c r="DSX12" s="64"/>
      <c r="DSY12" s="64"/>
      <c r="DSZ12" s="64"/>
      <c r="DTA12" s="64"/>
      <c r="DTB12" s="64"/>
      <c r="DTC12" s="64"/>
      <c r="DTD12" s="64"/>
      <c r="DTE12" s="64"/>
      <c r="DTF12" s="64"/>
      <c r="DTG12" s="64"/>
      <c r="DTH12" s="64"/>
      <c r="DTI12" s="64"/>
      <c r="DTJ12" s="64"/>
      <c r="DTK12" s="64"/>
      <c r="DTL12" s="64"/>
      <c r="DTM12" s="64"/>
      <c r="DTN12" s="64"/>
      <c r="DTO12" s="64"/>
      <c r="DTP12" s="64"/>
      <c r="DTQ12" s="64"/>
      <c r="DTR12" s="64"/>
      <c r="DTS12" s="64"/>
      <c r="DTT12" s="64"/>
      <c r="DTU12" s="64"/>
      <c r="DTV12" s="64"/>
      <c r="DTW12" s="64"/>
      <c r="DTX12" s="64"/>
      <c r="DTY12" s="64"/>
      <c r="DTZ12" s="64"/>
      <c r="DUA12" s="64"/>
      <c r="DUB12" s="64"/>
      <c r="DUC12" s="64"/>
      <c r="DUD12" s="64"/>
      <c r="DUE12" s="64"/>
      <c r="DUF12" s="64"/>
      <c r="DUG12" s="64"/>
      <c r="DUH12" s="64"/>
      <c r="DUI12" s="64"/>
      <c r="DUJ12" s="64"/>
      <c r="DUK12" s="64"/>
      <c r="DUL12" s="64"/>
      <c r="DUM12" s="64"/>
      <c r="DUN12" s="64"/>
      <c r="DUO12" s="64"/>
      <c r="DUP12" s="64"/>
      <c r="DUQ12" s="64"/>
      <c r="DUR12" s="64"/>
      <c r="DUS12" s="64"/>
      <c r="DUT12" s="64"/>
      <c r="DUU12" s="64"/>
      <c r="DUV12" s="64"/>
      <c r="DUW12" s="64"/>
      <c r="DUX12" s="64"/>
      <c r="DUY12" s="64"/>
      <c r="DUZ12" s="64"/>
      <c r="DVA12" s="64"/>
      <c r="DVB12" s="64"/>
      <c r="DVC12" s="64"/>
      <c r="DVD12" s="64"/>
      <c r="DVE12" s="64"/>
      <c r="DVF12" s="64"/>
      <c r="DVG12" s="64"/>
      <c r="DVH12" s="64"/>
      <c r="DVI12" s="64"/>
      <c r="DVJ12" s="64"/>
      <c r="DVK12" s="64"/>
      <c r="DVL12" s="64"/>
      <c r="DVM12" s="64"/>
      <c r="DVN12" s="64"/>
      <c r="DVO12" s="64"/>
      <c r="DVP12" s="64"/>
      <c r="DVQ12" s="64"/>
      <c r="DVR12" s="64"/>
      <c r="DVS12" s="64"/>
      <c r="DVT12" s="64"/>
      <c r="DVU12" s="64"/>
      <c r="DVV12" s="64"/>
      <c r="DVW12" s="64"/>
      <c r="DVX12" s="64"/>
      <c r="DVY12" s="64"/>
      <c r="DVZ12" s="64"/>
      <c r="DWA12" s="64"/>
      <c r="DWB12" s="64"/>
      <c r="DWC12" s="64"/>
      <c r="DWD12" s="64"/>
      <c r="DWE12" s="64"/>
      <c r="DWF12" s="64"/>
      <c r="DWG12" s="64"/>
      <c r="DWH12" s="64"/>
      <c r="DWI12" s="64"/>
      <c r="DWJ12" s="64"/>
      <c r="DWK12" s="64"/>
      <c r="DWL12" s="64"/>
      <c r="DWM12" s="64"/>
      <c r="DWN12" s="64"/>
      <c r="DWO12" s="64"/>
      <c r="DWP12" s="64"/>
      <c r="DWQ12" s="64"/>
      <c r="DWR12" s="64"/>
      <c r="DWS12" s="64"/>
      <c r="DWT12" s="64"/>
      <c r="DWU12" s="64"/>
      <c r="DWV12" s="64"/>
      <c r="DWW12" s="64"/>
      <c r="DWX12" s="64"/>
      <c r="DWY12" s="64"/>
      <c r="DWZ12" s="64"/>
      <c r="DXA12" s="64"/>
      <c r="DXB12" s="64"/>
      <c r="DXC12" s="64"/>
      <c r="DXD12" s="64"/>
      <c r="DXE12" s="64"/>
      <c r="DXF12" s="64"/>
      <c r="DXG12" s="64"/>
      <c r="DXH12" s="64"/>
      <c r="DXI12" s="64"/>
      <c r="DXJ12" s="64"/>
      <c r="DXK12" s="64"/>
      <c r="DXL12" s="64"/>
      <c r="DXM12" s="64"/>
      <c r="DXN12" s="64"/>
      <c r="DXO12" s="64"/>
      <c r="DXP12" s="64"/>
      <c r="DXQ12" s="64"/>
      <c r="DXR12" s="64"/>
      <c r="DXS12" s="64"/>
      <c r="DXT12" s="64"/>
      <c r="DXU12" s="64"/>
      <c r="DXV12" s="64"/>
      <c r="DXW12" s="64"/>
      <c r="DXX12" s="64"/>
      <c r="DXY12" s="64"/>
      <c r="DXZ12" s="64"/>
      <c r="DYA12" s="64"/>
      <c r="DYB12" s="64"/>
      <c r="DYC12" s="64"/>
      <c r="DYD12" s="64"/>
      <c r="DYE12" s="64"/>
      <c r="DYF12" s="64"/>
      <c r="DYG12" s="64"/>
      <c r="DYH12" s="64"/>
      <c r="DYI12" s="64"/>
      <c r="DYJ12" s="64"/>
      <c r="DYK12" s="64"/>
      <c r="DYL12" s="64"/>
      <c r="DYM12" s="64"/>
      <c r="DYN12" s="64"/>
      <c r="DYO12" s="64"/>
      <c r="DYP12" s="64"/>
      <c r="DYQ12" s="64"/>
      <c r="DYR12" s="64"/>
      <c r="DYS12" s="64"/>
      <c r="DYT12" s="64"/>
      <c r="DYU12" s="64"/>
      <c r="DYV12" s="64"/>
      <c r="DYW12" s="64"/>
      <c r="DYX12" s="64"/>
      <c r="DYY12" s="64"/>
      <c r="DYZ12" s="64"/>
      <c r="DZA12" s="64"/>
      <c r="DZB12" s="64"/>
      <c r="DZC12" s="64"/>
      <c r="DZD12" s="64"/>
      <c r="DZE12" s="64"/>
      <c r="DZF12" s="64"/>
      <c r="DZG12" s="64"/>
      <c r="DZH12" s="64"/>
      <c r="DZI12" s="64"/>
      <c r="DZJ12" s="64"/>
      <c r="DZK12" s="64"/>
      <c r="DZL12" s="64"/>
      <c r="DZM12" s="64"/>
      <c r="DZN12" s="64"/>
      <c r="DZO12" s="64"/>
      <c r="DZP12" s="64"/>
      <c r="DZQ12" s="64"/>
      <c r="DZR12" s="64"/>
      <c r="DZS12" s="64"/>
      <c r="DZT12" s="64"/>
      <c r="DZU12" s="64"/>
      <c r="DZV12" s="64"/>
      <c r="DZW12" s="64"/>
      <c r="DZX12" s="64"/>
      <c r="DZY12" s="64"/>
      <c r="DZZ12" s="64"/>
      <c r="EAA12" s="64"/>
      <c r="EAB12" s="64"/>
      <c r="EAC12" s="64"/>
      <c r="EAD12" s="64"/>
      <c r="EAE12" s="64"/>
      <c r="EAF12" s="64"/>
      <c r="EAG12" s="64"/>
      <c r="EAH12" s="64"/>
      <c r="EAI12" s="64"/>
      <c r="EAJ12" s="64"/>
      <c r="EAK12" s="64"/>
      <c r="EAL12" s="64"/>
      <c r="EAM12" s="64"/>
      <c r="EAN12" s="64"/>
      <c r="EAO12" s="64"/>
      <c r="EAP12" s="64"/>
      <c r="EAQ12" s="64"/>
      <c r="EAR12" s="64"/>
      <c r="EAS12" s="64"/>
      <c r="EAT12" s="64"/>
      <c r="EAU12" s="64"/>
      <c r="EAV12" s="64"/>
      <c r="EAW12" s="64"/>
      <c r="EAX12" s="64"/>
      <c r="EAY12" s="64"/>
      <c r="EAZ12" s="64"/>
      <c r="EBA12" s="64"/>
      <c r="EBB12" s="64"/>
      <c r="EBC12" s="64"/>
      <c r="EBD12" s="64"/>
      <c r="EBE12" s="64"/>
      <c r="EBF12" s="64"/>
      <c r="EBG12" s="64"/>
      <c r="EBH12" s="64"/>
      <c r="EBI12" s="64"/>
      <c r="EBJ12" s="64"/>
      <c r="EBK12" s="64"/>
      <c r="EBL12" s="64"/>
      <c r="EBM12" s="64"/>
      <c r="EBN12" s="64"/>
      <c r="EBO12" s="64"/>
      <c r="EBP12" s="64"/>
      <c r="EBQ12" s="64"/>
      <c r="EBR12" s="64"/>
      <c r="EBS12" s="64"/>
      <c r="EBT12" s="64"/>
      <c r="EBU12" s="64"/>
      <c r="EBV12" s="64"/>
      <c r="EBW12" s="64"/>
      <c r="EBX12" s="64"/>
      <c r="EBY12" s="64"/>
      <c r="EBZ12" s="64"/>
      <c r="ECA12" s="64"/>
      <c r="ECB12" s="64"/>
      <c r="ECC12" s="64"/>
      <c r="ECD12" s="64"/>
      <c r="ECE12" s="64"/>
      <c r="ECF12" s="64"/>
      <c r="ECG12" s="64"/>
      <c r="ECH12" s="64"/>
      <c r="ECI12" s="64"/>
      <c r="ECJ12" s="64"/>
      <c r="ECK12" s="64"/>
      <c r="ECL12" s="64"/>
      <c r="ECM12" s="64"/>
      <c r="ECN12" s="64"/>
      <c r="ECO12" s="64"/>
      <c r="ECP12" s="64"/>
      <c r="ECQ12" s="64"/>
      <c r="ECR12" s="64"/>
      <c r="ECS12" s="64"/>
      <c r="ECT12" s="64"/>
      <c r="ECU12" s="64"/>
      <c r="ECV12" s="64"/>
      <c r="ECW12" s="64"/>
      <c r="ECX12" s="64"/>
      <c r="ECY12" s="64"/>
      <c r="ECZ12" s="64"/>
      <c r="EDA12" s="64"/>
      <c r="EDB12" s="64"/>
      <c r="EDC12" s="64"/>
      <c r="EDD12" s="64"/>
      <c r="EDE12" s="64"/>
      <c r="EDF12" s="64"/>
      <c r="EDG12" s="64"/>
      <c r="EDH12" s="64"/>
      <c r="EDI12" s="64"/>
      <c r="EDJ12" s="64"/>
      <c r="EDK12" s="64"/>
      <c r="EDL12" s="64"/>
      <c r="EDM12" s="64"/>
      <c r="EDN12" s="64"/>
      <c r="EDO12" s="64"/>
      <c r="EDP12" s="64"/>
      <c r="EDQ12" s="64"/>
      <c r="EDR12" s="64"/>
      <c r="EDS12" s="64"/>
      <c r="EDT12" s="64"/>
      <c r="EDU12" s="64"/>
      <c r="EDV12" s="64"/>
      <c r="EDW12" s="64"/>
      <c r="EDX12" s="64"/>
      <c r="EDY12" s="64"/>
      <c r="EDZ12" s="64"/>
      <c r="EEA12" s="64"/>
      <c r="EEB12" s="64"/>
      <c r="EEC12" s="64"/>
      <c r="EED12" s="64"/>
      <c r="EEE12" s="64"/>
      <c r="EEF12" s="64"/>
      <c r="EEG12" s="64"/>
      <c r="EEH12" s="64"/>
      <c r="EEI12" s="64"/>
      <c r="EEJ12" s="64"/>
      <c r="EEK12" s="64"/>
      <c r="EEL12" s="64"/>
      <c r="EEM12" s="64"/>
      <c r="EEN12" s="64"/>
      <c r="EEO12" s="64"/>
      <c r="EEP12" s="64"/>
      <c r="EEQ12" s="64"/>
      <c r="EER12" s="64"/>
      <c r="EES12" s="64"/>
      <c r="EET12" s="64"/>
      <c r="EEU12" s="64"/>
      <c r="EEV12" s="64"/>
      <c r="EEW12" s="64"/>
      <c r="EEX12" s="64"/>
      <c r="EEY12" s="64"/>
      <c r="EEZ12" s="64"/>
      <c r="EFA12" s="64"/>
      <c r="EFB12" s="64"/>
      <c r="EFC12" s="64"/>
      <c r="EFD12" s="64"/>
      <c r="EFE12" s="64"/>
      <c r="EFF12" s="64"/>
      <c r="EFG12" s="64"/>
      <c r="EFH12" s="64"/>
      <c r="EFI12" s="64"/>
      <c r="EFJ12" s="64"/>
      <c r="EFK12" s="64"/>
      <c r="EFL12" s="64"/>
      <c r="EFM12" s="64"/>
      <c r="EFN12" s="64"/>
      <c r="EFO12" s="64"/>
      <c r="EFP12" s="64"/>
      <c r="EFQ12" s="64"/>
      <c r="EFR12" s="64"/>
      <c r="EFS12" s="64"/>
      <c r="EFT12" s="64"/>
      <c r="EFU12" s="64"/>
      <c r="EFV12" s="64"/>
      <c r="EFW12" s="64"/>
      <c r="EFX12" s="64"/>
      <c r="EFY12" s="64"/>
      <c r="EFZ12" s="64"/>
      <c r="EGA12" s="64"/>
      <c r="EGB12" s="64"/>
      <c r="EGC12" s="64"/>
      <c r="EGD12" s="64"/>
      <c r="EGE12" s="64"/>
      <c r="EGF12" s="64"/>
      <c r="EGG12" s="64"/>
      <c r="EGH12" s="64"/>
      <c r="EGI12" s="64"/>
      <c r="EGJ12" s="64"/>
      <c r="EGK12" s="64"/>
      <c r="EGL12" s="64"/>
      <c r="EGM12" s="64"/>
      <c r="EGN12" s="64"/>
      <c r="EGO12" s="64"/>
      <c r="EGP12" s="64"/>
      <c r="EGQ12" s="64"/>
      <c r="EGR12" s="64"/>
      <c r="EGS12" s="64"/>
      <c r="EGT12" s="64"/>
      <c r="EGU12" s="64"/>
      <c r="EGV12" s="64"/>
      <c r="EGW12" s="64"/>
      <c r="EGX12" s="64"/>
      <c r="EGY12" s="64"/>
      <c r="EGZ12" s="64"/>
      <c r="EHA12" s="64"/>
      <c r="EHB12" s="64"/>
      <c r="EHC12" s="64"/>
      <c r="EHD12" s="64"/>
      <c r="EHE12" s="64"/>
      <c r="EHF12" s="64"/>
      <c r="EHG12" s="64"/>
      <c r="EHH12" s="64"/>
      <c r="EHI12" s="64"/>
      <c r="EHJ12" s="64"/>
      <c r="EHK12" s="64"/>
      <c r="EHL12" s="64"/>
      <c r="EHM12" s="64"/>
      <c r="EHN12" s="64"/>
      <c r="EHO12" s="64"/>
      <c r="EHP12" s="64"/>
      <c r="EHQ12" s="64"/>
      <c r="EHR12" s="64"/>
      <c r="EHS12" s="64"/>
      <c r="EHT12" s="64"/>
      <c r="EHU12" s="64"/>
      <c r="EHV12" s="64"/>
      <c r="EHW12" s="64"/>
      <c r="EHX12" s="64"/>
      <c r="EHY12" s="64"/>
      <c r="EHZ12" s="64"/>
      <c r="EIA12" s="64"/>
      <c r="EIB12" s="64"/>
      <c r="EIC12" s="64"/>
      <c r="EID12" s="64"/>
      <c r="EIE12" s="64"/>
      <c r="EIF12" s="64"/>
      <c r="EIG12" s="64"/>
      <c r="EIH12" s="64"/>
      <c r="EII12" s="64"/>
      <c r="EIJ12" s="64"/>
      <c r="EIK12" s="64"/>
      <c r="EIL12" s="64"/>
      <c r="EIM12" s="64"/>
      <c r="EIN12" s="64"/>
      <c r="EIO12" s="64"/>
      <c r="EIP12" s="64"/>
      <c r="EIQ12" s="64"/>
      <c r="EIR12" s="64"/>
      <c r="EIS12" s="64"/>
      <c r="EIT12" s="64"/>
      <c r="EIU12" s="64"/>
      <c r="EIV12" s="64"/>
      <c r="EIW12" s="64"/>
      <c r="EIX12" s="64"/>
      <c r="EIY12" s="64"/>
      <c r="EIZ12" s="64"/>
      <c r="EJA12" s="64"/>
      <c r="EJB12" s="64"/>
      <c r="EJC12" s="64"/>
      <c r="EJD12" s="64"/>
      <c r="EJE12" s="64"/>
      <c r="EJF12" s="64"/>
      <c r="EJG12" s="64"/>
      <c r="EJH12" s="64"/>
      <c r="EJI12" s="64"/>
      <c r="EJJ12" s="64"/>
      <c r="EJK12" s="64"/>
      <c r="EJL12" s="64"/>
      <c r="EJM12" s="64"/>
      <c r="EJN12" s="64"/>
      <c r="EJO12" s="64"/>
      <c r="EJP12" s="64"/>
      <c r="EJQ12" s="64"/>
      <c r="EJR12" s="64"/>
      <c r="EJS12" s="64"/>
      <c r="EJT12" s="64"/>
      <c r="EJU12" s="64"/>
      <c r="EJV12" s="64"/>
      <c r="EJW12" s="64"/>
      <c r="EJX12" s="64"/>
      <c r="EJY12" s="64"/>
      <c r="EJZ12" s="64"/>
      <c r="EKA12" s="64"/>
      <c r="EKB12" s="64"/>
      <c r="EKC12" s="64"/>
      <c r="EKD12" s="64"/>
      <c r="EKE12" s="64"/>
      <c r="EKF12" s="64"/>
      <c r="EKG12" s="64"/>
      <c r="EKH12" s="64"/>
      <c r="EKI12" s="64"/>
      <c r="EKJ12" s="64"/>
      <c r="EKK12" s="64"/>
      <c r="EKL12" s="64"/>
      <c r="EKM12" s="64"/>
      <c r="EKN12" s="64"/>
      <c r="EKO12" s="64"/>
      <c r="EKP12" s="64"/>
      <c r="EKQ12" s="64"/>
      <c r="EKR12" s="64"/>
      <c r="EKS12" s="64"/>
      <c r="EKT12" s="64"/>
      <c r="EKU12" s="64"/>
      <c r="EKV12" s="64"/>
      <c r="EKW12" s="64"/>
      <c r="EKX12" s="64"/>
      <c r="EKY12" s="64"/>
      <c r="EKZ12" s="64"/>
      <c r="ELA12" s="64"/>
      <c r="ELB12" s="64"/>
      <c r="ELC12" s="64"/>
      <c r="ELD12" s="64"/>
      <c r="ELE12" s="64"/>
      <c r="ELF12" s="64"/>
      <c r="ELG12" s="64"/>
      <c r="ELH12" s="64"/>
      <c r="ELI12" s="64"/>
      <c r="ELJ12" s="64"/>
      <c r="ELK12" s="64"/>
      <c r="ELL12" s="64"/>
      <c r="ELM12" s="64"/>
      <c r="ELN12" s="64"/>
      <c r="ELO12" s="64"/>
      <c r="ELP12" s="64"/>
      <c r="ELQ12" s="64"/>
      <c r="ELR12" s="64"/>
      <c r="ELS12" s="64"/>
      <c r="ELT12" s="64"/>
      <c r="ELU12" s="64"/>
      <c r="ELV12" s="64"/>
      <c r="ELW12" s="64"/>
      <c r="ELX12" s="64"/>
      <c r="ELY12" s="64"/>
      <c r="ELZ12" s="64"/>
      <c r="EMA12" s="64"/>
      <c r="EMB12" s="64"/>
      <c r="EMC12" s="64"/>
      <c r="EMD12" s="64"/>
      <c r="EME12" s="64"/>
      <c r="EMF12" s="64"/>
      <c r="EMG12" s="64"/>
      <c r="EMH12" s="64"/>
      <c r="EMI12" s="64"/>
      <c r="EMJ12" s="64"/>
      <c r="EMK12" s="64"/>
      <c r="EML12" s="64"/>
      <c r="EMM12" s="64"/>
      <c r="EMN12" s="64"/>
      <c r="EMO12" s="64"/>
      <c r="EMP12" s="64"/>
      <c r="EMQ12" s="64"/>
      <c r="EMR12" s="64"/>
      <c r="EMS12" s="64"/>
      <c r="EMT12" s="64"/>
      <c r="EMU12" s="64"/>
      <c r="EMV12" s="64"/>
      <c r="EMW12" s="64"/>
      <c r="EMX12" s="64"/>
      <c r="EMY12" s="64"/>
      <c r="EMZ12" s="64"/>
      <c r="ENA12" s="64"/>
      <c r="ENB12" s="64"/>
      <c r="ENC12" s="64"/>
      <c r="END12" s="64"/>
      <c r="ENE12" s="64"/>
      <c r="ENF12" s="64"/>
      <c r="ENG12" s="64"/>
      <c r="ENH12" s="64"/>
      <c r="ENI12" s="64"/>
      <c r="ENJ12" s="64"/>
      <c r="ENK12" s="64"/>
      <c r="ENL12" s="64"/>
      <c r="ENM12" s="64"/>
      <c r="ENN12" s="64"/>
      <c r="ENO12" s="64"/>
      <c r="ENP12" s="64"/>
      <c r="ENQ12" s="64"/>
      <c r="ENR12" s="64"/>
      <c r="ENS12" s="64"/>
      <c r="ENT12" s="64"/>
      <c r="ENU12" s="64"/>
      <c r="ENV12" s="64"/>
      <c r="ENW12" s="64"/>
      <c r="ENX12" s="64"/>
      <c r="ENY12" s="64"/>
      <c r="ENZ12" s="64"/>
      <c r="EOA12" s="64"/>
      <c r="EOB12" s="64"/>
      <c r="EOC12" s="64"/>
      <c r="EOD12" s="64"/>
      <c r="EOE12" s="64"/>
      <c r="EOF12" s="64"/>
      <c r="EOG12" s="64"/>
      <c r="EOH12" s="64"/>
      <c r="EOI12" s="64"/>
      <c r="EOJ12" s="64"/>
      <c r="EOK12" s="64"/>
      <c r="EOL12" s="64"/>
      <c r="EOM12" s="64"/>
      <c r="EON12" s="64"/>
      <c r="EOO12" s="64"/>
      <c r="EOP12" s="64"/>
      <c r="EOQ12" s="64"/>
      <c r="EOR12" s="64"/>
      <c r="EOS12" s="64"/>
      <c r="EOT12" s="64"/>
      <c r="EOU12" s="64"/>
      <c r="EOV12" s="64"/>
      <c r="EOW12" s="64"/>
      <c r="EOX12" s="64"/>
      <c r="EOY12" s="64"/>
      <c r="EOZ12" s="64"/>
      <c r="EPA12" s="64"/>
      <c r="EPB12" s="64"/>
      <c r="EPC12" s="64"/>
      <c r="EPD12" s="64"/>
      <c r="EPE12" s="64"/>
      <c r="EPF12" s="64"/>
      <c r="EPG12" s="64"/>
      <c r="EPH12" s="64"/>
      <c r="EPI12" s="64"/>
      <c r="EPJ12" s="64"/>
      <c r="EPK12" s="64"/>
      <c r="EPL12" s="64"/>
      <c r="EPM12" s="64"/>
      <c r="EPN12" s="64"/>
      <c r="EPO12" s="64"/>
      <c r="EPP12" s="64"/>
      <c r="EPQ12" s="64"/>
      <c r="EPR12" s="64"/>
      <c r="EPS12" s="64"/>
      <c r="EPT12" s="64"/>
      <c r="EPU12" s="64"/>
      <c r="EPV12" s="64"/>
      <c r="EPW12" s="64"/>
      <c r="EPX12" s="64"/>
      <c r="EPY12" s="64"/>
      <c r="EPZ12" s="64"/>
      <c r="EQA12" s="64"/>
      <c r="EQB12" s="64"/>
      <c r="EQC12" s="64"/>
      <c r="EQD12" s="64"/>
      <c r="EQE12" s="64"/>
      <c r="EQF12" s="64"/>
      <c r="EQG12" s="64"/>
      <c r="EQH12" s="64"/>
      <c r="EQI12" s="64"/>
      <c r="EQJ12" s="64"/>
      <c r="EQK12" s="64"/>
      <c r="EQL12" s="64"/>
      <c r="EQM12" s="64"/>
      <c r="EQN12" s="64"/>
      <c r="EQO12" s="64"/>
      <c r="EQP12" s="64"/>
      <c r="EQQ12" s="64"/>
      <c r="EQR12" s="64"/>
      <c r="EQS12" s="64"/>
      <c r="EQT12" s="64"/>
      <c r="EQU12" s="64"/>
      <c r="EQV12" s="64"/>
      <c r="EQW12" s="64"/>
      <c r="EQX12" s="64"/>
      <c r="EQY12" s="64"/>
      <c r="EQZ12" s="64"/>
      <c r="ERA12" s="64"/>
      <c r="ERB12" s="64"/>
      <c r="ERC12" s="64"/>
      <c r="ERD12" s="64"/>
      <c r="ERE12" s="64"/>
      <c r="ERF12" s="64"/>
      <c r="ERG12" s="64"/>
      <c r="ERH12" s="64"/>
      <c r="ERI12" s="64"/>
      <c r="ERJ12" s="64"/>
      <c r="ERK12" s="64"/>
      <c r="ERL12" s="64"/>
      <c r="ERM12" s="64"/>
      <c r="ERN12" s="64"/>
      <c r="ERO12" s="64"/>
      <c r="ERP12" s="64"/>
      <c r="ERQ12" s="64"/>
      <c r="ERR12" s="64"/>
      <c r="ERS12" s="64"/>
      <c r="ERT12" s="64"/>
      <c r="ERU12" s="64"/>
      <c r="ERV12" s="64"/>
      <c r="ERW12" s="64"/>
      <c r="ERX12" s="64"/>
      <c r="ERY12" s="64"/>
      <c r="ERZ12" s="64"/>
      <c r="ESA12" s="64"/>
      <c r="ESB12" s="64"/>
      <c r="ESC12" s="64"/>
      <c r="ESD12" s="64"/>
      <c r="ESE12" s="64"/>
      <c r="ESF12" s="64"/>
      <c r="ESG12" s="64"/>
      <c r="ESH12" s="64"/>
      <c r="ESI12" s="64"/>
      <c r="ESJ12" s="64"/>
      <c r="ESK12" s="64"/>
      <c r="ESL12" s="64"/>
      <c r="ESM12" s="64"/>
      <c r="ESN12" s="64"/>
      <c r="ESO12" s="64"/>
      <c r="ESP12" s="64"/>
      <c r="ESQ12" s="64"/>
      <c r="ESR12" s="64"/>
      <c r="ESS12" s="64"/>
      <c r="EST12" s="64"/>
      <c r="ESU12" s="64"/>
      <c r="ESV12" s="64"/>
      <c r="ESW12" s="64"/>
      <c r="ESX12" s="64"/>
      <c r="ESY12" s="64"/>
      <c r="ESZ12" s="64"/>
      <c r="ETA12" s="64"/>
      <c r="ETB12" s="64"/>
      <c r="ETC12" s="64"/>
      <c r="ETD12" s="64"/>
      <c r="ETE12" s="64"/>
      <c r="ETF12" s="64"/>
      <c r="ETG12" s="64"/>
      <c r="ETH12" s="64"/>
      <c r="ETI12" s="64"/>
      <c r="ETJ12" s="64"/>
      <c r="ETK12" s="64"/>
      <c r="ETL12" s="64"/>
      <c r="ETM12" s="64"/>
      <c r="ETN12" s="64"/>
      <c r="ETO12" s="64"/>
      <c r="ETP12" s="64"/>
      <c r="ETQ12" s="64"/>
      <c r="ETR12" s="64"/>
      <c r="ETS12" s="64"/>
      <c r="ETT12" s="64"/>
      <c r="ETU12" s="64"/>
      <c r="ETV12" s="64"/>
      <c r="ETW12" s="64"/>
      <c r="ETX12" s="64"/>
      <c r="ETY12" s="64"/>
      <c r="ETZ12" s="64"/>
      <c r="EUA12" s="64"/>
      <c r="EUB12" s="64"/>
      <c r="EUC12" s="64"/>
      <c r="EUD12" s="64"/>
      <c r="EUE12" s="64"/>
      <c r="EUF12" s="64"/>
      <c r="EUG12" s="64"/>
      <c r="EUH12" s="64"/>
      <c r="EUI12" s="64"/>
      <c r="EUJ12" s="64"/>
      <c r="EUK12" s="64"/>
      <c r="EUL12" s="64"/>
      <c r="EUM12" s="64"/>
      <c r="EUN12" s="64"/>
      <c r="EUO12" s="64"/>
      <c r="EUP12" s="64"/>
      <c r="EUQ12" s="64"/>
      <c r="EUR12" s="64"/>
      <c r="EUS12" s="64"/>
      <c r="EUT12" s="64"/>
      <c r="EUU12" s="64"/>
      <c r="EUV12" s="64"/>
      <c r="EUW12" s="64"/>
      <c r="EUX12" s="64"/>
      <c r="EUY12" s="64"/>
      <c r="EUZ12" s="64"/>
      <c r="EVA12" s="64"/>
      <c r="EVB12" s="64"/>
      <c r="EVC12" s="64"/>
      <c r="EVD12" s="64"/>
      <c r="EVE12" s="64"/>
      <c r="EVF12" s="64"/>
      <c r="EVG12" s="64"/>
      <c r="EVH12" s="64"/>
      <c r="EVI12" s="64"/>
      <c r="EVJ12" s="64"/>
      <c r="EVK12" s="64"/>
      <c r="EVL12" s="64"/>
      <c r="EVM12" s="64"/>
      <c r="EVN12" s="64"/>
      <c r="EVO12" s="64"/>
      <c r="EVP12" s="64"/>
      <c r="EVQ12" s="64"/>
      <c r="EVR12" s="64"/>
      <c r="EVS12" s="64"/>
      <c r="EVT12" s="64"/>
      <c r="EVU12" s="64"/>
      <c r="EVV12" s="64"/>
      <c r="EVW12" s="64"/>
      <c r="EVX12" s="64"/>
      <c r="EVY12" s="64"/>
      <c r="EVZ12" s="64"/>
      <c r="EWA12" s="64"/>
      <c r="EWB12" s="64"/>
      <c r="EWC12" s="64"/>
      <c r="EWD12" s="64"/>
      <c r="EWE12" s="64"/>
      <c r="EWF12" s="64"/>
      <c r="EWG12" s="64"/>
      <c r="EWH12" s="64"/>
      <c r="EWI12" s="64"/>
      <c r="EWJ12" s="64"/>
      <c r="EWK12" s="64"/>
      <c r="EWL12" s="64"/>
      <c r="EWM12" s="64"/>
      <c r="EWN12" s="64"/>
      <c r="EWO12" s="64"/>
      <c r="EWP12" s="64"/>
      <c r="EWQ12" s="64"/>
      <c r="EWR12" s="64"/>
      <c r="EWS12" s="64"/>
      <c r="EWT12" s="64"/>
      <c r="EWU12" s="64"/>
      <c r="EWV12" s="64"/>
      <c r="EWW12" s="64"/>
      <c r="EWX12" s="64"/>
      <c r="EWY12" s="64"/>
      <c r="EWZ12" s="64"/>
      <c r="EXA12" s="64"/>
      <c r="EXB12" s="64"/>
      <c r="EXC12" s="64"/>
      <c r="EXD12" s="64"/>
      <c r="EXE12" s="64"/>
      <c r="EXF12" s="64"/>
      <c r="EXG12" s="64"/>
      <c r="EXH12" s="64"/>
      <c r="EXI12" s="64"/>
      <c r="EXJ12" s="64"/>
      <c r="EXK12" s="64"/>
      <c r="EXL12" s="64"/>
      <c r="EXM12" s="64"/>
      <c r="EXN12" s="64"/>
      <c r="EXO12" s="64"/>
      <c r="EXP12" s="64"/>
      <c r="EXQ12" s="64"/>
      <c r="EXR12" s="64"/>
      <c r="EXS12" s="64"/>
      <c r="EXT12" s="64"/>
      <c r="EXU12" s="64"/>
      <c r="EXV12" s="64"/>
      <c r="EXW12" s="64"/>
      <c r="EXX12" s="64"/>
      <c r="EXY12" s="64"/>
      <c r="EXZ12" s="64"/>
      <c r="EYA12" s="64"/>
      <c r="EYB12" s="64"/>
      <c r="EYC12" s="64"/>
      <c r="EYD12" s="64"/>
      <c r="EYE12" s="64"/>
      <c r="EYF12" s="64"/>
      <c r="EYG12" s="64"/>
      <c r="EYH12" s="64"/>
      <c r="EYI12" s="64"/>
      <c r="EYJ12" s="64"/>
      <c r="EYK12" s="64"/>
      <c r="EYL12" s="64"/>
      <c r="EYM12" s="64"/>
      <c r="EYN12" s="64"/>
      <c r="EYO12" s="64"/>
      <c r="EYP12" s="64"/>
      <c r="EYQ12" s="64"/>
      <c r="EYR12" s="64"/>
      <c r="EYS12" s="64"/>
      <c r="EYT12" s="64"/>
      <c r="EYU12" s="64"/>
      <c r="EYV12" s="64"/>
      <c r="EYW12" s="64"/>
      <c r="EYX12" s="64"/>
      <c r="EYY12" s="64"/>
      <c r="EYZ12" s="64"/>
      <c r="EZA12" s="64"/>
      <c r="EZB12" s="64"/>
      <c r="EZC12" s="64"/>
      <c r="EZD12" s="64"/>
      <c r="EZE12" s="64"/>
      <c r="EZF12" s="64"/>
      <c r="EZG12" s="64"/>
      <c r="EZH12" s="64"/>
      <c r="EZI12" s="64"/>
      <c r="EZJ12" s="64"/>
      <c r="EZK12" s="64"/>
      <c r="EZL12" s="64"/>
      <c r="EZM12" s="64"/>
      <c r="EZN12" s="64"/>
      <c r="EZO12" s="64"/>
      <c r="EZP12" s="64"/>
      <c r="EZQ12" s="64"/>
      <c r="EZR12" s="64"/>
      <c r="EZS12" s="64"/>
      <c r="EZT12" s="64"/>
      <c r="EZU12" s="64"/>
      <c r="EZV12" s="64"/>
      <c r="EZW12" s="64"/>
      <c r="EZX12" s="64"/>
      <c r="EZY12" s="64"/>
      <c r="EZZ12" s="64"/>
      <c r="FAA12" s="64"/>
      <c r="FAB12" s="64"/>
      <c r="FAC12" s="64"/>
      <c r="FAD12" s="64"/>
      <c r="FAE12" s="64"/>
      <c r="FAF12" s="64"/>
      <c r="FAG12" s="64"/>
      <c r="FAH12" s="64"/>
      <c r="FAI12" s="64"/>
      <c r="FAJ12" s="64"/>
      <c r="FAK12" s="64"/>
      <c r="FAL12" s="64"/>
      <c r="FAM12" s="64"/>
      <c r="FAN12" s="64"/>
      <c r="FAO12" s="64"/>
      <c r="FAP12" s="64"/>
      <c r="FAQ12" s="64"/>
      <c r="FAR12" s="64"/>
      <c r="FAS12" s="64"/>
      <c r="FAT12" s="64"/>
      <c r="FAU12" s="64"/>
      <c r="FAV12" s="64"/>
      <c r="FAW12" s="64"/>
      <c r="FAX12" s="64"/>
      <c r="FAY12" s="64"/>
      <c r="FAZ12" s="64"/>
      <c r="FBA12" s="64"/>
      <c r="FBB12" s="64"/>
      <c r="FBC12" s="64"/>
      <c r="FBD12" s="64"/>
      <c r="FBE12" s="64"/>
      <c r="FBF12" s="64"/>
      <c r="FBG12" s="64"/>
      <c r="FBH12" s="64"/>
      <c r="FBI12" s="64"/>
      <c r="FBJ12" s="64"/>
      <c r="FBK12" s="64"/>
      <c r="FBL12" s="64"/>
      <c r="FBM12" s="64"/>
      <c r="FBN12" s="64"/>
      <c r="FBO12" s="64"/>
      <c r="FBP12" s="64"/>
      <c r="FBQ12" s="64"/>
      <c r="FBR12" s="64"/>
      <c r="FBS12" s="64"/>
      <c r="FBT12" s="64"/>
      <c r="FBU12" s="64"/>
      <c r="FBV12" s="64"/>
      <c r="FBW12" s="64"/>
      <c r="FBX12" s="64"/>
      <c r="FBY12" s="64"/>
      <c r="FBZ12" s="64"/>
      <c r="FCA12" s="64"/>
      <c r="FCB12" s="64"/>
      <c r="FCC12" s="64"/>
      <c r="FCD12" s="64"/>
      <c r="FCE12" s="64"/>
      <c r="FCF12" s="64"/>
      <c r="FCG12" s="64"/>
      <c r="FCH12" s="64"/>
      <c r="FCI12" s="64"/>
      <c r="FCJ12" s="64"/>
      <c r="FCK12" s="64"/>
      <c r="FCL12" s="64"/>
      <c r="FCM12" s="64"/>
      <c r="FCN12" s="64"/>
      <c r="FCO12" s="64"/>
      <c r="FCP12" s="64"/>
      <c r="FCQ12" s="64"/>
      <c r="FCR12" s="64"/>
      <c r="FCS12" s="64"/>
      <c r="FCT12" s="64"/>
      <c r="FCU12" s="64"/>
      <c r="FCV12" s="64"/>
      <c r="FCW12" s="64"/>
      <c r="FCX12" s="64"/>
      <c r="FCY12" s="64"/>
      <c r="FCZ12" s="64"/>
      <c r="FDA12" s="64"/>
      <c r="FDB12" s="64"/>
      <c r="FDC12" s="64"/>
      <c r="FDD12" s="64"/>
      <c r="FDE12" s="64"/>
      <c r="FDF12" s="64"/>
      <c r="FDG12" s="64"/>
      <c r="FDH12" s="64"/>
      <c r="FDI12" s="64"/>
      <c r="FDJ12" s="64"/>
      <c r="FDK12" s="64"/>
      <c r="FDL12" s="64"/>
      <c r="FDM12" s="64"/>
      <c r="FDN12" s="64"/>
      <c r="FDO12" s="64"/>
      <c r="FDP12" s="64"/>
      <c r="FDQ12" s="64"/>
      <c r="FDR12" s="64"/>
      <c r="FDS12" s="64"/>
      <c r="FDT12" s="64"/>
      <c r="FDU12" s="64"/>
      <c r="FDV12" s="64"/>
      <c r="FDW12" s="64"/>
      <c r="FDX12" s="64"/>
      <c r="FDY12" s="64"/>
      <c r="FDZ12" s="64"/>
      <c r="FEA12" s="64"/>
      <c r="FEB12" s="64"/>
      <c r="FEC12" s="64"/>
      <c r="FED12" s="64"/>
      <c r="FEE12" s="64"/>
      <c r="FEF12" s="64"/>
      <c r="FEG12" s="64"/>
      <c r="FEH12" s="64"/>
      <c r="FEI12" s="64"/>
      <c r="FEJ12" s="64"/>
      <c r="FEK12" s="64"/>
      <c r="FEL12" s="64"/>
      <c r="FEM12" s="64"/>
      <c r="FEN12" s="64"/>
      <c r="FEO12" s="64"/>
      <c r="FEP12" s="64"/>
      <c r="FEQ12" s="64"/>
      <c r="FER12" s="64"/>
      <c r="FES12" s="64"/>
      <c r="FET12" s="64"/>
      <c r="FEU12" s="64"/>
      <c r="FEV12" s="64"/>
      <c r="FEW12" s="64"/>
      <c r="FEX12" s="64"/>
      <c r="FEY12" s="64"/>
      <c r="FEZ12" s="64"/>
      <c r="FFA12" s="64"/>
      <c r="FFB12" s="64"/>
      <c r="FFC12" s="64"/>
      <c r="FFD12" s="64"/>
      <c r="FFE12" s="64"/>
      <c r="FFF12" s="64"/>
      <c r="FFG12" s="64"/>
      <c r="FFH12" s="64"/>
      <c r="FFI12" s="64"/>
      <c r="FFJ12" s="64"/>
      <c r="FFK12" s="64"/>
      <c r="FFL12" s="64"/>
      <c r="FFM12" s="64"/>
      <c r="FFN12" s="64"/>
      <c r="FFO12" s="64"/>
      <c r="FFP12" s="64"/>
      <c r="FFQ12" s="64"/>
      <c r="FFR12" s="64"/>
      <c r="FFS12" s="64"/>
      <c r="FFT12" s="64"/>
      <c r="FFU12" s="64"/>
      <c r="FFV12" s="64"/>
      <c r="FFW12" s="64"/>
      <c r="FFX12" s="64"/>
      <c r="FFY12" s="64"/>
      <c r="FFZ12" s="64"/>
      <c r="FGA12" s="64"/>
      <c r="FGB12" s="64"/>
      <c r="FGC12" s="64"/>
      <c r="FGD12" s="64"/>
      <c r="FGE12" s="64"/>
      <c r="FGF12" s="64"/>
      <c r="FGG12" s="64"/>
      <c r="FGH12" s="64"/>
      <c r="FGI12" s="64"/>
      <c r="FGJ12" s="64"/>
      <c r="FGK12" s="64"/>
      <c r="FGL12" s="64"/>
      <c r="FGM12" s="64"/>
      <c r="FGN12" s="64"/>
      <c r="FGO12" s="64"/>
      <c r="FGP12" s="64"/>
      <c r="FGQ12" s="64"/>
      <c r="FGR12" s="64"/>
      <c r="FGS12" s="64"/>
      <c r="FGT12" s="64"/>
      <c r="FGU12" s="64"/>
      <c r="FGV12" s="64"/>
      <c r="FGW12" s="64"/>
      <c r="FGX12" s="64"/>
      <c r="FGY12" s="64"/>
      <c r="FGZ12" s="64"/>
      <c r="FHA12" s="64"/>
      <c r="FHB12" s="64"/>
      <c r="FHC12" s="64"/>
      <c r="FHD12" s="64"/>
      <c r="FHE12" s="64"/>
      <c r="FHF12" s="64"/>
      <c r="FHG12" s="64"/>
      <c r="FHH12" s="64"/>
      <c r="FHI12" s="64"/>
      <c r="FHJ12" s="64"/>
      <c r="FHK12" s="64"/>
      <c r="FHL12" s="64"/>
      <c r="FHM12" s="64"/>
      <c r="FHN12" s="64"/>
      <c r="FHO12" s="64"/>
      <c r="FHP12" s="64"/>
      <c r="FHQ12" s="64"/>
      <c r="FHR12" s="64"/>
      <c r="FHS12" s="64"/>
      <c r="FHT12" s="64"/>
      <c r="FHU12" s="64"/>
      <c r="FHV12" s="64"/>
      <c r="FHW12" s="64"/>
      <c r="FHX12" s="64"/>
      <c r="FHY12" s="64"/>
      <c r="FHZ12" s="64"/>
      <c r="FIA12" s="64"/>
      <c r="FIB12" s="64"/>
      <c r="FIC12" s="64"/>
      <c r="FID12" s="64"/>
      <c r="FIE12" s="64"/>
      <c r="FIF12" s="64"/>
      <c r="FIG12" s="64"/>
      <c r="FIH12" s="64"/>
      <c r="FII12" s="64"/>
      <c r="FIJ12" s="64"/>
      <c r="FIK12" s="64"/>
      <c r="FIL12" s="64"/>
      <c r="FIM12" s="64"/>
      <c r="FIN12" s="64"/>
      <c r="FIO12" s="64"/>
      <c r="FIP12" s="64"/>
      <c r="FIQ12" s="64"/>
      <c r="FIR12" s="64"/>
      <c r="FIS12" s="64"/>
      <c r="FIT12" s="64"/>
      <c r="FIU12" s="64"/>
      <c r="FIV12" s="64"/>
      <c r="FIW12" s="64"/>
      <c r="FIX12" s="64"/>
      <c r="FIY12" s="64"/>
      <c r="FIZ12" s="64"/>
      <c r="FJA12" s="64"/>
      <c r="FJB12" s="64"/>
      <c r="FJC12" s="64"/>
      <c r="FJD12" s="64"/>
      <c r="FJE12" s="64"/>
      <c r="FJF12" s="64"/>
      <c r="FJG12" s="64"/>
      <c r="FJH12" s="64"/>
      <c r="FJI12" s="64"/>
      <c r="FJJ12" s="64"/>
      <c r="FJK12" s="64"/>
      <c r="FJL12" s="64"/>
      <c r="FJM12" s="64"/>
      <c r="FJN12" s="64"/>
      <c r="FJO12" s="64"/>
      <c r="FJP12" s="64"/>
      <c r="FJQ12" s="64"/>
      <c r="FJR12" s="64"/>
      <c r="FJS12" s="64"/>
      <c r="FJT12" s="64"/>
      <c r="FJU12" s="64"/>
      <c r="FJV12" s="64"/>
      <c r="FJW12" s="64"/>
      <c r="FJX12" s="64"/>
      <c r="FJY12" s="64"/>
      <c r="FJZ12" s="64"/>
      <c r="FKA12" s="64"/>
      <c r="FKB12" s="64"/>
      <c r="FKC12" s="64"/>
      <c r="FKD12" s="64"/>
      <c r="FKE12" s="64"/>
      <c r="FKF12" s="64"/>
      <c r="FKG12" s="64"/>
      <c r="FKH12" s="64"/>
      <c r="FKI12" s="64"/>
      <c r="FKJ12" s="64"/>
      <c r="FKK12" s="64"/>
      <c r="FKL12" s="64"/>
      <c r="FKM12" s="64"/>
      <c r="FKN12" s="64"/>
      <c r="FKO12" s="64"/>
      <c r="FKP12" s="64"/>
      <c r="FKQ12" s="64"/>
      <c r="FKR12" s="64"/>
      <c r="FKS12" s="64"/>
      <c r="FKT12" s="64"/>
      <c r="FKU12" s="64"/>
      <c r="FKV12" s="64"/>
      <c r="FKW12" s="64"/>
      <c r="FKX12" s="64"/>
      <c r="FKY12" s="64"/>
      <c r="FKZ12" s="64"/>
      <c r="FLA12" s="64"/>
      <c r="FLB12" s="64"/>
      <c r="FLC12" s="64"/>
      <c r="FLD12" s="64"/>
      <c r="FLE12" s="64"/>
      <c r="FLF12" s="64"/>
      <c r="FLG12" s="64"/>
      <c r="FLH12" s="64"/>
      <c r="FLI12" s="64"/>
      <c r="FLJ12" s="64"/>
      <c r="FLK12" s="64"/>
      <c r="FLL12" s="64"/>
      <c r="FLM12" s="64"/>
      <c r="FLN12" s="64"/>
      <c r="FLO12" s="64"/>
      <c r="FLP12" s="64"/>
      <c r="FLQ12" s="64"/>
      <c r="FLR12" s="64"/>
      <c r="FLS12" s="64"/>
      <c r="FLT12" s="64"/>
      <c r="FLU12" s="64"/>
      <c r="FLV12" s="64"/>
      <c r="FLW12" s="64"/>
      <c r="FLX12" s="64"/>
      <c r="FLY12" s="64"/>
      <c r="FLZ12" s="64"/>
      <c r="FMA12" s="64"/>
      <c r="FMB12" s="64"/>
      <c r="FMC12" s="64"/>
      <c r="FMD12" s="64"/>
      <c r="FME12" s="64"/>
      <c r="FMF12" s="64"/>
      <c r="FMG12" s="64"/>
      <c r="FMH12" s="64"/>
      <c r="FMI12" s="64"/>
      <c r="FMJ12" s="64"/>
      <c r="FMK12" s="64"/>
      <c r="FML12" s="64"/>
      <c r="FMM12" s="64"/>
      <c r="FMN12" s="64"/>
      <c r="FMO12" s="64"/>
      <c r="FMP12" s="64"/>
      <c r="FMQ12" s="64"/>
      <c r="FMR12" s="64"/>
      <c r="FMS12" s="64"/>
      <c r="FMT12" s="64"/>
      <c r="FMU12" s="64"/>
      <c r="FMV12" s="64"/>
      <c r="FMW12" s="64"/>
      <c r="FMX12" s="64"/>
      <c r="FMY12" s="64"/>
      <c r="FMZ12" s="64"/>
      <c r="FNA12" s="64"/>
      <c r="FNB12" s="64"/>
      <c r="FNC12" s="64"/>
      <c r="FND12" s="64"/>
      <c r="FNE12" s="64"/>
      <c r="FNF12" s="64"/>
      <c r="FNG12" s="64"/>
      <c r="FNH12" s="64"/>
      <c r="FNI12" s="64"/>
      <c r="FNJ12" s="64"/>
      <c r="FNK12" s="64"/>
      <c r="FNL12" s="64"/>
      <c r="FNM12" s="64"/>
      <c r="FNN12" s="64"/>
      <c r="FNO12" s="64"/>
      <c r="FNP12" s="64"/>
      <c r="FNQ12" s="64"/>
      <c r="FNR12" s="64"/>
      <c r="FNS12" s="64"/>
      <c r="FNT12" s="64"/>
      <c r="FNU12" s="64"/>
      <c r="FNV12" s="64"/>
      <c r="FNW12" s="64"/>
      <c r="FNX12" s="64"/>
      <c r="FNY12" s="64"/>
      <c r="FNZ12" s="64"/>
      <c r="FOA12" s="64"/>
      <c r="FOB12" s="64"/>
      <c r="FOC12" s="64"/>
      <c r="FOD12" s="64"/>
      <c r="FOE12" s="64"/>
      <c r="FOF12" s="64"/>
      <c r="FOG12" s="64"/>
      <c r="FOH12" s="64"/>
      <c r="FOI12" s="64"/>
      <c r="FOJ12" s="64"/>
      <c r="FOK12" s="64"/>
      <c r="FOL12" s="64"/>
      <c r="FOM12" s="64"/>
      <c r="FON12" s="64"/>
      <c r="FOO12" s="64"/>
      <c r="FOP12" s="64"/>
      <c r="FOQ12" s="64"/>
      <c r="FOR12" s="64"/>
      <c r="FOS12" s="64"/>
      <c r="FOT12" s="64"/>
      <c r="FOU12" s="64"/>
      <c r="FOV12" s="64"/>
      <c r="FOW12" s="64"/>
      <c r="FOX12" s="64"/>
      <c r="FOY12" s="64"/>
      <c r="FOZ12" s="64"/>
      <c r="FPA12" s="64"/>
      <c r="FPB12" s="64"/>
      <c r="FPC12" s="64"/>
      <c r="FPD12" s="64"/>
      <c r="FPE12" s="64"/>
      <c r="FPF12" s="64"/>
      <c r="FPG12" s="64"/>
      <c r="FPH12" s="64"/>
      <c r="FPI12" s="64"/>
      <c r="FPJ12" s="64"/>
      <c r="FPK12" s="64"/>
      <c r="FPL12" s="64"/>
      <c r="FPM12" s="64"/>
      <c r="FPN12" s="64"/>
      <c r="FPO12" s="64"/>
      <c r="FPP12" s="64"/>
      <c r="FPQ12" s="64"/>
      <c r="FPR12" s="64"/>
      <c r="FPS12" s="64"/>
      <c r="FPT12" s="64"/>
      <c r="FPU12" s="64"/>
      <c r="FPV12" s="64"/>
      <c r="FPW12" s="64"/>
      <c r="FPX12" s="64"/>
      <c r="FPY12" s="64"/>
      <c r="FPZ12" s="64"/>
      <c r="FQA12" s="64"/>
      <c r="FQB12" s="64"/>
      <c r="FQC12" s="64"/>
      <c r="FQD12" s="64"/>
      <c r="FQE12" s="64"/>
      <c r="FQF12" s="64"/>
      <c r="FQG12" s="64"/>
      <c r="FQH12" s="64"/>
      <c r="FQI12" s="64"/>
      <c r="FQJ12" s="64"/>
      <c r="FQK12" s="64"/>
      <c r="FQL12" s="64"/>
      <c r="FQM12" s="64"/>
      <c r="FQN12" s="64"/>
      <c r="FQO12" s="64"/>
      <c r="FQP12" s="64"/>
      <c r="FQQ12" s="64"/>
      <c r="FQR12" s="64"/>
      <c r="FQS12" s="64"/>
      <c r="FQT12" s="64"/>
      <c r="FQU12" s="64"/>
      <c r="FQV12" s="64"/>
      <c r="FQW12" s="64"/>
      <c r="FQX12" s="64"/>
      <c r="FQY12" s="64"/>
      <c r="FQZ12" s="64"/>
      <c r="FRA12" s="64"/>
      <c r="FRB12" s="64"/>
      <c r="FRC12" s="64"/>
      <c r="FRD12" s="64"/>
      <c r="FRE12" s="64"/>
      <c r="FRF12" s="64"/>
      <c r="FRG12" s="64"/>
      <c r="FRH12" s="64"/>
      <c r="FRI12" s="64"/>
      <c r="FRJ12" s="64"/>
      <c r="FRK12" s="64"/>
      <c r="FRL12" s="64"/>
      <c r="FRM12" s="64"/>
      <c r="FRN12" s="64"/>
      <c r="FRO12" s="64"/>
      <c r="FRP12" s="64"/>
      <c r="FRQ12" s="64"/>
      <c r="FRR12" s="64"/>
      <c r="FRS12" s="64"/>
      <c r="FRT12" s="64"/>
      <c r="FRU12" s="64"/>
      <c r="FRV12" s="64"/>
      <c r="FRW12" s="64"/>
      <c r="FRX12" s="64"/>
      <c r="FRY12" s="64"/>
      <c r="FRZ12" s="64"/>
      <c r="FSA12" s="64"/>
      <c r="FSB12" s="64"/>
      <c r="FSC12" s="64"/>
      <c r="FSD12" s="64"/>
      <c r="FSE12" s="64"/>
      <c r="FSF12" s="64"/>
      <c r="FSG12" s="64"/>
      <c r="FSH12" s="64"/>
      <c r="FSI12" s="64"/>
      <c r="FSJ12" s="64"/>
      <c r="FSK12" s="64"/>
      <c r="FSL12" s="64"/>
      <c r="FSM12" s="64"/>
      <c r="FSN12" s="64"/>
      <c r="FSO12" s="64"/>
      <c r="FSP12" s="64"/>
      <c r="FSQ12" s="64"/>
      <c r="FSR12" s="64"/>
      <c r="FSS12" s="64"/>
      <c r="FST12" s="64"/>
      <c r="FSU12" s="64"/>
      <c r="FSV12" s="64"/>
      <c r="FSW12" s="64"/>
      <c r="FSX12" s="64"/>
      <c r="FSY12" s="64"/>
      <c r="FSZ12" s="64"/>
      <c r="FTA12" s="64"/>
      <c r="FTB12" s="64"/>
      <c r="FTC12" s="64"/>
      <c r="FTD12" s="64"/>
      <c r="FTE12" s="64"/>
      <c r="FTF12" s="64"/>
      <c r="FTG12" s="64"/>
      <c r="FTH12" s="64"/>
      <c r="FTI12" s="64"/>
      <c r="FTJ12" s="64"/>
      <c r="FTK12" s="64"/>
      <c r="FTL12" s="64"/>
      <c r="FTM12" s="64"/>
      <c r="FTN12" s="64"/>
      <c r="FTO12" s="64"/>
      <c r="FTP12" s="64"/>
      <c r="FTQ12" s="64"/>
      <c r="FTR12" s="64"/>
      <c r="FTS12" s="64"/>
      <c r="FTT12" s="64"/>
      <c r="FTU12" s="64"/>
      <c r="FTV12" s="64"/>
      <c r="FTW12" s="64"/>
      <c r="FTX12" s="64"/>
      <c r="FTY12" s="64"/>
      <c r="FTZ12" s="64"/>
      <c r="FUA12" s="64"/>
      <c r="FUB12" s="64"/>
      <c r="FUC12" s="64"/>
      <c r="FUD12" s="64"/>
      <c r="FUE12" s="64"/>
      <c r="FUF12" s="64"/>
      <c r="FUG12" s="64"/>
      <c r="FUH12" s="64"/>
      <c r="FUI12" s="64"/>
      <c r="FUJ12" s="64"/>
      <c r="FUK12" s="64"/>
      <c r="FUL12" s="64"/>
      <c r="FUM12" s="64"/>
      <c r="FUN12" s="64"/>
      <c r="FUO12" s="64"/>
      <c r="FUP12" s="64"/>
      <c r="FUQ12" s="64"/>
      <c r="FUR12" s="64"/>
      <c r="FUS12" s="64"/>
      <c r="FUT12" s="64"/>
      <c r="FUU12" s="64"/>
      <c r="FUV12" s="64"/>
      <c r="FUW12" s="64"/>
      <c r="FUX12" s="64"/>
      <c r="FUY12" s="64"/>
      <c r="FUZ12" s="64"/>
      <c r="FVA12" s="64"/>
      <c r="FVB12" s="64"/>
      <c r="FVC12" s="64"/>
      <c r="FVD12" s="64"/>
      <c r="FVE12" s="64"/>
      <c r="FVF12" s="64"/>
      <c r="FVG12" s="64"/>
      <c r="FVH12" s="64"/>
      <c r="FVI12" s="64"/>
      <c r="FVJ12" s="64"/>
      <c r="FVK12" s="64"/>
      <c r="FVL12" s="64"/>
      <c r="FVM12" s="64"/>
      <c r="FVN12" s="64"/>
      <c r="FVO12" s="64"/>
      <c r="FVP12" s="64"/>
      <c r="FVQ12" s="64"/>
      <c r="FVR12" s="64"/>
      <c r="FVS12" s="64"/>
      <c r="FVT12" s="64"/>
      <c r="FVU12" s="64"/>
      <c r="FVV12" s="64"/>
      <c r="FVW12" s="64"/>
      <c r="FVX12" s="64"/>
      <c r="FVY12" s="64"/>
      <c r="FVZ12" s="64"/>
      <c r="FWA12" s="64"/>
      <c r="FWB12" s="64"/>
      <c r="FWC12" s="64"/>
      <c r="FWD12" s="64"/>
      <c r="FWE12" s="64"/>
      <c r="FWF12" s="64"/>
      <c r="FWG12" s="64"/>
      <c r="FWH12" s="64"/>
      <c r="FWI12" s="64"/>
      <c r="FWJ12" s="64"/>
      <c r="FWK12" s="64"/>
      <c r="FWL12" s="64"/>
      <c r="FWM12" s="64"/>
      <c r="FWN12" s="64"/>
      <c r="FWO12" s="64"/>
      <c r="FWP12" s="64"/>
      <c r="FWQ12" s="64"/>
      <c r="FWR12" s="64"/>
      <c r="FWS12" s="64"/>
      <c r="FWT12" s="64"/>
      <c r="FWU12" s="64"/>
      <c r="FWV12" s="64"/>
      <c r="FWW12" s="64"/>
      <c r="FWX12" s="64"/>
      <c r="FWY12" s="64"/>
      <c r="FWZ12" s="64"/>
      <c r="FXA12" s="64"/>
      <c r="FXB12" s="64"/>
      <c r="FXC12" s="64"/>
      <c r="FXD12" s="64"/>
      <c r="FXE12" s="64"/>
      <c r="FXF12" s="64"/>
      <c r="FXG12" s="64"/>
      <c r="FXH12" s="64"/>
      <c r="FXI12" s="64"/>
      <c r="FXJ12" s="64"/>
      <c r="FXK12" s="64"/>
      <c r="FXL12" s="64"/>
      <c r="FXM12" s="64"/>
      <c r="FXN12" s="64"/>
      <c r="FXO12" s="64"/>
      <c r="FXP12" s="64"/>
      <c r="FXQ12" s="64"/>
      <c r="FXR12" s="64"/>
      <c r="FXS12" s="64"/>
      <c r="FXT12" s="64"/>
      <c r="FXU12" s="64"/>
      <c r="FXV12" s="64"/>
      <c r="FXW12" s="64"/>
      <c r="FXX12" s="64"/>
      <c r="FXY12" s="64"/>
      <c r="FXZ12" s="64"/>
      <c r="FYA12" s="64"/>
      <c r="FYB12" s="64"/>
      <c r="FYC12" s="64"/>
      <c r="FYD12" s="64"/>
      <c r="FYE12" s="64"/>
      <c r="FYF12" s="64"/>
      <c r="FYG12" s="64"/>
      <c r="FYH12" s="64"/>
      <c r="FYI12" s="64"/>
      <c r="FYJ12" s="64"/>
      <c r="FYK12" s="64"/>
      <c r="FYL12" s="64"/>
      <c r="FYM12" s="64"/>
      <c r="FYN12" s="64"/>
      <c r="FYO12" s="64"/>
      <c r="FYP12" s="64"/>
      <c r="FYQ12" s="64"/>
      <c r="FYR12" s="64"/>
      <c r="FYS12" s="64"/>
      <c r="FYT12" s="64"/>
      <c r="FYU12" s="64"/>
      <c r="FYV12" s="64"/>
      <c r="FYW12" s="64"/>
      <c r="FYX12" s="64"/>
      <c r="FYY12" s="64"/>
      <c r="FYZ12" s="64"/>
      <c r="FZA12" s="64"/>
      <c r="FZB12" s="64"/>
      <c r="FZC12" s="64"/>
      <c r="FZD12" s="64"/>
      <c r="FZE12" s="64"/>
      <c r="FZF12" s="64"/>
      <c r="FZG12" s="64"/>
      <c r="FZH12" s="64"/>
      <c r="FZI12" s="64"/>
      <c r="FZJ12" s="64"/>
      <c r="FZK12" s="64"/>
      <c r="FZL12" s="64"/>
      <c r="FZM12" s="64"/>
      <c r="FZN12" s="64"/>
      <c r="FZO12" s="64"/>
      <c r="FZP12" s="64"/>
      <c r="FZQ12" s="64"/>
      <c r="FZR12" s="64"/>
      <c r="FZS12" s="64"/>
      <c r="FZT12" s="64"/>
      <c r="FZU12" s="64"/>
      <c r="FZV12" s="64"/>
      <c r="FZW12" s="64"/>
      <c r="FZX12" s="64"/>
      <c r="FZY12" s="64"/>
      <c r="FZZ12" s="64"/>
      <c r="GAA12" s="64"/>
      <c r="GAB12" s="64"/>
      <c r="GAC12" s="64"/>
      <c r="GAD12" s="64"/>
      <c r="GAE12" s="64"/>
      <c r="GAF12" s="64"/>
      <c r="GAG12" s="64"/>
      <c r="GAH12" s="64"/>
      <c r="GAI12" s="64"/>
      <c r="GAJ12" s="64"/>
      <c r="GAK12" s="64"/>
      <c r="GAL12" s="64"/>
      <c r="GAM12" s="64"/>
      <c r="GAN12" s="64"/>
      <c r="GAO12" s="64"/>
      <c r="GAP12" s="64"/>
      <c r="GAQ12" s="64"/>
      <c r="GAR12" s="64"/>
      <c r="GAS12" s="64"/>
      <c r="GAT12" s="64"/>
      <c r="GAU12" s="64"/>
      <c r="GAV12" s="64"/>
      <c r="GAW12" s="64"/>
      <c r="GAX12" s="64"/>
      <c r="GAY12" s="64"/>
      <c r="GAZ12" s="64"/>
      <c r="GBA12" s="64"/>
      <c r="GBB12" s="64"/>
      <c r="GBC12" s="64"/>
      <c r="GBD12" s="64"/>
      <c r="GBE12" s="64"/>
      <c r="GBF12" s="64"/>
      <c r="GBG12" s="64"/>
      <c r="GBH12" s="64"/>
      <c r="GBI12" s="64"/>
      <c r="GBJ12" s="64"/>
      <c r="GBK12" s="64"/>
      <c r="GBL12" s="64"/>
      <c r="GBM12" s="64"/>
      <c r="GBN12" s="64"/>
      <c r="GBO12" s="64"/>
      <c r="GBP12" s="64"/>
      <c r="GBQ12" s="64"/>
      <c r="GBR12" s="64"/>
      <c r="GBS12" s="64"/>
      <c r="GBT12" s="64"/>
      <c r="GBU12" s="64"/>
      <c r="GBV12" s="64"/>
      <c r="GBW12" s="64"/>
      <c r="GBX12" s="64"/>
      <c r="GBY12" s="64"/>
      <c r="GBZ12" s="64"/>
      <c r="GCA12" s="64"/>
      <c r="GCB12" s="64"/>
      <c r="GCC12" s="64"/>
      <c r="GCD12" s="64"/>
      <c r="GCE12" s="64"/>
      <c r="GCF12" s="64"/>
      <c r="GCG12" s="64"/>
      <c r="GCH12" s="64"/>
      <c r="GCI12" s="64"/>
      <c r="GCJ12" s="64"/>
      <c r="GCK12" s="64"/>
      <c r="GCL12" s="64"/>
      <c r="GCM12" s="64"/>
      <c r="GCN12" s="64"/>
      <c r="GCO12" s="64"/>
      <c r="GCP12" s="64"/>
      <c r="GCQ12" s="64"/>
      <c r="GCR12" s="64"/>
      <c r="GCS12" s="64"/>
      <c r="GCT12" s="64"/>
      <c r="GCU12" s="64"/>
      <c r="GCV12" s="64"/>
      <c r="GCW12" s="64"/>
      <c r="GCX12" s="64"/>
      <c r="GCY12" s="64"/>
      <c r="GCZ12" s="64"/>
      <c r="GDA12" s="64"/>
      <c r="GDB12" s="64"/>
      <c r="GDC12" s="64"/>
      <c r="GDD12" s="64"/>
      <c r="GDE12" s="64"/>
      <c r="GDF12" s="64"/>
      <c r="GDG12" s="64"/>
      <c r="GDH12" s="64"/>
      <c r="GDI12" s="64"/>
      <c r="GDJ12" s="64"/>
      <c r="GDK12" s="64"/>
      <c r="GDL12" s="64"/>
      <c r="GDM12" s="64"/>
      <c r="GDN12" s="64"/>
      <c r="GDO12" s="64"/>
      <c r="GDP12" s="64"/>
      <c r="GDQ12" s="64"/>
      <c r="GDR12" s="64"/>
      <c r="GDS12" s="64"/>
      <c r="GDT12" s="64"/>
      <c r="GDU12" s="64"/>
      <c r="GDV12" s="64"/>
      <c r="GDW12" s="64"/>
      <c r="GDX12" s="64"/>
      <c r="GDY12" s="64"/>
      <c r="GDZ12" s="64"/>
      <c r="GEA12" s="64"/>
      <c r="GEB12" s="64"/>
      <c r="GEC12" s="64"/>
      <c r="GED12" s="64"/>
      <c r="GEE12" s="64"/>
      <c r="GEF12" s="64"/>
      <c r="GEG12" s="64"/>
      <c r="GEH12" s="64"/>
      <c r="GEI12" s="64"/>
      <c r="GEJ12" s="64"/>
      <c r="GEK12" s="64"/>
      <c r="GEL12" s="64"/>
      <c r="GEM12" s="64"/>
      <c r="GEN12" s="64"/>
      <c r="GEO12" s="64"/>
      <c r="GEP12" s="64"/>
      <c r="GEQ12" s="64"/>
      <c r="GER12" s="64"/>
      <c r="GES12" s="64"/>
      <c r="GET12" s="64"/>
      <c r="GEU12" s="64"/>
      <c r="GEV12" s="64"/>
      <c r="GEW12" s="64"/>
      <c r="GEX12" s="64"/>
      <c r="GEY12" s="64"/>
      <c r="GEZ12" s="64"/>
      <c r="GFA12" s="64"/>
      <c r="GFB12" s="64"/>
      <c r="GFC12" s="64"/>
      <c r="GFD12" s="64"/>
      <c r="GFE12" s="64"/>
      <c r="GFF12" s="64"/>
      <c r="GFG12" s="64"/>
      <c r="GFH12" s="64"/>
      <c r="GFI12" s="64"/>
      <c r="GFJ12" s="64"/>
      <c r="GFK12" s="64"/>
      <c r="GFL12" s="64"/>
      <c r="GFM12" s="64"/>
      <c r="GFN12" s="64"/>
      <c r="GFO12" s="64"/>
      <c r="GFP12" s="64"/>
      <c r="GFQ12" s="64"/>
      <c r="GFR12" s="64"/>
      <c r="GFS12" s="64"/>
      <c r="GFT12" s="64"/>
      <c r="GFU12" s="64"/>
      <c r="GFV12" s="64"/>
      <c r="GFW12" s="64"/>
      <c r="GFX12" s="64"/>
      <c r="GFY12" s="64"/>
      <c r="GFZ12" s="64"/>
      <c r="GGA12" s="64"/>
      <c r="GGB12" s="64"/>
      <c r="GGC12" s="64"/>
      <c r="GGD12" s="64"/>
      <c r="GGE12" s="64"/>
      <c r="GGF12" s="64"/>
      <c r="GGG12" s="64"/>
      <c r="GGH12" s="64"/>
      <c r="GGI12" s="64"/>
      <c r="GGJ12" s="64"/>
      <c r="GGK12" s="64"/>
      <c r="GGL12" s="64"/>
      <c r="GGM12" s="64"/>
      <c r="GGN12" s="64"/>
      <c r="GGO12" s="64"/>
      <c r="GGP12" s="64"/>
      <c r="GGQ12" s="64"/>
      <c r="GGR12" s="64"/>
      <c r="GGS12" s="64"/>
      <c r="GGT12" s="64"/>
      <c r="GGU12" s="64"/>
      <c r="GGV12" s="64"/>
      <c r="GGW12" s="64"/>
      <c r="GGX12" s="64"/>
      <c r="GGY12" s="64"/>
      <c r="GGZ12" s="64"/>
      <c r="GHA12" s="64"/>
      <c r="GHB12" s="64"/>
      <c r="GHC12" s="64"/>
      <c r="GHD12" s="64"/>
      <c r="GHE12" s="64"/>
      <c r="GHF12" s="64"/>
      <c r="GHG12" s="64"/>
      <c r="GHH12" s="64"/>
      <c r="GHI12" s="64"/>
      <c r="GHJ12" s="64"/>
      <c r="GHK12" s="64"/>
      <c r="GHL12" s="64"/>
      <c r="GHM12" s="64"/>
      <c r="GHN12" s="64"/>
      <c r="GHO12" s="64"/>
      <c r="GHP12" s="64"/>
      <c r="GHQ12" s="64"/>
      <c r="GHR12" s="64"/>
      <c r="GHS12" s="64"/>
      <c r="GHT12" s="64"/>
      <c r="GHU12" s="64"/>
      <c r="GHV12" s="64"/>
      <c r="GHW12" s="64"/>
      <c r="GHX12" s="64"/>
      <c r="GHY12" s="64"/>
      <c r="GHZ12" s="64"/>
      <c r="GIA12" s="64"/>
      <c r="GIB12" s="64"/>
      <c r="GIC12" s="64"/>
      <c r="GID12" s="64"/>
      <c r="GIE12" s="64"/>
      <c r="GIF12" s="64"/>
      <c r="GIG12" s="64"/>
      <c r="GIH12" s="64"/>
      <c r="GII12" s="64"/>
      <c r="GIJ12" s="64"/>
      <c r="GIK12" s="64"/>
      <c r="GIL12" s="64"/>
      <c r="GIM12" s="64"/>
      <c r="GIN12" s="64"/>
      <c r="GIO12" s="64"/>
      <c r="GIP12" s="64"/>
      <c r="GIQ12" s="64"/>
      <c r="GIR12" s="64"/>
      <c r="GIS12" s="64"/>
      <c r="GIT12" s="64"/>
      <c r="GIU12" s="64"/>
      <c r="GIV12" s="64"/>
      <c r="GIW12" s="64"/>
      <c r="GIX12" s="64"/>
      <c r="GIY12" s="64"/>
      <c r="GIZ12" s="64"/>
      <c r="GJA12" s="64"/>
      <c r="GJB12" s="64"/>
      <c r="GJC12" s="64"/>
      <c r="GJD12" s="64"/>
      <c r="GJE12" s="64"/>
      <c r="GJF12" s="64"/>
      <c r="GJG12" s="64"/>
      <c r="GJH12" s="64"/>
      <c r="GJI12" s="64"/>
      <c r="GJJ12" s="64"/>
      <c r="GJK12" s="64"/>
      <c r="GJL12" s="64"/>
      <c r="GJM12" s="64"/>
      <c r="GJN12" s="64"/>
      <c r="GJO12" s="64"/>
      <c r="GJP12" s="64"/>
      <c r="GJQ12" s="64"/>
      <c r="GJR12" s="64"/>
      <c r="GJS12" s="64"/>
      <c r="GJT12" s="64"/>
      <c r="GJU12" s="64"/>
      <c r="GJV12" s="64"/>
      <c r="GJW12" s="64"/>
      <c r="GJX12" s="64"/>
      <c r="GJY12" s="64"/>
      <c r="GJZ12" s="64"/>
      <c r="GKA12" s="64"/>
      <c r="GKB12" s="64"/>
      <c r="GKC12" s="64"/>
      <c r="GKD12" s="64"/>
      <c r="GKE12" s="64"/>
      <c r="GKF12" s="64"/>
      <c r="GKG12" s="64"/>
      <c r="GKH12" s="64"/>
      <c r="GKI12" s="64"/>
      <c r="GKJ12" s="64"/>
      <c r="GKK12" s="64"/>
      <c r="GKL12" s="64"/>
      <c r="GKM12" s="64"/>
      <c r="GKN12" s="64"/>
      <c r="GKO12" s="64"/>
      <c r="GKP12" s="64"/>
      <c r="GKQ12" s="64"/>
      <c r="GKR12" s="64"/>
      <c r="GKS12" s="64"/>
      <c r="GKT12" s="64"/>
      <c r="GKU12" s="64"/>
      <c r="GKV12" s="64"/>
      <c r="GKW12" s="64"/>
      <c r="GKX12" s="64"/>
      <c r="GKY12" s="64"/>
      <c r="GKZ12" s="64"/>
      <c r="GLA12" s="64"/>
      <c r="GLB12" s="64"/>
      <c r="GLC12" s="64"/>
      <c r="GLD12" s="64"/>
      <c r="GLE12" s="64"/>
      <c r="GLF12" s="64"/>
      <c r="GLG12" s="64"/>
      <c r="GLH12" s="64"/>
      <c r="GLI12" s="64"/>
      <c r="GLJ12" s="64"/>
      <c r="GLK12" s="64"/>
      <c r="GLL12" s="64"/>
      <c r="GLM12" s="64"/>
      <c r="GLN12" s="64"/>
      <c r="GLO12" s="64"/>
      <c r="GLP12" s="64"/>
      <c r="GLQ12" s="64"/>
      <c r="GLR12" s="64"/>
      <c r="GLS12" s="64"/>
      <c r="GLT12" s="64"/>
      <c r="GLU12" s="64"/>
      <c r="GLV12" s="64"/>
      <c r="GLW12" s="64"/>
      <c r="GLX12" s="64"/>
      <c r="GLY12" s="64"/>
      <c r="GLZ12" s="64"/>
      <c r="GMA12" s="64"/>
      <c r="GMB12" s="64"/>
      <c r="GMC12" s="64"/>
      <c r="GMD12" s="64"/>
      <c r="GME12" s="64"/>
      <c r="GMF12" s="64"/>
      <c r="GMG12" s="64"/>
      <c r="GMH12" s="64"/>
      <c r="GMI12" s="64"/>
      <c r="GMJ12" s="64"/>
      <c r="GMK12" s="64"/>
      <c r="GML12" s="64"/>
      <c r="GMM12" s="64"/>
      <c r="GMN12" s="64"/>
      <c r="GMO12" s="64"/>
      <c r="GMP12" s="64"/>
      <c r="GMQ12" s="64"/>
      <c r="GMR12" s="64"/>
      <c r="GMS12" s="64"/>
      <c r="GMT12" s="64"/>
      <c r="GMU12" s="64"/>
      <c r="GMV12" s="64"/>
      <c r="GMW12" s="64"/>
      <c r="GMX12" s="64"/>
      <c r="GMY12" s="64"/>
      <c r="GMZ12" s="64"/>
      <c r="GNA12" s="64"/>
      <c r="GNB12" s="64"/>
      <c r="GNC12" s="64"/>
      <c r="GND12" s="64"/>
      <c r="GNE12" s="64"/>
      <c r="GNF12" s="64"/>
      <c r="GNG12" s="64"/>
      <c r="GNH12" s="64"/>
      <c r="GNI12" s="64"/>
      <c r="GNJ12" s="64"/>
      <c r="GNK12" s="64"/>
      <c r="GNL12" s="64"/>
      <c r="GNM12" s="64"/>
      <c r="GNN12" s="64"/>
      <c r="GNO12" s="64"/>
      <c r="GNP12" s="64"/>
      <c r="GNQ12" s="64"/>
      <c r="GNR12" s="64"/>
      <c r="GNS12" s="64"/>
      <c r="GNT12" s="64"/>
      <c r="GNU12" s="64"/>
      <c r="GNV12" s="64"/>
      <c r="GNW12" s="64"/>
      <c r="GNX12" s="64"/>
      <c r="GNY12" s="64"/>
      <c r="GNZ12" s="64"/>
      <c r="GOA12" s="64"/>
      <c r="GOB12" s="64"/>
      <c r="GOC12" s="64"/>
      <c r="GOD12" s="64"/>
      <c r="GOE12" s="64"/>
      <c r="GOF12" s="64"/>
      <c r="GOG12" s="64"/>
      <c r="GOH12" s="64"/>
      <c r="GOI12" s="64"/>
      <c r="GOJ12" s="64"/>
      <c r="GOK12" s="64"/>
      <c r="GOL12" s="64"/>
      <c r="GOM12" s="64"/>
      <c r="GON12" s="64"/>
      <c r="GOO12" s="64"/>
      <c r="GOP12" s="64"/>
      <c r="GOQ12" s="64"/>
      <c r="GOR12" s="64"/>
      <c r="GOS12" s="64"/>
      <c r="GOT12" s="64"/>
      <c r="GOU12" s="64"/>
      <c r="GOV12" s="64"/>
      <c r="GOW12" s="64"/>
      <c r="GOX12" s="64"/>
      <c r="GOY12" s="64"/>
      <c r="GOZ12" s="64"/>
      <c r="GPA12" s="64"/>
      <c r="GPB12" s="64"/>
      <c r="GPC12" s="64"/>
      <c r="GPD12" s="64"/>
      <c r="GPE12" s="64"/>
      <c r="GPF12" s="64"/>
      <c r="GPG12" s="64"/>
      <c r="GPH12" s="64"/>
      <c r="GPI12" s="64"/>
      <c r="GPJ12" s="64"/>
      <c r="GPK12" s="64"/>
      <c r="GPL12" s="64"/>
      <c r="GPM12" s="64"/>
      <c r="GPN12" s="64"/>
      <c r="GPO12" s="64"/>
      <c r="GPP12" s="64"/>
      <c r="GPQ12" s="64"/>
      <c r="GPR12" s="64"/>
      <c r="GPS12" s="64"/>
      <c r="GPT12" s="64"/>
      <c r="GPU12" s="64"/>
      <c r="GPV12" s="64"/>
      <c r="GPW12" s="64"/>
      <c r="GPX12" s="64"/>
      <c r="GPY12" s="64"/>
      <c r="GPZ12" s="64"/>
      <c r="GQA12" s="64"/>
      <c r="GQB12" s="64"/>
      <c r="GQC12" s="64"/>
      <c r="GQD12" s="64"/>
      <c r="GQE12" s="64"/>
      <c r="GQF12" s="64"/>
      <c r="GQG12" s="64"/>
      <c r="GQH12" s="64"/>
      <c r="GQI12" s="64"/>
      <c r="GQJ12" s="64"/>
      <c r="GQK12" s="64"/>
      <c r="GQL12" s="64"/>
      <c r="GQM12" s="64"/>
      <c r="GQN12" s="64"/>
      <c r="GQO12" s="64"/>
      <c r="GQP12" s="64"/>
      <c r="GQQ12" s="64"/>
      <c r="GQR12" s="64"/>
      <c r="GQS12" s="64"/>
      <c r="GQT12" s="64"/>
      <c r="GQU12" s="64"/>
      <c r="GQV12" s="64"/>
      <c r="GQW12" s="64"/>
      <c r="GQX12" s="64"/>
      <c r="GQY12" s="64"/>
      <c r="GQZ12" s="64"/>
      <c r="GRA12" s="64"/>
      <c r="GRB12" s="64"/>
      <c r="GRC12" s="64"/>
      <c r="GRD12" s="64"/>
      <c r="GRE12" s="64"/>
      <c r="GRF12" s="64"/>
      <c r="GRG12" s="64"/>
      <c r="GRH12" s="64"/>
      <c r="GRI12" s="64"/>
      <c r="GRJ12" s="64"/>
      <c r="GRK12" s="64"/>
      <c r="GRL12" s="64"/>
      <c r="GRM12" s="64"/>
      <c r="GRN12" s="64"/>
      <c r="GRO12" s="64"/>
      <c r="GRP12" s="64"/>
      <c r="GRQ12" s="64"/>
      <c r="GRR12" s="64"/>
      <c r="GRS12" s="64"/>
      <c r="GRT12" s="64"/>
      <c r="GRU12" s="64"/>
      <c r="GRV12" s="64"/>
      <c r="GRW12" s="64"/>
      <c r="GRX12" s="64"/>
      <c r="GRY12" s="64"/>
      <c r="GRZ12" s="64"/>
      <c r="GSA12" s="64"/>
      <c r="GSB12" s="64"/>
      <c r="GSC12" s="64"/>
      <c r="GSD12" s="64"/>
      <c r="GSE12" s="64"/>
      <c r="GSF12" s="64"/>
      <c r="GSG12" s="64"/>
      <c r="GSH12" s="64"/>
      <c r="GSI12" s="64"/>
      <c r="GSJ12" s="64"/>
      <c r="GSK12" s="64"/>
      <c r="GSL12" s="64"/>
      <c r="GSM12" s="64"/>
      <c r="GSN12" s="64"/>
      <c r="GSO12" s="64"/>
      <c r="GSP12" s="64"/>
      <c r="GSQ12" s="64"/>
      <c r="GSR12" s="64"/>
      <c r="GSS12" s="64"/>
      <c r="GST12" s="64"/>
      <c r="GSU12" s="64"/>
      <c r="GSV12" s="64"/>
      <c r="GSW12" s="64"/>
      <c r="GSX12" s="64"/>
      <c r="GSY12" s="64"/>
      <c r="GSZ12" s="64"/>
      <c r="GTA12" s="64"/>
      <c r="GTB12" s="64"/>
      <c r="GTC12" s="64"/>
      <c r="GTD12" s="64"/>
      <c r="GTE12" s="64"/>
      <c r="GTF12" s="64"/>
      <c r="GTG12" s="64"/>
      <c r="GTH12" s="64"/>
      <c r="GTI12" s="64"/>
      <c r="GTJ12" s="64"/>
      <c r="GTK12" s="64"/>
      <c r="GTL12" s="64"/>
      <c r="GTM12" s="64"/>
      <c r="GTN12" s="64"/>
      <c r="GTO12" s="64"/>
      <c r="GTP12" s="64"/>
      <c r="GTQ12" s="64"/>
      <c r="GTR12" s="64"/>
      <c r="GTS12" s="64"/>
      <c r="GTT12" s="64"/>
      <c r="GTU12" s="64"/>
      <c r="GTV12" s="64"/>
      <c r="GTW12" s="64"/>
      <c r="GTX12" s="64"/>
      <c r="GTY12" s="64"/>
      <c r="GTZ12" s="64"/>
      <c r="GUA12" s="64"/>
      <c r="GUB12" s="64"/>
      <c r="GUC12" s="64"/>
      <c r="GUD12" s="64"/>
      <c r="GUE12" s="64"/>
      <c r="GUF12" s="64"/>
      <c r="GUG12" s="64"/>
      <c r="GUH12" s="64"/>
      <c r="GUI12" s="64"/>
      <c r="GUJ12" s="64"/>
      <c r="GUK12" s="64"/>
      <c r="GUL12" s="64"/>
      <c r="GUM12" s="64"/>
      <c r="GUN12" s="64"/>
      <c r="GUO12" s="64"/>
      <c r="GUP12" s="64"/>
      <c r="GUQ12" s="64"/>
      <c r="GUR12" s="64"/>
      <c r="GUS12" s="64"/>
      <c r="GUT12" s="64"/>
      <c r="GUU12" s="64"/>
      <c r="GUV12" s="64"/>
      <c r="GUW12" s="64"/>
      <c r="GUX12" s="64"/>
      <c r="GUY12" s="64"/>
      <c r="GUZ12" s="64"/>
      <c r="GVA12" s="64"/>
      <c r="GVB12" s="64"/>
      <c r="GVC12" s="64"/>
      <c r="GVD12" s="64"/>
      <c r="GVE12" s="64"/>
      <c r="GVF12" s="64"/>
      <c r="GVG12" s="64"/>
      <c r="GVH12" s="64"/>
      <c r="GVI12" s="64"/>
      <c r="GVJ12" s="64"/>
      <c r="GVK12" s="64"/>
      <c r="GVL12" s="64"/>
      <c r="GVM12" s="64"/>
      <c r="GVN12" s="64"/>
      <c r="GVO12" s="64"/>
      <c r="GVP12" s="64"/>
      <c r="GVQ12" s="64"/>
      <c r="GVR12" s="64"/>
      <c r="GVS12" s="64"/>
      <c r="GVT12" s="64"/>
      <c r="GVU12" s="64"/>
      <c r="GVV12" s="64"/>
      <c r="GVW12" s="64"/>
      <c r="GVX12" s="64"/>
      <c r="GVY12" s="64"/>
      <c r="GVZ12" s="64"/>
      <c r="GWA12" s="64"/>
      <c r="GWB12" s="64"/>
      <c r="GWC12" s="64"/>
      <c r="GWD12" s="64"/>
      <c r="GWE12" s="64"/>
      <c r="GWF12" s="64"/>
      <c r="GWG12" s="64"/>
      <c r="GWH12" s="64"/>
      <c r="GWI12" s="64"/>
      <c r="GWJ12" s="64"/>
      <c r="GWK12" s="64"/>
      <c r="GWL12" s="64"/>
      <c r="GWM12" s="64"/>
      <c r="GWN12" s="64"/>
      <c r="GWO12" s="64"/>
      <c r="GWP12" s="64"/>
      <c r="GWQ12" s="64"/>
      <c r="GWR12" s="64"/>
      <c r="GWS12" s="64"/>
      <c r="GWT12" s="64"/>
      <c r="GWU12" s="64"/>
      <c r="GWV12" s="64"/>
      <c r="GWW12" s="64"/>
      <c r="GWX12" s="64"/>
      <c r="GWY12" s="64"/>
      <c r="GWZ12" s="64"/>
      <c r="GXA12" s="64"/>
      <c r="GXB12" s="64"/>
      <c r="GXC12" s="64"/>
      <c r="GXD12" s="64"/>
      <c r="GXE12" s="64"/>
      <c r="GXF12" s="64"/>
      <c r="GXG12" s="64"/>
      <c r="GXH12" s="64"/>
      <c r="GXI12" s="64"/>
      <c r="GXJ12" s="64"/>
      <c r="GXK12" s="64"/>
      <c r="GXL12" s="64"/>
      <c r="GXM12" s="64"/>
      <c r="GXN12" s="64"/>
      <c r="GXO12" s="64"/>
      <c r="GXP12" s="64"/>
      <c r="GXQ12" s="64"/>
      <c r="GXR12" s="64"/>
      <c r="GXS12" s="64"/>
      <c r="GXT12" s="64"/>
      <c r="GXU12" s="64"/>
      <c r="GXV12" s="64"/>
      <c r="GXW12" s="64"/>
      <c r="GXX12" s="64"/>
      <c r="GXY12" s="64"/>
      <c r="GXZ12" s="64"/>
      <c r="GYA12" s="64"/>
      <c r="GYB12" s="64"/>
      <c r="GYC12" s="64"/>
      <c r="GYD12" s="64"/>
      <c r="GYE12" s="64"/>
      <c r="GYF12" s="64"/>
      <c r="GYG12" s="64"/>
      <c r="GYH12" s="64"/>
      <c r="GYI12" s="64"/>
      <c r="GYJ12" s="64"/>
      <c r="GYK12" s="64"/>
      <c r="GYL12" s="64"/>
      <c r="GYM12" s="64"/>
      <c r="GYN12" s="64"/>
      <c r="GYO12" s="64"/>
      <c r="GYP12" s="64"/>
      <c r="GYQ12" s="64"/>
      <c r="GYR12" s="64"/>
      <c r="GYS12" s="64"/>
      <c r="GYT12" s="64"/>
      <c r="GYU12" s="64"/>
      <c r="GYV12" s="64"/>
      <c r="GYW12" s="64"/>
      <c r="GYX12" s="64"/>
      <c r="GYY12" s="64"/>
      <c r="GYZ12" s="64"/>
      <c r="GZA12" s="64"/>
      <c r="GZB12" s="64"/>
      <c r="GZC12" s="64"/>
      <c r="GZD12" s="64"/>
      <c r="GZE12" s="64"/>
      <c r="GZF12" s="64"/>
      <c r="GZG12" s="64"/>
      <c r="GZH12" s="64"/>
      <c r="GZI12" s="64"/>
      <c r="GZJ12" s="64"/>
      <c r="GZK12" s="64"/>
      <c r="GZL12" s="64"/>
      <c r="GZM12" s="64"/>
      <c r="GZN12" s="64"/>
      <c r="GZO12" s="64"/>
      <c r="GZP12" s="64"/>
      <c r="GZQ12" s="64"/>
      <c r="GZR12" s="64"/>
      <c r="GZS12" s="64"/>
      <c r="GZT12" s="64"/>
      <c r="GZU12" s="64"/>
      <c r="GZV12" s="64"/>
      <c r="GZW12" s="64"/>
      <c r="GZX12" s="64"/>
      <c r="GZY12" s="64"/>
      <c r="GZZ12" s="64"/>
      <c r="HAA12" s="64"/>
      <c r="HAB12" s="64"/>
      <c r="HAC12" s="64"/>
      <c r="HAD12" s="64"/>
      <c r="HAE12" s="64"/>
      <c r="HAF12" s="64"/>
      <c r="HAG12" s="64"/>
      <c r="HAH12" s="64"/>
      <c r="HAI12" s="64"/>
      <c r="HAJ12" s="64"/>
      <c r="HAK12" s="64"/>
      <c r="HAL12" s="64"/>
      <c r="HAM12" s="64"/>
      <c r="HAN12" s="64"/>
      <c r="HAO12" s="64"/>
      <c r="HAP12" s="64"/>
      <c r="HAQ12" s="64"/>
      <c r="HAR12" s="64"/>
      <c r="HAS12" s="64"/>
      <c r="HAT12" s="64"/>
      <c r="HAU12" s="64"/>
      <c r="HAV12" s="64"/>
      <c r="HAW12" s="64"/>
      <c r="HAX12" s="64"/>
      <c r="HAY12" s="64"/>
      <c r="HAZ12" s="64"/>
      <c r="HBA12" s="64"/>
      <c r="HBB12" s="64"/>
      <c r="HBC12" s="64"/>
      <c r="HBD12" s="64"/>
      <c r="HBE12" s="64"/>
      <c r="HBF12" s="64"/>
      <c r="HBG12" s="64"/>
      <c r="HBH12" s="64"/>
      <c r="HBI12" s="64"/>
      <c r="HBJ12" s="64"/>
      <c r="HBK12" s="64"/>
      <c r="HBL12" s="64"/>
      <c r="HBM12" s="64"/>
      <c r="HBN12" s="64"/>
      <c r="HBO12" s="64"/>
      <c r="HBP12" s="64"/>
      <c r="HBQ12" s="64"/>
      <c r="HBR12" s="64"/>
      <c r="HBS12" s="64"/>
      <c r="HBT12" s="64"/>
      <c r="HBU12" s="64"/>
      <c r="HBV12" s="64"/>
      <c r="HBW12" s="64"/>
      <c r="HBX12" s="64"/>
      <c r="HBY12" s="64"/>
      <c r="HBZ12" s="64"/>
      <c r="HCA12" s="64"/>
      <c r="HCB12" s="64"/>
      <c r="HCC12" s="64"/>
      <c r="HCD12" s="64"/>
      <c r="HCE12" s="64"/>
      <c r="HCF12" s="64"/>
      <c r="HCG12" s="64"/>
      <c r="HCH12" s="64"/>
      <c r="HCI12" s="64"/>
      <c r="HCJ12" s="64"/>
      <c r="HCK12" s="64"/>
      <c r="HCL12" s="64"/>
      <c r="HCM12" s="64"/>
      <c r="HCN12" s="64"/>
      <c r="HCO12" s="64"/>
      <c r="HCP12" s="64"/>
      <c r="HCQ12" s="64"/>
      <c r="HCR12" s="64"/>
      <c r="HCS12" s="64"/>
      <c r="HCT12" s="64"/>
      <c r="HCU12" s="64"/>
      <c r="HCV12" s="64"/>
      <c r="HCW12" s="64"/>
      <c r="HCX12" s="64"/>
      <c r="HCY12" s="64"/>
      <c r="HCZ12" s="64"/>
      <c r="HDA12" s="64"/>
      <c r="HDB12" s="64"/>
      <c r="HDC12" s="64"/>
      <c r="HDD12" s="64"/>
      <c r="HDE12" s="64"/>
      <c r="HDF12" s="64"/>
      <c r="HDG12" s="64"/>
      <c r="HDH12" s="64"/>
      <c r="HDI12" s="64"/>
      <c r="HDJ12" s="64"/>
      <c r="HDK12" s="64"/>
      <c r="HDL12" s="64"/>
      <c r="HDM12" s="64"/>
      <c r="HDN12" s="64"/>
      <c r="HDO12" s="64"/>
      <c r="HDP12" s="64"/>
      <c r="HDQ12" s="64"/>
      <c r="HDR12" s="64"/>
      <c r="HDS12" s="64"/>
      <c r="HDT12" s="64"/>
      <c r="HDU12" s="64"/>
      <c r="HDV12" s="64"/>
      <c r="HDW12" s="64"/>
      <c r="HDX12" s="64"/>
      <c r="HDY12" s="64"/>
      <c r="HDZ12" s="64"/>
      <c r="HEA12" s="64"/>
      <c r="HEB12" s="64"/>
      <c r="HEC12" s="64"/>
      <c r="HED12" s="64"/>
      <c r="HEE12" s="64"/>
      <c r="HEF12" s="64"/>
      <c r="HEG12" s="64"/>
      <c r="HEH12" s="64"/>
      <c r="HEI12" s="64"/>
      <c r="HEJ12" s="64"/>
      <c r="HEK12" s="64"/>
      <c r="HEL12" s="64"/>
      <c r="HEM12" s="64"/>
      <c r="HEN12" s="64"/>
      <c r="HEO12" s="64"/>
      <c r="HEP12" s="64"/>
      <c r="HEQ12" s="64"/>
      <c r="HER12" s="64"/>
      <c r="HES12" s="64"/>
      <c r="HET12" s="64"/>
      <c r="HEU12" s="64"/>
      <c r="HEV12" s="64"/>
      <c r="HEW12" s="64"/>
      <c r="HEX12" s="64"/>
      <c r="HEY12" s="64"/>
      <c r="HEZ12" s="64"/>
      <c r="HFA12" s="64"/>
      <c r="HFB12" s="64"/>
      <c r="HFC12" s="64"/>
      <c r="HFD12" s="64"/>
      <c r="HFE12" s="64"/>
      <c r="HFF12" s="64"/>
      <c r="HFG12" s="64"/>
      <c r="HFH12" s="64"/>
      <c r="HFI12" s="64"/>
      <c r="HFJ12" s="64"/>
      <c r="HFK12" s="64"/>
      <c r="HFL12" s="64"/>
      <c r="HFM12" s="64"/>
      <c r="HFN12" s="64"/>
      <c r="HFO12" s="64"/>
      <c r="HFP12" s="64"/>
      <c r="HFQ12" s="64"/>
      <c r="HFR12" s="64"/>
      <c r="HFS12" s="64"/>
      <c r="HFT12" s="64"/>
      <c r="HFU12" s="64"/>
      <c r="HFV12" s="64"/>
      <c r="HFW12" s="64"/>
      <c r="HFX12" s="64"/>
      <c r="HFY12" s="64"/>
      <c r="HFZ12" s="64"/>
      <c r="HGA12" s="64"/>
      <c r="HGB12" s="64"/>
      <c r="HGC12" s="64"/>
      <c r="HGD12" s="64"/>
      <c r="HGE12" s="64"/>
      <c r="HGF12" s="64"/>
      <c r="HGG12" s="64"/>
      <c r="HGH12" s="64"/>
      <c r="HGI12" s="64"/>
      <c r="HGJ12" s="64"/>
      <c r="HGK12" s="64"/>
      <c r="HGL12" s="64"/>
      <c r="HGM12" s="64"/>
      <c r="HGN12" s="64"/>
      <c r="HGO12" s="64"/>
      <c r="HGP12" s="64"/>
      <c r="HGQ12" s="64"/>
      <c r="HGR12" s="64"/>
      <c r="HGS12" s="64"/>
      <c r="HGT12" s="64"/>
      <c r="HGU12" s="64"/>
      <c r="HGV12" s="64"/>
      <c r="HGW12" s="64"/>
      <c r="HGX12" s="64"/>
      <c r="HGY12" s="64"/>
      <c r="HGZ12" s="64"/>
      <c r="HHA12" s="64"/>
      <c r="HHB12" s="64"/>
      <c r="HHC12" s="64"/>
      <c r="HHD12" s="64"/>
      <c r="HHE12" s="64"/>
      <c r="HHF12" s="64"/>
      <c r="HHG12" s="64"/>
      <c r="HHH12" s="64"/>
      <c r="HHI12" s="64"/>
      <c r="HHJ12" s="64"/>
      <c r="HHK12" s="64"/>
      <c r="HHL12" s="64"/>
      <c r="HHM12" s="64"/>
      <c r="HHN12" s="64"/>
      <c r="HHO12" s="64"/>
      <c r="HHP12" s="64"/>
      <c r="HHQ12" s="64"/>
      <c r="HHR12" s="64"/>
      <c r="HHS12" s="64"/>
      <c r="HHT12" s="64"/>
      <c r="HHU12" s="64"/>
      <c r="HHV12" s="64"/>
      <c r="HHW12" s="64"/>
      <c r="HHX12" s="64"/>
      <c r="HHY12" s="64"/>
      <c r="HHZ12" s="64"/>
      <c r="HIA12" s="64"/>
      <c r="HIB12" s="64"/>
      <c r="HIC12" s="64"/>
      <c r="HID12" s="64"/>
      <c r="HIE12" s="64"/>
      <c r="HIF12" s="64"/>
      <c r="HIG12" s="64"/>
      <c r="HIH12" s="64"/>
      <c r="HII12" s="64"/>
      <c r="HIJ12" s="64"/>
      <c r="HIK12" s="64"/>
      <c r="HIL12" s="64"/>
      <c r="HIM12" s="64"/>
      <c r="HIN12" s="64"/>
      <c r="HIO12" s="64"/>
      <c r="HIP12" s="64"/>
      <c r="HIQ12" s="64"/>
      <c r="HIR12" s="64"/>
      <c r="HIS12" s="64"/>
      <c r="HIT12" s="64"/>
      <c r="HIU12" s="64"/>
      <c r="HIV12" s="64"/>
      <c r="HIW12" s="64"/>
      <c r="HIX12" s="64"/>
      <c r="HIY12" s="64"/>
      <c r="HIZ12" s="64"/>
      <c r="HJA12" s="64"/>
      <c r="HJB12" s="64"/>
      <c r="HJC12" s="64"/>
      <c r="HJD12" s="64"/>
      <c r="HJE12" s="64"/>
      <c r="HJF12" s="64"/>
      <c r="HJG12" s="64"/>
      <c r="HJH12" s="64"/>
      <c r="HJI12" s="64"/>
      <c r="HJJ12" s="64"/>
      <c r="HJK12" s="64"/>
      <c r="HJL12" s="64"/>
      <c r="HJM12" s="64"/>
      <c r="HJN12" s="64"/>
      <c r="HJO12" s="64"/>
      <c r="HJP12" s="64"/>
      <c r="HJQ12" s="64"/>
      <c r="HJR12" s="64"/>
      <c r="HJS12" s="64"/>
      <c r="HJT12" s="64"/>
      <c r="HJU12" s="64"/>
      <c r="HJV12" s="64"/>
      <c r="HJW12" s="64"/>
      <c r="HJX12" s="64"/>
      <c r="HJY12" s="64"/>
      <c r="HJZ12" s="64"/>
      <c r="HKA12" s="64"/>
      <c r="HKB12" s="64"/>
      <c r="HKC12" s="64"/>
      <c r="HKD12" s="64"/>
      <c r="HKE12" s="64"/>
      <c r="HKF12" s="64"/>
      <c r="HKG12" s="64"/>
      <c r="HKH12" s="64"/>
      <c r="HKI12" s="64"/>
      <c r="HKJ12" s="64"/>
      <c r="HKK12" s="64"/>
      <c r="HKL12" s="64"/>
      <c r="HKM12" s="64"/>
      <c r="HKN12" s="64"/>
      <c r="HKO12" s="64"/>
      <c r="HKP12" s="64"/>
      <c r="HKQ12" s="64"/>
      <c r="HKR12" s="64"/>
      <c r="HKS12" s="64"/>
      <c r="HKT12" s="64"/>
      <c r="HKU12" s="64"/>
      <c r="HKV12" s="64"/>
      <c r="HKW12" s="64"/>
      <c r="HKX12" s="64"/>
      <c r="HKY12" s="64"/>
      <c r="HKZ12" s="64"/>
      <c r="HLA12" s="64"/>
      <c r="HLB12" s="64"/>
      <c r="HLC12" s="64"/>
      <c r="HLD12" s="64"/>
      <c r="HLE12" s="64"/>
      <c r="HLF12" s="64"/>
      <c r="HLG12" s="64"/>
      <c r="HLH12" s="64"/>
      <c r="HLI12" s="64"/>
      <c r="HLJ12" s="64"/>
      <c r="HLK12" s="64"/>
      <c r="HLL12" s="64"/>
      <c r="HLM12" s="64"/>
      <c r="HLN12" s="64"/>
      <c r="HLO12" s="64"/>
      <c r="HLP12" s="64"/>
      <c r="HLQ12" s="64"/>
      <c r="HLR12" s="64"/>
      <c r="HLS12" s="64"/>
      <c r="HLT12" s="64"/>
      <c r="HLU12" s="64"/>
      <c r="HLV12" s="64"/>
      <c r="HLW12" s="64"/>
      <c r="HLX12" s="64"/>
      <c r="HLY12" s="64"/>
      <c r="HLZ12" s="64"/>
      <c r="HMA12" s="64"/>
      <c r="HMB12" s="64"/>
      <c r="HMC12" s="64"/>
      <c r="HMD12" s="64"/>
      <c r="HME12" s="64"/>
      <c r="HMF12" s="64"/>
      <c r="HMG12" s="64"/>
      <c r="HMH12" s="64"/>
      <c r="HMI12" s="64"/>
      <c r="HMJ12" s="64"/>
      <c r="HMK12" s="64"/>
      <c r="HML12" s="64"/>
      <c r="HMM12" s="64"/>
      <c r="HMN12" s="64"/>
      <c r="HMO12" s="64"/>
      <c r="HMP12" s="64"/>
      <c r="HMQ12" s="64"/>
      <c r="HMR12" s="64"/>
      <c r="HMS12" s="64"/>
      <c r="HMT12" s="64"/>
      <c r="HMU12" s="64"/>
      <c r="HMV12" s="64"/>
      <c r="HMW12" s="64"/>
      <c r="HMX12" s="64"/>
      <c r="HMY12" s="64"/>
      <c r="HMZ12" s="64"/>
      <c r="HNA12" s="64"/>
      <c r="HNB12" s="64"/>
      <c r="HNC12" s="64"/>
      <c r="HND12" s="64"/>
      <c r="HNE12" s="64"/>
      <c r="HNF12" s="64"/>
      <c r="HNG12" s="64"/>
      <c r="HNH12" s="64"/>
      <c r="HNI12" s="64"/>
      <c r="HNJ12" s="64"/>
      <c r="HNK12" s="64"/>
      <c r="HNL12" s="64"/>
      <c r="HNM12" s="64"/>
      <c r="HNN12" s="64"/>
      <c r="HNO12" s="64"/>
      <c r="HNP12" s="64"/>
      <c r="HNQ12" s="64"/>
      <c r="HNR12" s="64"/>
      <c r="HNS12" s="64"/>
      <c r="HNT12" s="64"/>
      <c r="HNU12" s="64"/>
      <c r="HNV12" s="64"/>
      <c r="HNW12" s="64"/>
      <c r="HNX12" s="64"/>
      <c r="HNY12" s="64"/>
      <c r="HNZ12" s="64"/>
      <c r="HOA12" s="64"/>
      <c r="HOB12" s="64"/>
      <c r="HOC12" s="64"/>
      <c r="HOD12" s="64"/>
      <c r="HOE12" s="64"/>
      <c r="HOF12" s="64"/>
      <c r="HOG12" s="64"/>
      <c r="HOH12" s="64"/>
      <c r="HOI12" s="64"/>
      <c r="HOJ12" s="64"/>
      <c r="HOK12" s="64"/>
      <c r="HOL12" s="64"/>
      <c r="HOM12" s="64"/>
      <c r="HON12" s="64"/>
      <c r="HOO12" s="64"/>
      <c r="HOP12" s="64"/>
      <c r="HOQ12" s="64"/>
      <c r="HOR12" s="64"/>
      <c r="HOS12" s="64"/>
      <c r="HOT12" s="64"/>
      <c r="HOU12" s="64"/>
      <c r="HOV12" s="64"/>
      <c r="HOW12" s="64"/>
      <c r="HOX12" s="64"/>
      <c r="HOY12" s="64"/>
      <c r="HOZ12" s="64"/>
      <c r="HPA12" s="64"/>
      <c r="HPB12" s="64"/>
      <c r="HPC12" s="64"/>
      <c r="HPD12" s="64"/>
      <c r="HPE12" s="64"/>
      <c r="HPF12" s="64"/>
      <c r="HPG12" s="64"/>
      <c r="HPH12" s="64"/>
      <c r="HPI12" s="64"/>
      <c r="HPJ12" s="64"/>
      <c r="HPK12" s="64"/>
      <c r="HPL12" s="64"/>
      <c r="HPM12" s="64"/>
      <c r="HPN12" s="64"/>
      <c r="HPO12" s="64"/>
      <c r="HPP12" s="64"/>
      <c r="HPQ12" s="64"/>
      <c r="HPR12" s="64"/>
      <c r="HPS12" s="64"/>
      <c r="HPT12" s="64"/>
      <c r="HPU12" s="64"/>
      <c r="HPV12" s="64"/>
      <c r="HPW12" s="64"/>
      <c r="HPX12" s="64"/>
      <c r="HPY12" s="64"/>
      <c r="HPZ12" s="64"/>
      <c r="HQA12" s="64"/>
      <c r="HQB12" s="64"/>
      <c r="HQC12" s="64"/>
      <c r="HQD12" s="64"/>
      <c r="HQE12" s="64"/>
      <c r="HQF12" s="64"/>
      <c r="HQG12" s="64"/>
      <c r="HQH12" s="64"/>
      <c r="HQI12" s="64"/>
      <c r="HQJ12" s="64"/>
      <c r="HQK12" s="64"/>
      <c r="HQL12" s="64"/>
      <c r="HQM12" s="64"/>
      <c r="HQN12" s="64"/>
      <c r="HQO12" s="64"/>
      <c r="HQP12" s="64"/>
      <c r="HQQ12" s="64"/>
      <c r="HQR12" s="64"/>
      <c r="HQS12" s="64"/>
      <c r="HQT12" s="64"/>
      <c r="HQU12" s="64"/>
      <c r="HQV12" s="64"/>
      <c r="HQW12" s="64"/>
      <c r="HQX12" s="64"/>
      <c r="HQY12" s="64"/>
      <c r="HQZ12" s="64"/>
      <c r="HRA12" s="64"/>
      <c r="HRB12" s="64"/>
      <c r="HRC12" s="64"/>
      <c r="HRD12" s="64"/>
      <c r="HRE12" s="64"/>
      <c r="HRF12" s="64"/>
      <c r="HRG12" s="64"/>
      <c r="HRH12" s="64"/>
      <c r="HRI12" s="64"/>
      <c r="HRJ12" s="64"/>
      <c r="HRK12" s="64"/>
      <c r="HRL12" s="64"/>
      <c r="HRM12" s="64"/>
      <c r="HRN12" s="64"/>
      <c r="HRO12" s="64"/>
      <c r="HRP12" s="64"/>
      <c r="HRQ12" s="64"/>
      <c r="HRR12" s="64"/>
      <c r="HRS12" s="64"/>
      <c r="HRT12" s="64"/>
      <c r="HRU12" s="64"/>
      <c r="HRV12" s="64"/>
      <c r="HRW12" s="64"/>
      <c r="HRX12" s="64"/>
      <c r="HRY12" s="64"/>
      <c r="HRZ12" s="64"/>
      <c r="HSA12" s="64"/>
      <c r="HSB12" s="64"/>
      <c r="HSC12" s="64"/>
      <c r="HSD12" s="64"/>
      <c r="HSE12" s="64"/>
      <c r="HSF12" s="64"/>
      <c r="HSG12" s="64"/>
      <c r="HSH12" s="64"/>
      <c r="HSI12" s="64"/>
      <c r="HSJ12" s="64"/>
      <c r="HSK12" s="64"/>
      <c r="HSL12" s="64"/>
      <c r="HSM12" s="64"/>
      <c r="HSN12" s="64"/>
      <c r="HSO12" s="64"/>
      <c r="HSP12" s="64"/>
      <c r="HSQ12" s="64"/>
      <c r="HSR12" s="64"/>
      <c r="HSS12" s="64"/>
      <c r="HST12" s="64"/>
      <c r="HSU12" s="64"/>
      <c r="HSV12" s="64"/>
      <c r="HSW12" s="64"/>
      <c r="HSX12" s="64"/>
      <c r="HSY12" s="64"/>
      <c r="HSZ12" s="64"/>
      <c r="HTA12" s="64"/>
      <c r="HTB12" s="64"/>
      <c r="HTC12" s="64"/>
      <c r="HTD12" s="64"/>
      <c r="HTE12" s="64"/>
      <c r="HTF12" s="64"/>
      <c r="HTG12" s="64"/>
      <c r="HTH12" s="64"/>
      <c r="HTI12" s="64"/>
      <c r="HTJ12" s="64"/>
      <c r="HTK12" s="64"/>
      <c r="HTL12" s="64"/>
      <c r="HTM12" s="64"/>
      <c r="HTN12" s="64"/>
      <c r="HTO12" s="64"/>
      <c r="HTP12" s="64"/>
      <c r="HTQ12" s="64"/>
      <c r="HTR12" s="64"/>
      <c r="HTS12" s="64"/>
      <c r="HTT12" s="64"/>
      <c r="HTU12" s="64"/>
      <c r="HTV12" s="64"/>
      <c r="HTW12" s="64"/>
      <c r="HTX12" s="64"/>
      <c r="HTY12" s="64"/>
      <c r="HTZ12" s="64"/>
      <c r="HUA12" s="64"/>
      <c r="HUB12" s="64"/>
      <c r="HUC12" s="64"/>
      <c r="HUD12" s="64"/>
      <c r="HUE12" s="64"/>
      <c r="HUF12" s="64"/>
      <c r="HUG12" s="64"/>
      <c r="HUH12" s="64"/>
      <c r="HUI12" s="64"/>
      <c r="HUJ12" s="64"/>
      <c r="HUK12" s="64"/>
      <c r="HUL12" s="64"/>
      <c r="HUM12" s="64"/>
      <c r="HUN12" s="64"/>
      <c r="HUO12" s="64"/>
      <c r="HUP12" s="64"/>
      <c r="HUQ12" s="64"/>
      <c r="HUR12" s="64"/>
      <c r="HUS12" s="64"/>
      <c r="HUT12" s="64"/>
      <c r="HUU12" s="64"/>
      <c r="HUV12" s="64"/>
      <c r="HUW12" s="64"/>
      <c r="HUX12" s="64"/>
      <c r="HUY12" s="64"/>
      <c r="HUZ12" s="64"/>
      <c r="HVA12" s="64"/>
      <c r="HVB12" s="64"/>
      <c r="HVC12" s="64"/>
      <c r="HVD12" s="64"/>
      <c r="HVE12" s="64"/>
      <c r="HVF12" s="64"/>
      <c r="HVG12" s="64"/>
      <c r="HVH12" s="64"/>
      <c r="HVI12" s="64"/>
      <c r="HVJ12" s="64"/>
      <c r="HVK12" s="64"/>
      <c r="HVL12" s="64"/>
      <c r="HVM12" s="64"/>
      <c r="HVN12" s="64"/>
      <c r="HVO12" s="64"/>
      <c r="HVP12" s="64"/>
      <c r="HVQ12" s="64"/>
      <c r="HVR12" s="64"/>
      <c r="HVS12" s="64"/>
      <c r="HVT12" s="64"/>
      <c r="HVU12" s="64"/>
      <c r="HVV12" s="64"/>
      <c r="HVW12" s="64"/>
      <c r="HVX12" s="64"/>
      <c r="HVY12" s="64"/>
      <c r="HVZ12" s="64"/>
      <c r="HWA12" s="64"/>
      <c r="HWB12" s="64"/>
      <c r="HWC12" s="64"/>
      <c r="HWD12" s="64"/>
      <c r="HWE12" s="64"/>
      <c r="HWF12" s="64"/>
      <c r="HWG12" s="64"/>
      <c r="HWH12" s="64"/>
      <c r="HWI12" s="64"/>
      <c r="HWJ12" s="64"/>
      <c r="HWK12" s="64"/>
      <c r="HWL12" s="64"/>
      <c r="HWM12" s="64"/>
      <c r="HWN12" s="64"/>
      <c r="HWO12" s="64"/>
      <c r="HWP12" s="64"/>
      <c r="HWQ12" s="64"/>
      <c r="HWR12" s="64"/>
      <c r="HWS12" s="64"/>
      <c r="HWT12" s="64"/>
      <c r="HWU12" s="64"/>
      <c r="HWV12" s="64"/>
      <c r="HWW12" s="64"/>
      <c r="HWX12" s="64"/>
      <c r="HWY12" s="64"/>
      <c r="HWZ12" s="64"/>
      <c r="HXA12" s="64"/>
      <c r="HXB12" s="64"/>
      <c r="HXC12" s="64"/>
      <c r="HXD12" s="64"/>
      <c r="HXE12" s="64"/>
      <c r="HXF12" s="64"/>
      <c r="HXG12" s="64"/>
      <c r="HXH12" s="64"/>
      <c r="HXI12" s="64"/>
      <c r="HXJ12" s="64"/>
      <c r="HXK12" s="64"/>
      <c r="HXL12" s="64"/>
      <c r="HXM12" s="64"/>
      <c r="HXN12" s="64"/>
      <c r="HXO12" s="64"/>
      <c r="HXP12" s="64"/>
      <c r="HXQ12" s="64"/>
      <c r="HXR12" s="64"/>
      <c r="HXS12" s="64"/>
      <c r="HXT12" s="64"/>
      <c r="HXU12" s="64"/>
      <c r="HXV12" s="64"/>
      <c r="HXW12" s="64"/>
      <c r="HXX12" s="64"/>
      <c r="HXY12" s="64"/>
      <c r="HXZ12" s="64"/>
      <c r="HYA12" s="64"/>
      <c r="HYB12" s="64"/>
      <c r="HYC12" s="64"/>
      <c r="HYD12" s="64"/>
      <c r="HYE12" s="64"/>
      <c r="HYF12" s="64"/>
      <c r="HYG12" s="64"/>
      <c r="HYH12" s="64"/>
      <c r="HYI12" s="64"/>
      <c r="HYJ12" s="64"/>
      <c r="HYK12" s="64"/>
      <c r="HYL12" s="64"/>
      <c r="HYM12" s="64"/>
      <c r="HYN12" s="64"/>
      <c r="HYO12" s="64"/>
      <c r="HYP12" s="64"/>
      <c r="HYQ12" s="64"/>
      <c r="HYR12" s="64"/>
      <c r="HYS12" s="64"/>
      <c r="HYT12" s="64"/>
      <c r="HYU12" s="64"/>
      <c r="HYV12" s="64"/>
      <c r="HYW12" s="64"/>
      <c r="HYX12" s="64"/>
      <c r="HYY12" s="64"/>
      <c r="HYZ12" s="64"/>
      <c r="HZA12" s="64"/>
      <c r="HZB12" s="64"/>
      <c r="HZC12" s="64"/>
      <c r="HZD12" s="64"/>
      <c r="HZE12" s="64"/>
      <c r="HZF12" s="64"/>
      <c r="HZG12" s="64"/>
      <c r="HZH12" s="64"/>
      <c r="HZI12" s="64"/>
      <c r="HZJ12" s="64"/>
      <c r="HZK12" s="64"/>
      <c r="HZL12" s="64"/>
      <c r="HZM12" s="64"/>
      <c r="HZN12" s="64"/>
      <c r="HZO12" s="64"/>
      <c r="HZP12" s="64"/>
      <c r="HZQ12" s="64"/>
      <c r="HZR12" s="64"/>
      <c r="HZS12" s="64"/>
      <c r="HZT12" s="64"/>
      <c r="HZU12" s="64"/>
      <c r="HZV12" s="64"/>
      <c r="HZW12" s="64"/>
      <c r="HZX12" s="64"/>
      <c r="HZY12" s="64"/>
      <c r="HZZ12" s="64"/>
      <c r="IAA12" s="64"/>
      <c r="IAB12" s="64"/>
      <c r="IAC12" s="64"/>
      <c r="IAD12" s="64"/>
      <c r="IAE12" s="64"/>
      <c r="IAF12" s="64"/>
      <c r="IAG12" s="64"/>
      <c r="IAH12" s="64"/>
      <c r="IAI12" s="64"/>
      <c r="IAJ12" s="64"/>
      <c r="IAK12" s="64"/>
      <c r="IAL12" s="64"/>
      <c r="IAM12" s="64"/>
      <c r="IAN12" s="64"/>
      <c r="IAO12" s="64"/>
      <c r="IAP12" s="64"/>
      <c r="IAQ12" s="64"/>
      <c r="IAR12" s="64"/>
      <c r="IAS12" s="64"/>
      <c r="IAT12" s="64"/>
      <c r="IAU12" s="64"/>
      <c r="IAV12" s="64"/>
      <c r="IAW12" s="64"/>
      <c r="IAX12" s="64"/>
      <c r="IAY12" s="64"/>
      <c r="IAZ12" s="64"/>
      <c r="IBA12" s="64"/>
      <c r="IBB12" s="64"/>
      <c r="IBC12" s="64"/>
      <c r="IBD12" s="64"/>
      <c r="IBE12" s="64"/>
      <c r="IBF12" s="64"/>
      <c r="IBG12" s="64"/>
      <c r="IBH12" s="64"/>
      <c r="IBI12" s="64"/>
      <c r="IBJ12" s="64"/>
      <c r="IBK12" s="64"/>
      <c r="IBL12" s="64"/>
      <c r="IBM12" s="64"/>
      <c r="IBN12" s="64"/>
      <c r="IBO12" s="64"/>
      <c r="IBP12" s="64"/>
      <c r="IBQ12" s="64"/>
      <c r="IBR12" s="64"/>
      <c r="IBS12" s="64"/>
      <c r="IBT12" s="64"/>
      <c r="IBU12" s="64"/>
      <c r="IBV12" s="64"/>
      <c r="IBW12" s="64"/>
      <c r="IBX12" s="64"/>
      <c r="IBY12" s="64"/>
      <c r="IBZ12" s="64"/>
      <c r="ICA12" s="64"/>
      <c r="ICB12" s="64"/>
      <c r="ICC12" s="64"/>
      <c r="ICD12" s="64"/>
      <c r="ICE12" s="64"/>
      <c r="ICF12" s="64"/>
      <c r="ICG12" s="64"/>
      <c r="ICH12" s="64"/>
      <c r="ICI12" s="64"/>
      <c r="ICJ12" s="64"/>
      <c r="ICK12" s="64"/>
      <c r="ICL12" s="64"/>
      <c r="ICM12" s="64"/>
      <c r="ICN12" s="64"/>
      <c r="ICO12" s="64"/>
      <c r="ICP12" s="64"/>
      <c r="ICQ12" s="64"/>
      <c r="ICR12" s="64"/>
      <c r="ICS12" s="64"/>
      <c r="ICT12" s="64"/>
      <c r="ICU12" s="64"/>
      <c r="ICV12" s="64"/>
      <c r="ICW12" s="64"/>
      <c r="ICX12" s="64"/>
      <c r="ICY12" s="64"/>
      <c r="ICZ12" s="64"/>
      <c r="IDA12" s="64"/>
      <c r="IDB12" s="64"/>
      <c r="IDC12" s="64"/>
      <c r="IDD12" s="64"/>
      <c r="IDE12" s="64"/>
      <c r="IDF12" s="64"/>
      <c r="IDG12" s="64"/>
      <c r="IDH12" s="64"/>
      <c r="IDI12" s="64"/>
      <c r="IDJ12" s="64"/>
      <c r="IDK12" s="64"/>
      <c r="IDL12" s="64"/>
      <c r="IDM12" s="64"/>
      <c r="IDN12" s="64"/>
      <c r="IDO12" s="64"/>
      <c r="IDP12" s="64"/>
      <c r="IDQ12" s="64"/>
      <c r="IDR12" s="64"/>
      <c r="IDS12" s="64"/>
      <c r="IDT12" s="64"/>
      <c r="IDU12" s="64"/>
      <c r="IDV12" s="64"/>
      <c r="IDW12" s="64"/>
      <c r="IDX12" s="64"/>
      <c r="IDY12" s="64"/>
      <c r="IDZ12" s="64"/>
      <c r="IEA12" s="64"/>
      <c r="IEB12" s="64"/>
      <c r="IEC12" s="64"/>
      <c r="IED12" s="64"/>
      <c r="IEE12" s="64"/>
      <c r="IEF12" s="64"/>
      <c r="IEG12" s="64"/>
      <c r="IEH12" s="64"/>
      <c r="IEI12" s="64"/>
      <c r="IEJ12" s="64"/>
      <c r="IEK12" s="64"/>
      <c r="IEL12" s="64"/>
      <c r="IEM12" s="64"/>
      <c r="IEN12" s="64"/>
      <c r="IEO12" s="64"/>
      <c r="IEP12" s="64"/>
      <c r="IEQ12" s="64"/>
      <c r="IER12" s="64"/>
      <c r="IES12" s="64"/>
      <c r="IET12" s="64"/>
      <c r="IEU12" s="64"/>
      <c r="IEV12" s="64"/>
      <c r="IEW12" s="64"/>
      <c r="IEX12" s="64"/>
      <c r="IEY12" s="64"/>
      <c r="IEZ12" s="64"/>
      <c r="IFA12" s="64"/>
      <c r="IFB12" s="64"/>
      <c r="IFC12" s="64"/>
      <c r="IFD12" s="64"/>
      <c r="IFE12" s="64"/>
      <c r="IFF12" s="64"/>
      <c r="IFG12" s="64"/>
      <c r="IFH12" s="64"/>
      <c r="IFI12" s="64"/>
      <c r="IFJ12" s="64"/>
      <c r="IFK12" s="64"/>
      <c r="IFL12" s="64"/>
      <c r="IFM12" s="64"/>
      <c r="IFN12" s="64"/>
      <c r="IFO12" s="64"/>
      <c r="IFP12" s="64"/>
      <c r="IFQ12" s="64"/>
      <c r="IFR12" s="64"/>
      <c r="IFS12" s="64"/>
      <c r="IFT12" s="64"/>
      <c r="IFU12" s="64"/>
      <c r="IFV12" s="64"/>
      <c r="IFW12" s="64"/>
      <c r="IFX12" s="64"/>
      <c r="IFY12" s="64"/>
      <c r="IFZ12" s="64"/>
      <c r="IGA12" s="64"/>
      <c r="IGB12" s="64"/>
      <c r="IGC12" s="64"/>
      <c r="IGD12" s="64"/>
      <c r="IGE12" s="64"/>
      <c r="IGF12" s="64"/>
      <c r="IGG12" s="64"/>
      <c r="IGH12" s="64"/>
      <c r="IGI12" s="64"/>
      <c r="IGJ12" s="64"/>
      <c r="IGK12" s="64"/>
      <c r="IGL12" s="64"/>
      <c r="IGM12" s="64"/>
      <c r="IGN12" s="64"/>
      <c r="IGO12" s="64"/>
      <c r="IGP12" s="64"/>
      <c r="IGQ12" s="64"/>
      <c r="IGR12" s="64"/>
      <c r="IGS12" s="64"/>
      <c r="IGT12" s="64"/>
      <c r="IGU12" s="64"/>
      <c r="IGV12" s="64"/>
      <c r="IGW12" s="64"/>
      <c r="IGX12" s="64"/>
      <c r="IGY12" s="64"/>
      <c r="IGZ12" s="64"/>
      <c r="IHA12" s="64"/>
      <c r="IHB12" s="64"/>
      <c r="IHC12" s="64"/>
      <c r="IHD12" s="64"/>
      <c r="IHE12" s="64"/>
      <c r="IHF12" s="64"/>
      <c r="IHG12" s="64"/>
      <c r="IHH12" s="64"/>
      <c r="IHI12" s="64"/>
      <c r="IHJ12" s="64"/>
      <c r="IHK12" s="64"/>
      <c r="IHL12" s="64"/>
      <c r="IHM12" s="64"/>
      <c r="IHN12" s="64"/>
      <c r="IHO12" s="64"/>
      <c r="IHP12" s="64"/>
      <c r="IHQ12" s="64"/>
      <c r="IHR12" s="64"/>
      <c r="IHS12" s="64"/>
      <c r="IHT12" s="64"/>
      <c r="IHU12" s="64"/>
      <c r="IHV12" s="64"/>
      <c r="IHW12" s="64"/>
      <c r="IHX12" s="64"/>
      <c r="IHY12" s="64"/>
      <c r="IHZ12" s="64"/>
      <c r="IIA12" s="64"/>
      <c r="IIB12" s="64"/>
      <c r="IIC12" s="64"/>
      <c r="IID12" s="64"/>
      <c r="IIE12" s="64"/>
      <c r="IIF12" s="64"/>
      <c r="IIG12" s="64"/>
      <c r="IIH12" s="64"/>
      <c r="III12" s="64"/>
      <c r="IIJ12" s="64"/>
      <c r="IIK12" s="64"/>
      <c r="IIL12" s="64"/>
      <c r="IIM12" s="64"/>
      <c r="IIN12" s="64"/>
      <c r="IIO12" s="64"/>
      <c r="IIP12" s="64"/>
      <c r="IIQ12" s="64"/>
      <c r="IIR12" s="64"/>
      <c r="IIS12" s="64"/>
      <c r="IIT12" s="64"/>
      <c r="IIU12" s="64"/>
      <c r="IIV12" s="64"/>
      <c r="IIW12" s="64"/>
      <c r="IIX12" s="64"/>
      <c r="IIY12" s="64"/>
      <c r="IIZ12" s="64"/>
      <c r="IJA12" s="64"/>
      <c r="IJB12" s="64"/>
      <c r="IJC12" s="64"/>
      <c r="IJD12" s="64"/>
      <c r="IJE12" s="64"/>
      <c r="IJF12" s="64"/>
      <c r="IJG12" s="64"/>
      <c r="IJH12" s="64"/>
      <c r="IJI12" s="64"/>
      <c r="IJJ12" s="64"/>
      <c r="IJK12" s="64"/>
      <c r="IJL12" s="64"/>
      <c r="IJM12" s="64"/>
      <c r="IJN12" s="64"/>
      <c r="IJO12" s="64"/>
      <c r="IJP12" s="64"/>
      <c r="IJQ12" s="64"/>
      <c r="IJR12" s="64"/>
      <c r="IJS12" s="64"/>
      <c r="IJT12" s="64"/>
      <c r="IJU12" s="64"/>
      <c r="IJV12" s="64"/>
      <c r="IJW12" s="64"/>
      <c r="IJX12" s="64"/>
      <c r="IJY12" s="64"/>
      <c r="IJZ12" s="64"/>
      <c r="IKA12" s="64"/>
      <c r="IKB12" s="64"/>
      <c r="IKC12" s="64"/>
      <c r="IKD12" s="64"/>
      <c r="IKE12" s="64"/>
      <c r="IKF12" s="64"/>
      <c r="IKG12" s="64"/>
      <c r="IKH12" s="64"/>
      <c r="IKI12" s="64"/>
      <c r="IKJ12" s="64"/>
      <c r="IKK12" s="64"/>
      <c r="IKL12" s="64"/>
      <c r="IKM12" s="64"/>
      <c r="IKN12" s="64"/>
      <c r="IKO12" s="64"/>
      <c r="IKP12" s="64"/>
      <c r="IKQ12" s="64"/>
      <c r="IKR12" s="64"/>
      <c r="IKS12" s="64"/>
      <c r="IKT12" s="64"/>
      <c r="IKU12" s="64"/>
      <c r="IKV12" s="64"/>
      <c r="IKW12" s="64"/>
      <c r="IKX12" s="64"/>
      <c r="IKY12" s="64"/>
      <c r="IKZ12" s="64"/>
      <c r="ILA12" s="64"/>
      <c r="ILB12" s="64"/>
      <c r="ILC12" s="64"/>
      <c r="ILD12" s="64"/>
      <c r="ILE12" s="64"/>
      <c r="ILF12" s="64"/>
      <c r="ILG12" s="64"/>
      <c r="ILH12" s="64"/>
      <c r="ILI12" s="64"/>
      <c r="ILJ12" s="64"/>
      <c r="ILK12" s="64"/>
      <c r="ILL12" s="64"/>
      <c r="ILM12" s="64"/>
      <c r="ILN12" s="64"/>
      <c r="ILO12" s="64"/>
      <c r="ILP12" s="64"/>
      <c r="ILQ12" s="64"/>
      <c r="ILR12" s="64"/>
      <c r="ILS12" s="64"/>
      <c r="ILT12" s="64"/>
      <c r="ILU12" s="64"/>
      <c r="ILV12" s="64"/>
      <c r="ILW12" s="64"/>
      <c r="ILX12" s="64"/>
      <c r="ILY12" s="64"/>
      <c r="ILZ12" s="64"/>
      <c r="IMA12" s="64"/>
      <c r="IMB12" s="64"/>
      <c r="IMC12" s="64"/>
      <c r="IMD12" s="64"/>
      <c r="IME12" s="64"/>
      <c r="IMF12" s="64"/>
      <c r="IMG12" s="64"/>
      <c r="IMH12" s="64"/>
      <c r="IMI12" s="64"/>
      <c r="IMJ12" s="64"/>
      <c r="IMK12" s="64"/>
      <c r="IML12" s="64"/>
      <c r="IMM12" s="64"/>
      <c r="IMN12" s="64"/>
      <c r="IMO12" s="64"/>
      <c r="IMP12" s="64"/>
      <c r="IMQ12" s="64"/>
      <c r="IMR12" s="64"/>
      <c r="IMS12" s="64"/>
      <c r="IMT12" s="64"/>
      <c r="IMU12" s="64"/>
      <c r="IMV12" s="64"/>
      <c r="IMW12" s="64"/>
      <c r="IMX12" s="64"/>
      <c r="IMY12" s="64"/>
      <c r="IMZ12" s="64"/>
      <c r="INA12" s="64"/>
      <c r="INB12" s="64"/>
      <c r="INC12" s="64"/>
      <c r="IND12" s="64"/>
      <c r="INE12" s="64"/>
      <c r="INF12" s="64"/>
      <c r="ING12" s="64"/>
      <c r="INH12" s="64"/>
      <c r="INI12" s="64"/>
      <c r="INJ12" s="64"/>
      <c r="INK12" s="64"/>
      <c r="INL12" s="64"/>
      <c r="INM12" s="64"/>
      <c r="INN12" s="64"/>
      <c r="INO12" s="64"/>
      <c r="INP12" s="64"/>
      <c r="INQ12" s="64"/>
      <c r="INR12" s="64"/>
      <c r="INS12" s="64"/>
      <c r="INT12" s="64"/>
      <c r="INU12" s="64"/>
      <c r="INV12" s="64"/>
      <c r="INW12" s="64"/>
      <c r="INX12" s="64"/>
      <c r="INY12" s="64"/>
      <c r="INZ12" s="64"/>
      <c r="IOA12" s="64"/>
      <c r="IOB12" s="64"/>
      <c r="IOC12" s="64"/>
      <c r="IOD12" s="64"/>
      <c r="IOE12" s="64"/>
      <c r="IOF12" s="64"/>
      <c r="IOG12" s="64"/>
      <c r="IOH12" s="64"/>
      <c r="IOI12" s="64"/>
      <c r="IOJ12" s="64"/>
      <c r="IOK12" s="64"/>
      <c r="IOL12" s="64"/>
      <c r="IOM12" s="64"/>
      <c r="ION12" s="64"/>
      <c r="IOO12" s="64"/>
      <c r="IOP12" s="64"/>
      <c r="IOQ12" s="64"/>
      <c r="IOR12" s="64"/>
      <c r="IOS12" s="64"/>
      <c r="IOT12" s="64"/>
      <c r="IOU12" s="64"/>
      <c r="IOV12" s="64"/>
      <c r="IOW12" s="64"/>
      <c r="IOX12" s="64"/>
      <c r="IOY12" s="64"/>
      <c r="IOZ12" s="64"/>
      <c r="IPA12" s="64"/>
      <c r="IPB12" s="64"/>
      <c r="IPC12" s="64"/>
      <c r="IPD12" s="64"/>
      <c r="IPE12" s="64"/>
      <c r="IPF12" s="64"/>
      <c r="IPG12" s="64"/>
      <c r="IPH12" s="64"/>
      <c r="IPI12" s="64"/>
      <c r="IPJ12" s="64"/>
      <c r="IPK12" s="64"/>
      <c r="IPL12" s="64"/>
      <c r="IPM12" s="64"/>
      <c r="IPN12" s="64"/>
      <c r="IPO12" s="64"/>
      <c r="IPP12" s="64"/>
      <c r="IPQ12" s="64"/>
      <c r="IPR12" s="64"/>
      <c r="IPS12" s="64"/>
      <c r="IPT12" s="64"/>
      <c r="IPU12" s="64"/>
      <c r="IPV12" s="64"/>
      <c r="IPW12" s="64"/>
      <c r="IPX12" s="64"/>
      <c r="IPY12" s="64"/>
      <c r="IPZ12" s="64"/>
      <c r="IQA12" s="64"/>
      <c r="IQB12" s="64"/>
      <c r="IQC12" s="64"/>
      <c r="IQD12" s="64"/>
      <c r="IQE12" s="64"/>
      <c r="IQF12" s="64"/>
      <c r="IQG12" s="64"/>
      <c r="IQH12" s="64"/>
      <c r="IQI12" s="64"/>
      <c r="IQJ12" s="64"/>
      <c r="IQK12" s="64"/>
      <c r="IQL12" s="64"/>
      <c r="IQM12" s="64"/>
      <c r="IQN12" s="64"/>
      <c r="IQO12" s="64"/>
      <c r="IQP12" s="64"/>
      <c r="IQQ12" s="64"/>
      <c r="IQR12" s="64"/>
      <c r="IQS12" s="64"/>
      <c r="IQT12" s="64"/>
      <c r="IQU12" s="64"/>
      <c r="IQV12" s="64"/>
      <c r="IQW12" s="64"/>
      <c r="IQX12" s="64"/>
      <c r="IQY12" s="64"/>
      <c r="IQZ12" s="64"/>
      <c r="IRA12" s="64"/>
      <c r="IRB12" s="64"/>
      <c r="IRC12" s="64"/>
      <c r="IRD12" s="64"/>
      <c r="IRE12" s="64"/>
      <c r="IRF12" s="64"/>
      <c r="IRG12" s="64"/>
      <c r="IRH12" s="64"/>
      <c r="IRI12" s="64"/>
      <c r="IRJ12" s="64"/>
      <c r="IRK12" s="64"/>
      <c r="IRL12" s="64"/>
      <c r="IRM12" s="64"/>
      <c r="IRN12" s="64"/>
      <c r="IRO12" s="64"/>
      <c r="IRP12" s="64"/>
      <c r="IRQ12" s="64"/>
      <c r="IRR12" s="64"/>
      <c r="IRS12" s="64"/>
      <c r="IRT12" s="64"/>
      <c r="IRU12" s="64"/>
      <c r="IRV12" s="64"/>
      <c r="IRW12" s="64"/>
      <c r="IRX12" s="64"/>
      <c r="IRY12" s="64"/>
      <c r="IRZ12" s="64"/>
      <c r="ISA12" s="64"/>
      <c r="ISB12" s="64"/>
      <c r="ISC12" s="64"/>
      <c r="ISD12" s="64"/>
      <c r="ISE12" s="64"/>
      <c r="ISF12" s="64"/>
      <c r="ISG12" s="64"/>
      <c r="ISH12" s="64"/>
      <c r="ISI12" s="64"/>
      <c r="ISJ12" s="64"/>
      <c r="ISK12" s="64"/>
      <c r="ISL12" s="64"/>
      <c r="ISM12" s="64"/>
      <c r="ISN12" s="64"/>
      <c r="ISO12" s="64"/>
      <c r="ISP12" s="64"/>
      <c r="ISQ12" s="64"/>
      <c r="ISR12" s="64"/>
      <c r="ISS12" s="64"/>
      <c r="IST12" s="64"/>
      <c r="ISU12" s="64"/>
      <c r="ISV12" s="64"/>
      <c r="ISW12" s="64"/>
      <c r="ISX12" s="64"/>
      <c r="ISY12" s="64"/>
      <c r="ISZ12" s="64"/>
      <c r="ITA12" s="64"/>
      <c r="ITB12" s="64"/>
      <c r="ITC12" s="64"/>
      <c r="ITD12" s="64"/>
      <c r="ITE12" s="64"/>
      <c r="ITF12" s="64"/>
      <c r="ITG12" s="64"/>
      <c r="ITH12" s="64"/>
      <c r="ITI12" s="64"/>
      <c r="ITJ12" s="64"/>
      <c r="ITK12" s="64"/>
      <c r="ITL12" s="64"/>
      <c r="ITM12" s="64"/>
      <c r="ITN12" s="64"/>
      <c r="ITO12" s="64"/>
      <c r="ITP12" s="64"/>
      <c r="ITQ12" s="64"/>
      <c r="ITR12" s="64"/>
      <c r="ITS12" s="64"/>
      <c r="ITT12" s="64"/>
      <c r="ITU12" s="64"/>
      <c r="ITV12" s="64"/>
      <c r="ITW12" s="64"/>
      <c r="ITX12" s="64"/>
      <c r="ITY12" s="64"/>
      <c r="ITZ12" s="64"/>
      <c r="IUA12" s="64"/>
      <c r="IUB12" s="64"/>
      <c r="IUC12" s="64"/>
      <c r="IUD12" s="64"/>
      <c r="IUE12" s="64"/>
      <c r="IUF12" s="64"/>
      <c r="IUG12" s="64"/>
      <c r="IUH12" s="64"/>
      <c r="IUI12" s="64"/>
      <c r="IUJ12" s="64"/>
      <c r="IUK12" s="64"/>
      <c r="IUL12" s="64"/>
      <c r="IUM12" s="64"/>
      <c r="IUN12" s="64"/>
      <c r="IUO12" s="64"/>
      <c r="IUP12" s="64"/>
      <c r="IUQ12" s="64"/>
      <c r="IUR12" s="64"/>
      <c r="IUS12" s="64"/>
      <c r="IUT12" s="64"/>
      <c r="IUU12" s="64"/>
      <c r="IUV12" s="64"/>
      <c r="IUW12" s="64"/>
      <c r="IUX12" s="64"/>
      <c r="IUY12" s="64"/>
      <c r="IUZ12" s="64"/>
      <c r="IVA12" s="64"/>
      <c r="IVB12" s="64"/>
      <c r="IVC12" s="64"/>
      <c r="IVD12" s="64"/>
      <c r="IVE12" s="64"/>
      <c r="IVF12" s="64"/>
      <c r="IVG12" s="64"/>
      <c r="IVH12" s="64"/>
      <c r="IVI12" s="64"/>
      <c r="IVJ12" s="64"/>
      <c r="IVK12" s="64"/>
      <c r="IVL12" s="64"/>
      <c r="IVM12" s="64"/>
      <c r="IVN12" s="64"/>
      <c r="IVO12" s="64"/>
      <c r="IVP12" s="64"/>
      <c r="IVQ12" s="64"/>
      <c r="IVR12" s="64"/>
      <c r="IVS12" s="64"/>
      <c r="IVT12" s="64"/>
      <c r="IVU12" s="64"/>
      <c r="IVV12" s="64"/>
      <c r="IVW12" s="64"/>
      <c r="IVX12" s="64"/>
      <c r="IVY12" s="64"/>
      <c r="IVZ12" s="64"/>
      <c r="IWA12" s="64"/>
      <c r="IWB12" s="64"/>
      <c r="IWC12" s="64"/>
      <c r="IWD12" s="64"/>
      <c r="IWE12" s="64"/>
      <c r="IWF12" s="64"/>
      <c r="IWG12" s="64"/>
      <c r="IWH12" s="64"/>
      <c r="IWI12" s="64"/>
      <c r="IWJ12" s="64"/>
      <c r="IWK12" s="64"/>
      <c r="IWL12" s="64"/>
      <c r="IWM12" s="64"/>
      <c r="IWN12" s="64"/>
      <c r="IWO12" s="64"/>
      <c r="IWP12" s="64"/>
      <c r="IWQ12" s="64"/>
      <c r="IWR12" s="64"/>
      <c r="IWS12" s="64"/>
      <c r="IWT12" s="64"/>
      <c r="IWU12" s="64"/>
      <c r="IWV12" s="64"/>
      <c r="IWW12" s="64"/>
      <c r="IWX12" s="64"/>
      <c r="IWY12" s="64"/>
      <c r="IWZ12" s="64"/>
      <c r="IXA12" s="64"/>
      <c r="IXB12" s="64"/>
      <c r="IXC12" s="64"/>
      <c r="IXD12" s="64"/>
      <c r="IXE12" s="64"/>
      <c r="IXF12" s="64"/>
      <c r="IXG12" s="64"/>
      <c r="IXH12" s="64"/>
      <c r="IXI12" s="64"/>
      <c r="IXJ12" s="64"/>
      <c r="IXK12" s="64"/>
      <c r="IXL12" s="64"/>
      <c r="IXM12" s="64"/>
      <c r="IXN12" s="64"/>
      <c r="IXO12" s="64"/>
      <c r="IXP12" s="64"/>
      <c r="IXQ12" s="64"/>
      <c r="IXR12" s="64"/>
      <c r="IXS12" s="64"/>
      <c r="IXT12" s="64"/>
      <c r="IXU12" s="64"/>
      <c r="IXV12" s="64"/>
      <c r="IXW12" s="64"/>
      <c r="IXX12" s="64"/>
      <c r="IXY12" s="64"/>
      <c r="IXZ12" s="64"/>
      <c r="IYA12" s="64"/>
      <c r="IYB12" s="64"/>
      <c r="IYC12" s="64"/>
      <c r="IYD12" s="64"/>
      <c r="IYE12" s="64"/>
      <c r="IYF12" s="64"/>
      <c r="IYG12" s="64"/>
      <c r="IYH12" s="64"/>
      <c r="IYI12" s="64"/>
      <c r="IYJ12" s="64"/>
      <c r="IYK12" s="64"/>
      <c r="IYL12" s="64"/>
      <c r="IYM12" s="64"/>
      <c r="IYN12" s="64"/>
      <c r="IYO12" s="64"/>
      <c r="IYP12" s="64"/>
      <c r="IYQ12" s="64"/>
      <c r="IYR12" s="64"/>
      <c r="IYS12" s="64"/>
      <c r="IYT12" s="64"/>
      <c r="IYU12" s="64"/>
      <c r="IYV12" s="64"/>
      <c r="IYW12" s="64"/>
      <c r="IYX12" s="64"/>
      <c r="IYY12" s="64"/>
      <c r="IYZ12" s="64"/>
      <c r="IZA12" s="64"/>
      <c r="IZB12" s="64"/>
      <c r="IZC12" s="64"/>
      <c r="IZD12" s="64"/>
      <c r="IZE12" s="64"/>
      <c r="IZF12" s="64"/>
      <c r="IZG12" s="64"/>
      <c r="IZH12" s="64"/>
      <c r="IZI12" s="64"/>
      <c r="IZJ12" s="64"/>
      <c r="IZK12" s="64"/>
      <c r="IZL12" s="64"/>
      <c r="IZM12" s="64"/>
      <c r="IZN12" s="64"/>
      <c r="IZO12" s="64"/>
      <c r="IZP12" s="64"/>
      <c r="IZQ12" s="64"/>
      <c r="IZR12" s="64"/>
      <c r="IZS12" s="64"/>
      <c r="IZT12" s="64"/>
      <c r="IZU12" s="64"/>
      <c r="IZV12" s="64"/>
      <c r="IZW12" s="64"/>
      <c r="IZX12" s="64"/>
      <c r="IZY12" s="64"/>
      <c r="IZZ12" s="64"/>
      <c r="JAA12" s="64"/>
      <c r="JAB12" s="64"/>
      <c r="JAC12" s="64"/>
      <c r="JAD12" s="64"/>
      <c r="JAE12" s="64"/>
      <c r="JAF12" s="64"/>
      <c r="JAG12" s="64"/>
      <c r="JAH12" s="64"/>
      <c r="JAI12" s="64"/>
      <c r="JAJ12" s="64"/>
      <c r="JAK12" s="64"/>
      <c r="JAL12" s="64"/>
      <c r="JAM12" s="64"/>
      <c r="JAN12" s="64"/>
      <c r="JAO12" s="64"/>
      <c r="JAP12" s="64"/>
      <c r="JAQ12" s="64"/>
      <c r="JAR12" s="64"/>
      <c r="JAS12" s="64"/>
      <c r="JAT12" s="64"/>
      <c r="JAU12" s="64"/>
      <c r="JAV12" s="64"/>
      <c r="JAW12" s="64"/>
      <c r="JAX12" s="64"/>
      <c r="JAY12" s="64"/>
      <c r="JAZ12" s="64"/>
      <c r="JBA12" s="64"/>
      <c r="JBB12" s="64"/>
      <c r="JBC12" s="64"/>
      <c r="JBD12" s="64"/>
      <c r="JBE12" s="64"/>
      <c r="JBF12" s="64"/>
      <c r="JBG12" s="64"/>
      <c r="JBH12" s="64"/>
      <c r="JBI12" s="64"/>
      <c r="JBJ12" s="64"/>
      <c r="JBK12" s="64"/>
      <c r="JBL12" s="64"/>
      <c r="JBM12" s="64"/>
      <c r="JBN12" s="64"/>
      <c r="JBO12" s="64"/>
      <c r="JBP12" s="64"/>
      <c r="JBQ12" s="64"/>
      <c r="JBR12" s="64"/>
      <c r="JBS12" s="64"/>
      <c r="JBT12" s="64"/>
      <c r="JBU12" s="64"/>
      <c r="JBV12" s="64"/>
      <c r="JBW12" s="64"/>
      <c r="JBX12" s="64"/>
      <c r="JBY12" s="64"/>
      <c r="JBZ12" s="64"/>
      <c r="JCA12" s="64"/>
      <c r="JCB12" s="64"/>
      <c r="JCC12" s="64"/>
      <c r="JCD12" s="64"/>
      <c r="JCE12" s="64"/>
      <c r="JCF12" s="64"/>
      <c r="JCG12" s="64"/>
      <c r="JCH12" s="64"/>
      <c r="JCI12" s="64"/>
      <c r="JCJ12" s="64"/>
      <c r="JCK12" s="64"/>
      <c r="JCL12" s="64"/>
      <c r="JCM12" s="64"/>
      <c r="JCN12" s="64"/>
      <c r="JCO12" s="64"/>
      <c r="JCP12" s="64"/>
      <c r="JCQ12" s="64"/>
      <c r="JCR12" s="64"/>
      <c r="JCS12" s="64"/>
      <c r="JCT12" s="64"/>
      <c r="JCU12" s="64"/>
      <c r="JCV12" s="64"/>
      <c r="JCW12" s="64"/>
      <c r="JCX12" s="64"/>
      <c r="JCY12" s="64"/>
      <c r="JCZ12" s="64"/>
      <c r="JDA12" s="64"/>
      <c r="JDB12" s="64"/>
      <c r="JDC12" s="64"/>
      <c r="JDD12" s="64"/>
      <c r="JDE12" s="64"/>
      <c r="JDF12" s="64"/>
      <c r="JDG12" s="64"/>
      <c r="JDH12" s="64"/>
      <c r="JDI12" s="64"/>
      <c r="JDJ12" s="64"/>
      <c r="JDK12" s="64"/>
      <c r="JDL12" s="64"/>
      <c r="JDM12" s="64"/>
      <c r="JDN12" s="64"/>
      <c r="JDO12" s="64"/>
      <c r="JDP12" s="64"/>
      <c r="JDQ12" s="64"/>
      <c r="JDR12" s="64"/>
      <c r="JDS12" s="64"/>
      <c r="JDT12" s="64"/>
      <c r="JDU12" s="64"/>
      <c r="JDV12" s="64"/>
      <c r="JDW12" s="64"/>
      <c r="JDX12" s="64"/>
      <c r="JDY12" s="64"/>
      <c r="JDZ12" s="64"/>
      <c r="JEA12" s="64"/>
      <c r="JEB12" s="64"/>
      <c r="JEC12" s="64"/>
      <c r="JED12" s="64"/>
      <c r="JEE12" s="64"/>
      <c r="JEF12" s="64"/>
      <c r="JEG12" s="64"/>
      <c r="JEH12" s="64"/>
      <c r="JEI12" s="64"/>
      <c r="JEJ12" s="64"/>
      <c r="JEK12" s="64"/>
      <c r="JEL12" s="64"/>
      <c r="JEM12" s="64"/>
      <c r="JEN12" s="64"/>
      <c r="JEO12" s="64"/>
      <c r="JEP12" s="64"/>
      <c r="JEQ12" s="64"/>
      <c r="JER12" s="64"/>
      <c r="JES12" s="64"/>
      <c r="JET12" s="64"/>
      <c r="JEU12" s="64"/>
      <c r="JEV12" s="64"/>
      <c r="JEW12" s="64"/>
      <c r="JEX12" s="64"/>
      <c r="JEY12" s="64"/>
      <c r="JEZ12" s="64"/>
      <c r="JFA12" s="64"/>
      <c r="JFB12" s="64"/>
      <c r="JFC12" s="64"/>
      <c r="JFD12" s="64"/>
      <c r="JFE12" s="64"/>
      <c r="JFF12" s="64"/>
      <c r="JFG12" s="64"/>
      <c r="JFH12" s="64"/>
      <c r="JFI12" s="64"/>
      <c r="JFJ12" s="64"/>
      <c r="JFK12" s="64"/>
      <c r="JFL12" s="64"/>
      <c r="JFM12" s="64"/>
      <c r="JFN12" s="64"/>
      <c r="JFO12" s="64"/>
      <c r="JFP12" s="64"/>
      <c r="JFQ12" s="64"/>
      <c r="JFR12" s="64"/>
      <c r="JFS12" s="64"/>
      <c r="JFT12" s="64"/>
      <c r="JFU12" s="64"/>
      <c r="JFV12" s="64"/>
      <c r="JFW12" s="64"/>
      <c r="JFX12" s="64"/>
      <c r="JFY12" s="64"/>
      <c r="JFZ12" s="64"/>
      <c r="JGA12" s="64"/>
      <c r="JGB12" s="64"/>
      <c r="JGC12" s="64"/>
      <c r="JGD12" s="64"/>
      <c r="JGE12" s="64"/>
      <c r="JGF12" s="64"/>
      <c r="JGG12" s="64"/>
      <c r="JGH12" s="64"/>
      <c r="JGI12" s="64"/>
      <c r="JGJ12" s="64"/>
      <c r="JGK12" s="64"/>
      <c r="JGL12" s="64"/>
      <c r="JGM12" s="64"/>
      <c r="JGN12" s="64"/>
      <c r="JGO12" s="64"/>
      <c r="JGP12" s="64"/>
      <c r="JGQ12" s="64"/>
      <c r="JGR12" s="64"/>
      <c r="JGS12" s="64"/>
      <c r="JGT12" s="64"/>
      <c r="JGU12" s="64"/>
      <c r="JGV12" s="64"/>
      <c r="JGW12" s="64"/>
      <c r="JGX12" s="64"/>
      <c r="JGY12" s="64"/>
      <c r="JGZ12" s="64"/>
      <c r="JHA12" s="64"/>
      <c r="JHB12" s="64"/>
      <c r="JHC12" s="64"/>
      <c r="JHD12" s="64"/>
      <c r="JHE12" s="64"/>
      <c r="JHF12" s="64"/>
      <c r="JHG12" s="64"/>
      <c r="JHH12" s="64"/>
      <c r="JHI12" s="64"/>
      <c r="JHJ12" s="64"/>
      <c r="JHK12" s="64"/>
      <c r="JHL12" s="64"/>
      <c r="JHM12" s="64"/>
      <c r="JHN12" s="64"/>
      <c r="JHO12" s="64"/>
      <c r="JHP12" s="64"/>
      <c r="JHQ12" s="64"/>
      <c r="JHR12" s="64"/>
      <c r="JHS12" s="64"/>
      <c r="JHT12" s="64"/>
      <c r="JHU12" s="64"/>
      <c r="JHV12" s="64"/>
      <c r="JHW12" s="64"/>
      <c r="JHX12" s="64"/>
      <c r="JHY12" s="64"/>
      <c r="JHZ12" s="64"/>
      <c r="JIA12" s="64"/>
      <c r="JIB12" s="64"/>
      <c r="JIC12" s="64"/>
      <c r="JID12" s="64"/>
      <c r="JIE12" s="64"/>
      <c r="JIF12" s="64"/>
      <c r="JIG12" s="64"/>
      <c r="JIH12" s="64"/>
      <c r="JII12" s="64"/>
      <c r="JIJ12" s="64"/>
      <c r="JIK12" s="64"/>
      <c r="JIL12" s="64"/>
      <c r="JIM12" s="64"/>
      <c r="JIN12" s="64"/>
      <c r="JIO12" s="64"/>
      <c r="JIP12" s="64"/>
      <c r="JIQ12" s="64"/>
      <c r="JIR12" s="64"/>
      <c r="JIS12" s="64"/>
      <c r="JIT12" s="64"/>
      <c r="JIU12" s="64"/>
      <c r="JIV12" s="64"/>
      <c r="JIW12" s="64"/>
      <c r="JIX12" s="64"/>
      <c r="JIY12" s="64"/>
      <c r="JIZ12" s="64"/>
      <c r="JJA12" s="64"/>
      <c r="JJB12" s="64"/>
      <c r="JJC12" s="64"/>
      <c r="JJD12" s="64"/>
      <c r="JJE12" s="64"/>
      <c r="JJF12" s="64"/>
      <c r="JJG12" s="64"/>
      <c r="JJH12" s="64"/>
      <c r="JJI12" s="64"/>
      <c r="JJJ12" s="64"/>
      <c r="JJK12" s="64"/>
      <c r="JJL12" s="64"/>
      <c r="JJM12" s="64"/>
      <c r="JJN12" s="64"/>
      <c r="JJO12" s="64"/>
      <c r="JJP12" s="64"/>
      <c r="JJQ12" s="64"/>
      <c r="JJR12" s="64"/>
      <c r="JJS12" s="64"/>
      <c r="JJT12" s="64"/>
      <c r="JJU12" s="64"/>
      <c r="JJV12" s="64"/>
      <c r="JJW12" s="64"/>
      <c r="JJX12" s="64"/>
      <c r="JJY12" s="64"/>
      <c r="JJZ12" s="64"/>
      <c r="JKA12" s="64"/>
      <c r="JKB12" s="64"/>
      <c r="JKC12" s="64"/>
      <c r="JKD12" s="64"/>
      <c r="JKE12" s="64"/>
      <c r="JKF12" s="64"/>
      <c r="JKG12" s="64"/>
      <c r="JKH12" s="64"/>
      <c r="JKI12" s="64"/>
      <c r="JKJ12" s="64"/>
      <c r="JKK12" s="64"/>
      <c r="JKL12" s="64"/>
      <c r="JKM12" s="64"/>
      <c r="JKN12" s="64"/>
      <c r="JKO12" s="64"/>
      <c r="JKP12" s="64"/>
      <c r="JKQ12" s="64"/>
      <c r="JKR12" s="64"/>
      <c r="JKS12" s="64"/>
      <c r="JKT12" s="64"/>
      <c r="JKU12" s="64"/>
      <c r="JKV12" s="64"/>
      <c r="JKW12" s="64"/>
      <c r="JKX12" s="64"/>
      <c r="JKY12" s="64"/>
      <c r="JKZ12" s="64"/>
      <c r="JLA12" s="64"/>
      <c r="JLB12" s="64"/>
      <c r="JLC12" s="64"/>
      <c r="JLD12" s="64"/>
      <c r="JLE12" s="64"/>
      <c r="JLF12" s="64"/>
      <c r="JLG12" s="64"/>
      <c r="JLH12" s="64"/>
      <c r="JLI12" s="64"/>
      <c r="JLJ12" s="64"/>
      <c r="JLK12" s="64"/>
      <c r="JLL12" s="64"/>
      <c r="JLM12" s="64"/>
      <c r="JLN12" s="64"/>
      <c r="JLO12" s="64"/>
      <c r="JLP12" s="64"/>
      <c r="JLQ12" s="64"/>
      <c r="JLR12" s="64"/>
      <c r="JLS12" s="64"/>
      <c r="JLT12" s="64"/>
      <c r="JLU12" s="64"/>
      <c r="JLV12" s="64"/>
      <c r="JLW12" s="64"/>
      <c r="JLX12" s="64"/>
      <c r="JLY12" s="64"/>
      <c r="JLZ12" s="64"/>
      <c r="JMA12" s="64"/>
      <c r="JMB12" s="64"/>
      <c r="JMC12" s="64"/>
      <c r="JMD12" s="64"/>
      <c r="JME12" s="64"/>
      <c r="JMF12" s="64"/>
      <c r="JMG12" s="64"/>
      <c r="JMH12" s="64"/>
      <c r="JMI12" s="64"/>
      <c r="JMJ12" s="64"/>
      <c r="JMK12" s="64"/>
      <c r="JML12" s="64"/>
      <c r="JMM12" s="64"/>
      <c r="JMN12" s="64"/>
      <c r="JMO12" s="64"/>
      <c r="JMP12" s="64"/>
      <c r="JMQ12" s="64"/>
      <c r="JMR12" s="64"/>
      <c r="JMS12" s="64"/>
      <c r="JMT12" s="64"/>
      <c r="JMU12" s="64"/>
      <c r="JMV12" s="64"/>
      <c r="JMW12" s="64"/>
      <c r="JMX12" s="64"/>
      <c r="JMY12" s="64"/>
      <c r="JMZ12" s="64"/>
      <c r="JNA12" s="64"/>
      <c r="JNB12" s="64"/>
      <c r="JNC12" s="64"/>
      <c r="JND12" s="64"/>
      <c r="JNE12" s="64"/>
      <c r="JNF12" s="64"/>
      <c r="JNG12" s="64"/>
      <c r="JNH12" s="64"/>
      <c r="JNI12" s="64"/>
      <c r="JNJ12" s="64"/>
      <c r="JNK12" s="64"/>
      <c r="JNL12" s="64"/>
      <c r="JNM12" s="64"/>
      <c r="JNN12" s="64"/>
      <c r="JNO12" s="64"/>
      <c r="JNP12" s="64"/>
      <c r="JNQ12" s="64"/>
      <c r="JNR12" s="64"/>
      <c r="JNS12" s="64"/>
      <c r="JNT12" s="64"/>
      <c r="JNU12" s="64"/>
      <c r="JNV12" s="64"/>
      <c r="JNW12" s="64"/>
      <c r="JNX12" s="64"/>
      <c r="JNY12" s="64"/>
      <c r="JNZ12" s="64"/>
      <c r="JOA12" s="64"/>
      <c r="JOB12" s="64"/>
      <c r="JOC12" s="64"/>
      <c r="JOD12" s="64"/>
      <c r="JOE12" s="64"/>
      <c r="JOF12" s="64"/>
      <c r="JOG12" s="64"/>
      <c r="JOH12" s="64"/>
      <c r="JOI12" s="64"/>
      <c r="JOJ12" s="64"/>
      <c r="JOK12" s="64"/>
      <c r="JOL12" s="64"/>
      <c r="JOM12" s="64"/>
      <c r="JON12" s="64"/>
      <c r="JOO12" s="64"/>
      <c r="JOP12" s="64"/>
      <c r="JOQ12" s="64"/>
      <c r="JOR12" s="64"/>
      <c r="JOS12" s="64"/>
      <c r="JOT12" s="64"/>
      <c r="JOU12" s="64"/>
      <c r="JOV12" s="64"/>
      <c r="JOW12" s="64"/>
      <c r="JOX12" s="64"/>
      <c r="JOY12" s="64"/>
      <c r="JOZ12" s="64"/>
      <c r="JPA12" s="64"/>
      <c r="JPB12" s="64"/>
      <c r="JPC12" s="64"/>
      <c r="JPD12" s="64"/>
      <c r="JPE12" s="64"/>
      <c r="JPF12" s="64"/>
      <c r="JPG12" s="64"/>
      <c r="JPH12" s="64"/>
      <c r="JPI12" s="64"/>
      <c r="JPJ12" s="64"/>
      <c r="JPK12" s="64"/>
      <c r="JPL12" s="64"/>
      <c r="JPM12" s="64"/>
      <c r="JPN12" s="64"/>
      <c r="JPO12" s="64"/>
      <c r="JPP12" s="64"/>
      <c r="JPQ12" s="64"/>
      <c r="JPR12" s="64"/>
      <c r="JPS12" s="64"/>
      <c r="JPT12" s="64"/>
      <c r="JPU12" s="64"/>
      <c r="JPV12" s="64"/>
      <c r="JPW12" s="64"/>
      <c r="JPX12" s="64"/>
      <c r="JPY12" s="64"/>
      <c r="JPZ12" s="64"/>
      <c r="JQA12" s="64"/>
      <c r="JQB12" s="64"/>
      <c r="JQC12" s="64"/>
      <c r="JQD12" s="64"/>
      <c r="JQE12" s="64"/>
      <c r="JQF12" s="64"/>
      <c r="JQG12" s="64"/>
      <c r="JQH12" s="64"/>
      <c r="JQI12" s="64"/>
      <c r="JQJ12" s="64"/>
      <c r="JQK12" s="64"/>
      <c r="JQL12" s="64"/>
      <c r="JQM12" s="64"/>
      <c r="JQN12" s="64"/>
      <c r="JQO12" s="64"/>
      <c r="JQP12" s="64"/>
      <c r="JQQ12" s="64"/>
      <c r="JQR12" s="64"/>
      <c r="JQS12" s="64"/>
      <c r="JQT12" s="64"/>
      <c r="JQU12" s="64"/>
      <c r="JQV12" s="64"/>
      <c r="JQW12" s="64"/>
      <c r="JQX12" s="64"/>
      <c r="JQY12" s="64"/>
      <c r="JQZ12" s="64"/>
      <c r="JRA12" s="64"/>
      <c r="JRB12" s="64"/>
      <c r="JRC12" s="64"/>
      <c r="JRD12" s="64"/>
      <c r="JRE12" s="64"/>
      <c r="JRF12" s="64"/>
      <c r="JRG12" s="64"/>
      <c r="JRH12" s="64"/>
      <c r="JRI12" s="64"/>
      <c r="JRJ12" s="64"/>
      <c r="JRK12" s="64"/>
      <c r="JRL12" s="64"/>
      <c r="JRM12" s="64"/>
      <c r="JRN12" s="64"/>
      <c r="JRO12" s="64"/>
      <c r="JRP12" s="64"/>
      <c r="JRQ12" s="64"/>
      <c r="JRR12" s="64"/>
      <c r="JRS12" s="64"/>
      <c r="JRT12" s="64"/>
      <c r="JRU12" s="64"/>
      <c r="JRV12" s="64"/>
      <c r="JRW12" s="64"/>
      <c r="JRX12" s="64"/>
      <c r="JRY12" s="64"/>
      <c r="JRZ12" s="64"/>
      <c r="JSA12" s="64"/>
      <c r="JSB12" s="64"/>
      <c r="JSC12" s="64"/>
      <c r="JSD12" s="64"/>
      <c r="JSE12" s="64"/>
      <c r="JSF12" s="64"/>
      <c r="JSG12" s="64"/>
      <c r="JSH12" s="64"/>
      <c r="JSI12" s="64"/>
      <c r="JSJ12" s="64"/>
      <c r="JSK12" s="64"/>
      <c r="JSL12" s="64"/>
      <c r="JSM12" s="64"/>
      <c r="JSN12" s="64"/>
      <c r="JSO12" s="64"/>
      <c r="JSP12" s="64"/>
      <c r="JSQ12" s="64"/>
      <c r="JSR12" s="64"/>
      <c r="JSS12" s="64"/>
      <c r="JST12" s="64"/>
      <c r="JSU12" s="64"/>
      <c r="JSV12" s="64"/>
      <c r="JSW12" s="64"/>
      <c r="JSX12" s="64"/>
      <c r="JSY12" s="64"/>
      <c r="JSZ12" s="64"/>
      <c r="JTA12" s="64"/>
      <c r="JTB12" s="64"/>
      <c r="JTC12" s="64"/>
      <c r="JTD12" s="64"/>
      <c r="JTE12" s="64"/>
      <c r="JTF12" s="64"/>
      <c r="JTG12" s="64"/>
      <c r="JTH12" s="64"/>
      <c r="JTI12" s="64"/>
      <c r="JTJ12" s="64"/>
      <c r="JTK12" s="64"/>
      <c r="JTL12" s="64"/>
      <c r="JTM12" s="64"/>
      <c r="JTN12" s="64"/>
      <c r="JTO12" s="64"/>
      <c r="JTP12" s="64"/>
      <c r="JTQ12" s="64"/>
      <c r="JTR12" s="64"/>
      <c r="JTS12" s="64"/>
      <c r="JTT12" s="64"/>
      <c r="JTU12" s="64"/>
      <c r="JTV12" s="64"/>
      <c r="JTW12" s="64"/>
      <c r="JTX12" s="64"/>
      <c r="JTY12" s="64"/>
      <c r="JTZ12" s="64"/>
      <c r="JUA12" s="64"/>
      <c r="JUB12" s="64"/>
      <c r="JUC12" s="64"/>
      <c r="JUD12" s="64"/>
      <c r="JUE12" s="64"/>
      <c r="JUF12" s="64"/>
      <c r="JUG12" s="64"/>
      <c r="JUH12" s="64"/>
      <c r="JUI12" s="64"/>
      <c r="JUJ12" s="64"/>
      <c r="JUK12" s="64"/>
      <c r="JUL12" s="64"/>
      <c r="JUM12" s="64"/>
      <c r="JUN12" s="64"/>
      <c r="JUO12" s="64"/>
      <c r="JUP12" s="64"/>
      <c r="JUQ12" s="64"/>
      <c r="JUR12" s="64"/>
      <c r="JUS12" s="64"/>
      <c r="JUT12" s="64"/>
      <c r="JUU12" s="64"/>
      <c r="JUV12" s="64"/>
      <c r="JUW12" s="64"/>
      <c r="JUX12" s="64"/>
      <c r="JUY12" s="64"/>
      <c r="JUZ12" s="64"/>
      <c r="JVA12" s="64"/>
      <c r="JVB12" s="64"/>
      <c r="JVC12" s="64"/>
      <c r="JVD12" s="64"/>
      <c r="JVE12" s="64"/>
      <c r="JVF12" s="64"/>
      <c r="JVG12" s="64"/>
      <c r="JVH12" s="64"/>
      <c r="JVI12" s="64"/>
      <c r="JVJ12" s="64"/>
      <c r="JVK12" s="64"/>
      <c r="JVL12" s="64"/>
      <c r="JVM12" s="64"/>
      <c r="JVN12" s="64"/>
      <c r="JVO12" s="64"/>
      <c r="JVP12" s="64"/>
      <c r="JVQ12" s="64"/>
      <c r="JVR12" s="64"/>
      <c r="JVS12" s="64"/>
      <c r="JVT12" s="64"/>
      <c r="JVU12" s="64"/>
      <c r="JVV12" s="64"/>
      <c r="JVW12" s="64"/>
      <c r="JVX12" s="64"/>
      <c r="JVY12" s="64"/>
      <c r="JVZ12" s="64"/>
      <c r="JWA12" s="64"/>
      <c r="JWB12" s="64"/>
      <c r="JWC12" s="64"/>
      <c r="JWD12" s="64"/>
      <c r="JWE12" s="64"/>
      <c r="JWF12" s="64"/>
      <c r="JWG12" s="64"/>
      <c r="JWH12" s="64"/>
      <c r="JWI12" s="64"/>
      <c r="JWJ12" s="64"/>
      <c r="JWK12" s="64"/>
      <c r="JWL12" s="64"/>
      <c r="JWM12" s="64"/>
      <c r="JWN12" s="64"/>
      <c r="JWO12" s="64"/>
      <c r="JWP12" s="64"/>
      <c r="JWQ12" s="64"/>
      <c r="JWR12" s="64"/>
      <c r="JWS12" s="64"/>
      <c r="JWT12" s="64"/>
      <c r="JWU12" s="64"/>
      <c r="JWV12" s="64"/>
      <c r="JWW12" s="64"/>
      <c r="JWX12" s="64"/>
      <c r="JWY12" s="64"/>
      <c r="JWZ12" s="64"/>
      <c r="JXA12" s="64"/>
      <c r="JXB12" s="64"/>
      <c r="JXC12" s="64"/>
      <c r="JXD12" s="64"/>
      <c r="JXE12" s="64"/>
      <c r="JXF12" s="64"/>
      <c r="JXG12" s="64"/>
      <c r="JXH12" s="64"/>
      <c r="JXI12" s="64"/>
      <c r="JXJ12" s="64"/>
      <c r="JXK12" s="64"/>
      <c r="JXL12" s="64"/>
      <c r="JXM12" s="64"/>
      <c r="JXN12" s="64"/>
      <c r="JXO12" s="64"/>
      <c r="JXP12" s="64"/>
      <c r="JXQ12" s="64"/>
      <c r="JXR12" s="64"/>
      <c r="JXS12" s="64"/>
      <c r="JXT12" s="64"/>
      <c r="JXU12" s="64"/>
      <c r="JXV12" s="64"/>
      <c r="JXW12" s="64"/>
      <c r="JXX12" s="64"/>
      <c r="JXY12" s="64"/>
      <c r="JXZ12" s="64"/>
      <c r="JYA12" s="64"/>
      <c r="JYB12" s="64"/>
      <c r="JYC12" s="64"/>
      <c r="JYD12" s="64"/>
      <c r="JYE12" s="64"/>
      <c r="JYF12" s="64"/>
      <c r="JYG12" s="64"/>
      <c r="JYH12" s="64"/>
      <c r="JYI12" s="64"/>
      <c r="JYJ12" s="64"/>
      <c r="JYK12" s="64"/>
      <c r="JYL12" s="64"/>
      <c r="JYM12" s="64"/>
      <c r="JYN12" s="64"/>
      <c r="JYO12" s="64"/>
      <c r="JYP12" s="64"/>
      <c r="JYQ12" s="64"/>
      <c r="JYR12" s="64"/>
      <c r="JYS12" s="64"/>
      <c r="JYT12" s="64"/>
      <c r="JYU12" s="64"/>
      <c r="JYV12" s="64"/>
      <c r="JYW12" s="64"/>
      <c r="JYX12" s="64"/>
      <c r="JYY12" s="64"/>
      <c r="JYZ12" s="64"/>
      <c r="JZA12" s="64"/>
      <c r="JZB12" s="64"/>
      <c r="JZC12" s="64"/>
      <c r="JZD12" s="64"/>
      <c r="JZE12" s="64"/>
      <c r="JZF12" s="64"/>
      <c r="JZG12" s="64"/>
      <c r="JZH12" s="64"/>
      <c r="JZI12" s="64"/>
      <c r="JZJ12" s="64"/>
      <c r="JZK12" s="64"/>
      <c r="JZL12" s="64"/>
      <c r="JZM12" s="64"/>
      <c r="JZN12" s="64"/>
      <c r="JZO12" s="64"/>
      <c r="JZP12" s="64"/>
      <c r="JZQ12" s="64"/>
      <c r="JZR12" s="64"/>
      <c r="JZS12" s="64"/>
      <c r="JZT12" s="64"/>
      <c r="JZU12" s="64"/>
      <c r="JZV12" s="64"/>
      <c r="JZW12" s="64"/>
      <c r="JZX12" s="64"/>
      <c r="JZY12" s="64"/>
      <c r="JZZ12" s="64"/>
      <c r="KAA12" s="64"/>
      <c r="KAB12" s="64"/>
      <c r="KAC12" s="64"/>
      <c r="KAD12" s="64"/>
      <c r="KAE12" s="64"/>
      <c r="KAF12" s="64"/>
      <c r="KAG12" s="64"/>
      <c r="KAH12" s="64"/>
      <c r="KAI12" s="64"/>
      <c r="KAJ12" s="64"/>
      <c r="KAK12" s="64"/>
      <c r="KAL12" s="64"/>
      <c r="KAM12" s="64"/>
      <c r="KAN12" s="64"/>
      <c r="KAO12" s="64"/>
      <c r="KAP12" s="64"/>
      <c r="KAQ12" s="64"/>
      <c r="KAR12" s="64"/>
      <c r="KAS12" s="64"/>
      <c r="KAT12" s="64"/>
      <c r="KAU12" s="64"/>
      <c r="KAV12" s="64"/>
      <c r="KAW12" s="64"/>
      <c r="KAX12" s="64"/>
      <c r="KAY12" s="64"/>
      <c r="KAZ12" s="64"/>
      <c r="KBA12" s="64"/>
      <c r="KBB12" s="64"/>
      <c r="KBC12" s="64"/>
      <c r="KBD12" s="64"/>
      <c r="KBE12" s="64"/>
      <c r="KBF12" s="64"/>
      <c r="KBG12" s="64"/>
      <c r="KBH12" s="64"/>
      <c r="KBI12" s="64"/>
      <c r="KBJ12" s="64"/>
      <c r="KBK12" s="64"/>
      <c r="KBL12" s="64"/>
      <c r="KBM12" s="64"/>
      <c r="KBN12" s="64"/>
      <c r="KBO12" s="64"/>
      <c r="KBP12" s="64"/>
      <c r="KBQ12" s="64"/>
      <c r="KBR12" s="64"/>
      <c r="KBS12" s="64"/>
      <c r="KBT12" s="64"/>
      <c r="KBU12" s="64"/>
      <c r="KBV12" s="64"/>
      <c r="KBW12" s="64"/>
      <c r="KBX12" s="64"/>
      <c r="KBY12" s="64"/>
      <c r="KBZ12" s="64"/>
      <c r="KCA12" s="64"/>
      <c r="KCB12" s="64"/>
      <c r="KCC12" s="64"/>
      <c r="KCD12" s="64"/>
      <c r="KCE12" s="64"/>
      <c r="KCF12" s="64"/>
      <c r="KCG12" s="64"/>
      <c r="KCH12" s="64"/>
      <c r="KCI12" s="64"/>
      <c r="KCJ12" s="64"/>
      <c r="KCK12" s="64"/>
      <c r="KCL12" s="64"/>
      <c r="KCM12" s="64"/>
      <c r="KCN12" s="64"/>
      <c r="KCO12" s="64"/>
      <c r="KCP12" s="64"/>
      <c r="KCQ12" s="64"/>
      <c r="KCR12" s="64"/>
      <c r="KCS12" s="64"/>
      <c r="KCT12" s="64"/>
      <c r="KCU12" s="64"/>
      <c r="KCV12" s="64"/>
      <c r="KCW12" s="64"/>
      <c r="KCX12" s="64"/>
      <c r="KCY12" s="64"/>
      <c r="KCZ12" s="64"/>
      <c r="KDA12" s="64"/>
      <c r="KDB12" s="64"/>
      <c r="KDC12" s="64"/>
      <c r="KDD12" s="64"/>
      <c r="KDE12" s="64"/>
      <c r="KDF12" s="64"/>
      <c r="KDG12" s="64"/>
      <c r="KDH12" s="64"/>
      <c r="KDI12" s="64"/>
      <c r="KDJ12" s="64"/>
      <c r="KDK12" s="64"/>
      <c r="KDL12" s="64"/>
      <c r="KDM12" s="64"/>
      <c r="KDN12" s="64"/>
      <c r="KDO12" s="64"/>
      <c r="KDP12" s="64"/>
      <c r="KDQ12" s="64"/>
      <c r="KDR12" s="64"/>
      <c r="KDS12" s="64"/>
      <c r="KDT12" s="64"/>
      <c r="KDU12" s="64"/>
      <c r="KDV12" s="64"/>
      <c r="KDW12" s="64"/>
      <c r="KDX12" s="64"/>
      <c r="KDY12" s="64"/>
      <c r="KDZ12" s="64"/>
      <c r="KEA12" s="64"/>
      <c r="KEB12" s="64"/>
      <c r="KEC12" s="64"/>
      <c r="KED12" s="64"/>
      <c r="KEE12" s="64"/>
      <c r="KEF12" s="64"/>
      <c r="KEG12" s="64"/>
      <c r="KEH12" s="64"/>
      <c r="KEI12" s="64"/>
      <c r="KEJ12" s="64"/>
      <c r="KEK12" s="64"/>
      <c r="KEL12" s="64"/>
      <c r="KEM12" s="64"/>
      <c r="KEN12" s="64"/>
      <c r="KEO12" s="64"/>
      <c r="KEP12" s="64"/>
      <c r="KEQ12" s="64"/>
      <c r="KER12" s="64"/>
      <c r="KES12" s="64"/>
      <c r="KET12" s="64"/>
      <c r="KEU12" s="64"/>
      <c r="KEV12" s="64"/>
      <c r="KEW12" s="64"/>
      <c r="KEX12" s="64"/>
      <c r="KEY12" s="64"/>
      <c r="KEZ12" s="64"/>
      <c r="KFA12" s="64"/>
      <c r="KFB12" s="64"/>
      <c r="KFC12" s="64"/>
      <c r="KFD12" s="64"/>
      <c r="KFE12" s="64"/>
      <c r="KFF12" s="64"/>
      <c r="KFG12" s="64"/>
      <c r="KFH12" s="64"/>
      <c r="KFI12" s="64"/>
      <c r="KFJ12" s="64"/>
      <c r="KFK12" s="64"/>
      <c r="KFL12" s="64"/>
      <c r="KFM12" s="64"/>
      <c r="KFN12" s="64"/>
      <c r="KFO12" s="64"/>
      <c r="KFP12" s="64"/>
      <c r="KFQ12" s="64"/>
      <c r="KFR12" s="64"/>
      <c r="KFS12" s="64"/>
      <c r="KFT12" s="64"/>
      <c r="KFU12" s="64"/>
      <c r="KFV12" s="64"/>
      <c r="KFW12" s="64"/>
      <c r="KFX12" s="64"/>
      <c r="KFY12" s="64"/>
      <c r="KFZ12" s="64"/>
      <c r="KGA12" s="64"/>
      <c r="KGB12" s="64"/>
      <c r="KGC12" s="64"/>
      <c r="KGD12" s="64"/>
      <c r="KGE12" s="64"/>
      <c r="KGF12" s="64"/>
      <c r="KGG12" s="64"/>
      <c r="KGH12" s="64"/>
      <c r="KGI12" s="64"/>
      <c r="KGJ12" s="64"/>
      <c r="KGK12" s="64"/>
      <c r="KGL12" s="64"/>
      <c r="KGM12" s="64"/>
      <c r="KGN12" s="64"/>
      <c r="KGO12" s="64"/>
      <c r="KGP12" s="64"/>
      <c r="KGQ12" s="64"/>
      <c r="KGR12" s="64"/>
      <c r="KGS12" s="64"/>
      <c r="KGT12" s="64"/>
      <c r="KGU12" s="64"/>
      <c r="KGV12" s="64"/>
      <c r="KGW12" s="64"/>
      <c r="KGX12" s="64"/>
      <c r="KGY12" s="64"/>
      <c r="KGZ12" s="64"/>
      <c r="KHA12" s="64"/>
      <c r="KHB12" s="64"/>
      <c r="KHC12" s="64"/>
      <c r="KHD12" s="64"/>
      <c r="KHE12" s="64"/>
      <c r="KHF12" s="64"/>
      <c r="KHG12" s="64"/>
      <c r="KHH12" s="64"/>
      <c r="KHI12" s="64"/>
      <c r="KHJ12" s="64"/>
      <c r="KHK12" s="64"/>
      <c r="KHL12" s="64"/>
      <c r="KHM12" s="64"/>
      <c r="KHN12" s="64"/>
      <c r="KHO12" s="64"/>
      <c r="KHP12" s="64"/>
      <c r="KHQ12" s="64"/>
      <c r="KHR12" s="64"/>
      <c r="KHS12" s="64"/>
      <c r="KHT12" s="64"/>
      <c r="KHU12" s="64"/>
      <c r="KHV12" s="64"/>
      <c r="KHW12" s="64"/>
      <c r="KHX12" s="64"/>
      <c r="KHY12" s="64"/>
      <c r="KHZ12" s="64"/>
      <c r="KIA12" s="64"/>
      <c r="KIB12" s="64"/>
      <c r="KIC12" s="64"/>
      <c r="KID12" s="64"/>
      <c r="KIE12" s="64"/>
      <c r="KIF12" s="64"/>
      <c r="KIG12" s="64"/>
      <c r="KIH12" s="64"/>
      <c r="KII12" s="64"/>
      <c r="KIJ12" s="64"/>
      <c r="KIK12" s="64"/>
      <c r="KIL12" s="64"/>
      <c r="KIM12" s="64"/>
      <c r="KIN12" s="64"/>
      <c r="KIO12" s="64"/>
      <c r="KIP12" s="64"/>
      <c r="KIQ12" s="64"/>
      <c r="KIR12" s="64"/>
      <c r="KIS12" s="64"/>
      <c r="KIT12" s="64"/>
      <c r="KIU12" s="64"/>
      <c r="KIV12" s="64"/>
      <c r="KIW12" s="64"/>
      <c r="KIX12" s="64"/>
      <c r="KIY12" s="64"/>
      <c r="KIZ12" s="64"/>
      <c r="KJA12" s="64"/>
      <c r="KJB12" s="64"/>
      <c r="KJC12" s="64"/>
      <c r="KJD12" s="64"/>
      <c r="KJE12" s="64"/>
      <c r="KJF12" s="64"/>
      <c r="KJG12" s="64"/>
      <c r="KJH12" s="64"/>
      <c r="KJI12" s="64"/>
      <c r="KJJ12" s="64"/>
      <c r="KJK12" s="64"/>
      <c r="KJL12" s="64"/>
      <c r="KJM12" s="64"/>
      <c r="KJN12" s="64"/>
      <c r="KJO12" s="64"/>
      <c r="KJP12" s="64"/>
      <c r="KJQ12" s="64"/>
      <c r="KJR12" s="64"/>
      <c r="KJS12" s="64"/>
      <c r="KJT12" s="64"/>
      <c r="KJU12" s="64"/>
      <c r="KJV12" s="64"/>
      <c r="KJW12" s="64"/>
      <c r="KJX12" s="64"/>
      <c r="KJY12" s="64"/>
      <c r="KJZ12" s="64"/>
      <c r="KKA12" s="64"/>
      <c r="KKB12" s="64"/>
      <c r="KKC12" s="64"/>
      <c r="KKD12" s="64"/>
      <c r="KKE12" s="64"/>
      <c r="KKF12" s="64"/>
      <c r="KKG12" s="64"/>
      <c r="KKH12" s="64"/>
      <c r="KKI12" s="64"/>
      <c r="KKJ12" s="64"/>
      <c r="KKK12" s="64"/>
      <c r="KKL12" s="64"/>
      <c r="KKM12" s="64"/>
      <c r="KKN12" s="64"/>
      <c r="KKO12" s="64"/>
      <c r="KKP12" s="64"/>
      <c r="KKQ12" s="64"/>
      <c r="KKR12" s="64"/>
      <c r="KKS12" s="64"/>
      <c r="KKT12" s="64"/>
      <c r="KKU12" s="64"/>
      <c r="KKV12" s="64"/>
      <c r="KKW12" s="64"/>
      <c r="KKX12" s="64"/>
      <c r="KKY12" s="64"/>
      <c r="KKZ12" s="64"/>
      <c r="KLA12" s="64"/>
      <c r="KLB12" s="64"/>
      <c r="KLC12" s="64"/>
      <c r="KLD12" s="64"/>
      <c r="KLE12" s="64"/>
      <c r="KLF12" s="64"/>
      <c r="KLG12" s="64"/>
      <c r="KLH12" s="64"/>
      <c r="KLI12" s="64"/>
      <c r="KLJ12" s="64"/>
      <c r="KLK12" s="64"/>
      <c r="KLL12" s="64"/>
      <c r="KLM12" s="64"/>
      <c r="KLN12" s="64"/>
      <c r="KLO12" s="64"/>
      <c r="KLP12" s="64"/>
      <c r="KLQ12" s="64"/>
      <c r="KLR12" s="64"/>
      <c r="KLS12" s="64"/>
      <c r="KLT12" s="64"/>
      <c r="KLU12" s="64"/>
      <c r="KLV12" s="64"/>
      <c r="KLW12" s="64"/>
      <c r="KLX12" s="64"/>
      <c r="KLY12" s="64"/>
      <c r="KLZ12" s="64"/>
      <c r="KMA12" s="64"/>
      <c r="KMB12" s="64"/>
      <c r="KMC12" s="64"/>
      <c r="KMD12" s="64"/>
      <c r="KME12" s="64"/>
      <c r="KMF12" s="64"/>
      <c r="KMG12" s="64"/>
      <c r="KMH12" s="64"/>
      <c r="KMI12" s="64"/>
      <c r="KMJ12" s="64"/>
      <c r="KMK12" s="64"/>
      <c r="KML12" s="64"/>
      <c r="KMM12" s="64"/>
      <c r="KMN12" s="64"/>
      <c r="KMO12" s="64"/>
      <c r="KMP12" s="64"/>
      <c r="KMQ12" s="64"/>
      <c r="KMR12" s="64"/>
      <c r="KMS12" s="64"/>
      <c r="KMT12" s="64"/>
      <c r="KMU12" s="64"/>
      <c r="KMV12" s="64"/>
      <c r="KMW12" s="64"/>
      <c r="KMX12" s="64"/>
      <c r="KMY12" s="64"/>
      <c r="KMZ12" s="64"/>
      <c r="KNA12" s="64"/>
      <c r="KNB12" s="64"/>
      <c r="KNC12" s="64"/>
      <c r="KND12" s="64"/>
      <c r="KNE12" s="64"/>
      <c r="KNF12" s="64"/>
      <c r="KNG12" s="64"/>
      <c r="KNH12" s="64"/>
      <c r="KNI12" s="64"/>
      <c r="KNJ12" s="64"/>
      <c r="KNK12" s="64"/>
      <c r="KNL12" s="64"/>
      <c r="KNM12" s="64"/>
      <c r="KNN12" s="64"/>
      <c r="KNO12" s="64"/>
      <c r="KNP12" s="64"/>
      <c r="KNQ12" s="64"/>
      <c r="KNR12" s="64"/>
      <c r="KNS12" s="64"/>
      <c r="KNT12" s="64"/>
      <c r="KNU12" s="64"/>
      <c r="KNV12" s="64"/>
      <c r="KNW12" s="64"/>
      <c r="KNX12" s="64"/>
      <c r="KNY12" s="64"/>
      <c r="KNZ12" s="64"/>
      <c r="KOA12" s="64"/>
      <c r="KOB12" s="64"/>
      <c r="KOC12" s="64"/>
      <c r="KOD12" s="64"/>
      <c r="KOE12" s="64"/>
      <c r="KOF12" s="64"/>
      <c r="KOG12" s="64"/>
      <c r="KOH12" s="64"/>
      <c r="KOI12" s="64"/>
      <c r="KOJ12" s="64"/>
      <c r="KOK12" s="64"/>
      <c r="KOL12" s="64"/>
      <c r="KOM12" s="64"/>
      <c r="KON12" s="64"/>
      <c r="KOO12" s="64"/>
      <c r="KOP12" s="64"/>
      <c r="KOQ12" s="64"/>
      <c r="KOR12" s="64"/>
      <c r="KOS12" s="64"/>
      <c r="KOT12" s="64"/>
      <c r="KOU12" s="64"/>
      <c r="KOV12" s="64"/>
      <c r="KOW12" s="64"/>
      <c r="KOX12" s="64"/>
      <c r="KOY12" s="64"/>
      <c r="KOZ12" s="64"/>
      <c r="KPA12" s="64"/>
      <c r="KPB12" s="64"/>
      <c r="KPC12" s="64"/>
      <c r="KPD12" s="64"/>
      <c r="KPE12" s="64"/>
      <c r="KPF12" s="64"/>
      <c r="KPG12" s="64"/>
      <c r="KPH12" s="64"/>
      <c r="KPI12" s="64"/>
      <c r="KPJ12" s="64"/>
      <c r="KPK12" s="64"/>
      <c r="KPL12" s="64"/>
      <c r="KPM12" s="64"/>
      <c r="KPN12" s="64"/>
      <c r="KPO12" s="64"/>
      <c r="KPP12" s="64"/>
      <c r="KPQ12" s="64"/>
      <c r="KPR12" s="64"/>
      <c r="KPS12" s="64"/>
      <c r="KPT12" s="64"/>
      <c r="KPU12" s="64"/>
      <c r="KPV12" s="64"/>
      <c r="KPW12" s="64"/>
      <c r="KPX12" s="64"/>
      <c r="KPY12" s="64"/>
      <c r="KPZ12" s="64"/>
      <c r="KQA12" s="64"/>
      <c r="KQB12" s="64"/>
      <c r="KQC12" s="64"/>
      <c r="KQD12" s="64"/>
      <c r="KQE12" s="64"/>
      <c r="KQF12" s="64"/>
      <c r="KQG12" s="64"/>
      <c r="KQH12" s="64"/>
      <c r="KQI12" s="64"/>
      <c r="KQJ12" s="64"/>
      <c r="KQK12" s="64"/>
      <c r="KQL12" s="64"/>
      <c r="KQM12" s="64"/>
      <c r="KQN12" s="64"/>
      <c r="KQO12" s="64"/>
      <c r="KQP12" s="64"/>
      <c r="KQQ12" s="64"/>
      <c r="KQR12" s="64"/>
      <c r="KQS12" s="64"/>
      <c r="KQT12" s="64"/>
      <c r="KQU12" s="64"/>
      <c r="KQV12" s="64"/>
      <c r="KQW12" s="64"/>
      <c r="KQX12" s="64"/>
      <c r="KQY12" s="64"/>
      <c r="KQZ12" s="64"/>
      <c r="KRA12" s="64"/>
      <c r="KRB12" s="64"/>
      <c r="KRC12" s="64"/>
      <c r="KRD12" s="64"/>
      <c r="KRE12" s="64"/>
      <c r="KRF12" s="64"/>
      <c r="KRG12" s="64"/>
      <c r="KRH12" s="64"/>
      <c r="KRI12" s="64"/>
      <c r="KRJ12" s="64"/>
      <c r="KRK12" s="64"/>
      <c r="KRL12" s="64"/>
      <c r="KRM12" s="64"/>
      <c r="KRN12" s="64"/>
      <c r="KRO12" s="64"/>
      <c r="KRP12" s="64"/>
      <c r="KRQ12" s="64"/>
      <c r="KRR12" s="64"/>
      <c r="KRS12" s="64"/>
      <c r="KRT12" s="64"/>
      <c r="KRU12" s="64"/>
      <c r="KRV12" s="64"/>
      <c r="KRW12" s="64"/>
      <c r="KRX12" s="64"/>
      <c r="KRY12" s="64"/>
      <c r="KRZ12" s="64"/>
      <c r="KSA12" s="64"/>
      <c r="KSB12" s="64"/>
      <c r="KSC12" s="64"/>
      <c r="KSD12" s="64"/>
      <c r="KSE12" s="64"/>
      <c r="KSF12" s="64"/>
      <c r="KSG12" s="64"/>
      <c r="KSH12" s="64"/>
      <c r="KSI12" s="64"/>
      <c r="KSJ12" s="64"/>
      <c r="KSK12" s="64"/>
      <c r="KSL12" s="64"/>
      <c r="KSM12" s="64"/>
      <c r="KSN12" s="64"/>
      <c r="KSO12" s="64"/>
      <c r="KSP12" s="64"/>
      <c r="KSQ12" s="64"/>
      <c r="KSR12" s="64"/>
      <c r="KSS12" s="64"/>
      <c r="KST12" s="64"/>
      <c r="KSU12" s="64"/>
      <c r="KSV12" s="64"/>
      <c r="KSW12" s="64"/>
      <c r="KSX12" s="64"/>
      <c r="KSY12" s="64"/>
      <c r="KSZ12" s="64"/>
      <c r="KTA12" s="64"/>
      <c r="KTB12" s="64"/>
      <c r="KTC12" s="64"/>
      <c r="KTD12" s="64"/>
      <c r="KTE12" s="64"/>
      <c r="KTF12" s="64"/>
      <c r="KTG12" s="64"/>
      <c r="KTH12" s="64"/>
      <c r="KTI12" s="64"/>
      <c r="KTJ12" s="64"/>
      <c r="KTK12" s="64"/>
      <c r="KTL12" s="64"/>
      <c r="KTM12" s="64"/>
      <c r="KTN12" s="64"/>
      <c r="KTO12" s="64"/>
      <c r="KTP12" s="64"/>
      <c r="KTQ12" s="64"/>
      <c r="KTR12" s="64"/>
      <c r="KTS12" s="64"/>
      <c r="KTT12" s="64"/>
      <c r="KTU12" s="64"/>
      <c r="KTV12" s="64"/>
      <c r="KTW12" s="64"/>
      <c r="KTX12" s="64"/>
      <c r="KTY12" s="64"/>
      <c r="KTZ12" s="64"/>
      <c r="KUA12" s="64"/>
      <c r="KUB12" s="64"/>
      <c r="KUC12" s="64"/>
      <c r="KUD12" s="64"/>
      <c r="KUE12" s="64"/>
      <c r="KUF12" s="64"/>
      <c r="KUG12" s="64"/>
      <c r="KUH12" s="64"/>
      <c r="KUI12" s="64"/>
      <c r="KUJ12" s="64"/>
      <c r="KUK12" s="64"/>
      <c r="KUL12" s="64"/>
      <c r="KUM12" s="64"/>
      <c r="KUN12" s="64"/>
      <c r="KUO12" s="64"/>
      <c r="KUP12" s="64"/>
      <c r="KUQ12" s="64"/>
      <c r="KUR12" s="64"/>
      <c r="KUS12" s="64"/>
      <c r="KUT12" s="64"/>
      <c r="KUU12" s="64"/>
      <c r="KUV12" s="64"/>
      <c r="KUW12" s="64"/>
      <c r="KUX12" s="64"/>
      <c r="KUY12" s="64"/>
      <c r="KUZ12" s="64"/>
      <c r="KVA12" s="64"/>
      <c r="KVB12" s="64"/>
      <c r="KVC12" s="64"/>
      <c r="KVD12" s="64"/>
      <c r="KVE12" s="64"/>
      <c r="KVF12" s="64"/>
      <c r="KVG12" s="64"/>
      <c r="KVH12" s="64"/>
      <c r="KVI12" s="64"/>
      <c r="KVJ12" s="64"/>
      <c r="KVK12" s="64"/>
      <c r="KVL12" s="64"/>
      <c r="KVM12" s="64"/>
      <c r="KVN12" s="64"/>
      <c r="KVO12" s="64"/>
      <c r="KVP12" s="64"/>
      <c r="KVQ12" s="64"/>
      <c r="KVR12" s="64"/>
      <c r="KVS12" s="64"/>
      <c r="KVT12" s="64"/>
      <c r="KVU12" s="64"/>
      <c r="KVV12" s="64"/>
      <c r="KVW12" s="64"/>
      <c r="KVX12" s="64"/>
      <c r="KVY12" s="64"/>
      <c r="KVZ12" s="64"/>
      <c r="KWA12" s="64"/>
      <c r="KWB12" s="64"/>
      <c r="KWC12" s="64"/>
      <c r="KWD12" s="64"/>
      <c r="KWE12" s="64"/>
      <c r="KWF12" s="64"/>
      <c r="KWG12" s="64"/>
      <c r="KWH12" s="64"/>
      <c r="KWI12" s="64"/>
      <c r="KWJ12" s="64"/>
      <c r="KWK12" s="64"/>
      <c r="KWL12" s="64"/>
      <c r="KWM12" s="64"/>
      <c r="KWN12" s="64"/>
      <c r="KWO12" s="64"/>
      <c r="KWP12" s="64"/>
      <c r="KWQ12" s="64"/>
      <c r="KWR12" s="64"/>
      <c r="KWS12" s="64"/>
      <c r="KWT12" s="64"/>
      <c r="KWU12" s="64"/>
      <c r="KWV12" s="64"/>
      <c r="KWW12" s="64"/>
      <c r="KWX12" s="64"/>
      <c r="KWY12" s="64"/>
      <c r="KWZ12" s="64"/>
      <c r="KXA12" s="64"/>
      <c r="KXB12" s="64"/>
      <c r="KXC12" s="64"/>
      <c r="KXD12" s="64"/>
      <c r="KXE12" s="64"/>
      <c r="KXF12" s="64"/>
      <c r="KXG12" s="64"/>
      <c r="KXH12" s="64"/>
      <c r="KXI12" s="64"/>
      <c r="KXJ12" s="64"/>
      <c r="KXK12" s="64"/>
      <c r="KXL12" s="64"/>
      <c r="KXM12" s="64"/>
      <c r="KXN12" s="64"/>
      <c r="KXO12" s="64"/>
      <c r="KXP12" s="64"/>
      <c r="KXQ12" s="64"/>
      <c r="KXR12" s="64"/>
      <c r="KXS12" s="64"/>
      <c r="KXT12" s="64"/>
      <c r="KXU12" s="64"/>
      <c r="KXV12" s="64"/>
      <c r="KXW12" s="64"/>
      <c r="KXX12" s="64"/>
      <c r="KXY12" s="64"/>
      <c r="KXZ12" s="64"/>
      <c r="KYA12" s="64"/>
      <c r="KYB12" s="64"/>
      <c r="KYC12" s="64"/>
      <c r="KYD12" s="64"/>
      <c r="KYE12" s="64"/>
      <c r="KYF12" s="64"/>
      <c r="KYG12" s="64"/>
      <c r="KYH12" s="64"/>
      <c r="KYI12" s="64"/>
      <c r="KYJ12" s="64"/>
      <c r="KYK12" s="64"/>
      <c r="KYL12" s="64"/>
      <c r="KYM12" s="64"/>
      <c r="KYN12" s="64"/>
      <c r="KYO12" s="64"/>
      <c r="KYP12" s="64"/>
      <c r="KYQ12" s="64"/>
      <c r="KYR12" s="64"/>
      <c r="KYS12" s="64"/>
      <c r="KYT12" s="64"/>
      <c r="KYU12" s="64"/>
      <c r="KYV12" s="64"/>
      <c r="KYW12" s="64"/>
      <c r="KYX12" s="64"/>
      <c r="KYY12" s="64"/>
      <c r="KYZ12" s="64"/>
      <c r="KZA12" s="64"/>
      <c r="KZB12" s="64"/>
      <c r="KZC12" s="64"/>
      <c r="KZD12" s="64"/>
      <c r="KZE12" s="64"/>
      <c r="KZF12" s="64"/>
      <c r="KZG12" s="64"/>
      <c r="KZH12" s="64"/>
      <c r="KZI12" s="64"/>
      <c r="KZJ12" s="64"/>
      <c r="KZK12" s="64"/>
      <c r="KZL12" s="64"/>
      <c r="KZM12" s="64"/>
      <c r="KZN12" s="64"/>
      <c r="KZO12" s="64"/>
      <c r="KZP12" s="64"/>
      <c r="KZQ12" s="64"/>
      <c r="KZR12" s="64"/>
      <c r="KZS12" s="64"/>
      <c r="KZT12" s="64"/>
      <c r="KZU12" s="64"/>
      <c r="KZV12" s="64"/>
      <c r="KZW12" s="64"/>
      <c r="KZX12" s="64"/>
      <c r="KZY12" s="64"/>
      <c r="KZZ12" s="64"/>
      <c r="LAA12" s="64"/>
      <c r="LAB12" s="64"/>
      <c r="LAC12" s="64"/>
      <c r="LAD12" s="64"/>
      <c r="LAE12" s="64"/>
      <c r="LAF12" s="64"/>
      <c r="LAG12" s="64"/>
      <c r="LAH12" s="64"/>
      <c r="LAI12" s="64"/>
      <c r="LAJ12" s="64"/>
      <c r="LAK12" s="64"/>
      <c r="LAL12" s="64"/>
      <c r="LAM12" s="64"/>
      <c r="LAN12" s="64"/>
      <c r="LAO12" s="64"/>
      <c r="LAP12" s="64"/>
      <c r="LAQ12" s="64"/>
      <c r="LAR12" s="64"/>
      <c r="LAS12" s="64"/>
      <c r="LAT12" s="64"/>
      <c r="LAU12" s="64"/>
      <c r="LAV12" s="64"/>
      <c r="LAW12" s="64"/>
      <c r="LAX12" s="64"/>
      <c r="LAY12" s="64"/>
      <c r="LAZ12" s="64"/>
      <c r="LBA12" s="64"/>
      <c r="LBB12" s="64"/>
      <c r="LBC12" s="64"/>
      <c r="LBD12" s="64"/>
      <c r="LBE12" s="64"/>
      <c r="LBF12" s="64"/>
      <c r="LBG12" s="64"/>
      <c r="LBH12" s="64"/>
      <c r="LBI12" s="64"/>
      <c r="LBJ12" s="64"/>
      <c r="LBK12" s="64"/>
      <c r="LBL12" s="64"/>
      <c r="LBM12" s="64"/>
      <c r="LBN12" s="64"/>
      <c r="LBO12" s="64"/>
      <c r="LBP12" s="64"/>
      <c r="LBQ12" s="64"/>
      <c r="LBR12" s="64"/>
      <c r="LBS12" s="64"/>
      <c r="LBT12" s="64"/>
      <c r="LBU12" s="64"/>
      <c r="LBV12" s="64"/>
      <c r="LBW12" s="64"/>
      <c r="LBX12" s="64"/>
      <c r="LBY12" s="64"/>
      <c r="LBZ12" s="64"/>
      <c r="LCA12" s="64"/>
      <c r="LCB12" s="64"/>
      <c r="LCC12" s="64"/>
      <c r="LCD12" s="64"/>
      <c r="LCE12" s="64"/>
      <c r="LCF12" s="64"/>
      <c r="LCG12" s="64"/>
      <c r="LCH12" s="64"/>
      <c r="LCI12" s="64"/>
      <c r="LCJ12" s="64"/>
      <c r="LCK12" s="64"/>
      <c r="LCL12" s="64"/>
      <c r="LCM12" s="64"/>
      <c r="LCN12" s="64"/>
      <c r="LCO12" s="64"/>
      <c r="LCP12" s="64"/>
      <c r="LCQ12" s="64"/>
      <c r="LCR12" s="64"/>
      <c r="LCS12" s="64"/>
      <c r="LCT12" s="64"/>
      <c r="LCU12" s="64"/>
      <c r="LCV12" s="64"/>
      <c r="LCW12" s="64"/>
      <c r="LCX12" s="64"/>
      <c r="LCY12" s="64"/>
      <c r="LCZ12" s="64"/>
      <c r="LDA12" s="64"/>
      <c r="LDB12" s="64"/>
      <c r="LDC12" s="64"/>
      <c r="LDD12" s="64"/>
      <c r="LDE12" s="64"/>
      <c r="LDF12" s="64"/>
      <c r="LDG12" s="64"/>
      <c r="LDH12" s="64"/>
      <c r="LDI12" s="64"/>
      <c r="LDJ12" s="64"/>
      <c r="LDK12" s="64"/>
      <c r="LDL12" s="64"/>
      <c r="LDM12" s="64"/>
      <c r="LDN12" s="64"/>
      <c r="LDO12" s="64"/>
      <c r="LDP12" s="64"/>
      <c r="LDQ12" s="64"/>
      <c r="LDR12" s="64"/>
      <c r="LDS12" s="64"/>
      <c r="LDT12" s="64"/>
      <c r="LDU12" s="64"/>
      <c r="LDV12" s="64"/>
      <c r="LDW12" s="64"/>
      <c r="LDX12" s="64"/>
      <c r="LDY12" s="64"/>
      <c r="LDZ12" s="64"/>
      <c r="LEA12" s="64"/>
      <c r="LEB12" s="64"/>
      <c r="LEC12" s="64"/>
      <c r="LED12" s="64"/>
      <c r="LEE12" s="64"/>
      <c r="LEF12" s="64"/>
      <c r="LEG12" s="64"/>
      <c r="LEH12" s="64"/>
      <c r="LEI12" s="64"/>
      <c r="LEJ12" s="64"/>
      <c r="LEK12" s="64"/>
      <c r="LEL12" s="64"/>
      <c r="LEM12" s="64"/>
      <c r="LEN12" s="64"/>
      <c r="LEO12" s="64"/>
      <c r="LEP12" s="64"/>
      <c r="LEQ12" s="64"/>
      <c r="LER12" s="64"/>
      <c r="LES12" s="64"/>
      <c r="LET12" s="64"/>
      <c r="LEU12" s="64"/>
      <c r="LEV12" s="64"/>
      <c r="LEW12" s="64"/>
      <c r="LEX12" s="64"/>
      <c r="LEY12" s="64"/>
      <c r="LEZ12" s="64"/>
      <c r="LFA12" s="64"/>
      <c r="LFB12" s="64"/>
      <c r="LFC12" s="64"/>
      <c r="LFD12" s="64"/>
      <c r="LFE12" s="64"/>
      <c r="LFF12" s="64"/>
      <c r="LFG12" s="64"/>
      <c r="LFH12" s="64"/>
      <c r="LFI12" s="64"/>
      <c r="LFJ12" s="64"/>
      <c r="LFK12" s="64"/>
      <c r="LFL12" s="64"/>
      <c r="LFM12" s="64"/>
      <c r="LFN12" s="64"/>
      <c r="LFO12" s="64"/>
      <c r="LFP12" s="64"/>
      <c r="LFQ12" s="64"/>
      <c r="LFR12" s="64"/>
      <c r="LFS12" s="64"/>
      <c r="LFT12" s="64"/>
      <c r="LFU12" s="64"/>
      <c r="LFV12" s="64"/>
      <c r="LFW12" s="64"/>
      <c r="LFX12" s="64"/>
      <c r="LFY12" s="64"/>
      <c r="LFZ12" s="64"/>
      <c r="LGA12" s="64"/>
      <c r="LGB12" s="64"/>
      <c r="LGC12" s="64"/>
      <c r="LGD12" s="64"/>
      <c r="LGE12" s="64"/>
      <c r="LGF12" s="64"/>
      <c r="LGG12" s="64"/>
      <c r="LGH12" s="64"/>
      <c r="LGI12" s="64"/>
      <c r="LGJ12" s="64"/>
      <c r="LGK12" s="64"/>
      <c r="LGL12" s="64"/>
      <c r="LGM12" s="64"/>
      <c r="LGN12" s="64"/>
      <c r="LGO12" s="64"/>
      <c r="LGP12" s="64"/>
      <c r="LGQ12" s="64"/>
      <c r="LGR12" s="64"/>
      <c r="LGS12" s="64"/>
      <c r="LGT12" s="64"/>
      <c r="LGU12" s="64"/>
      <c r="LGV12" s="64"/>
      <c r="LGW12" s="64"/>
      <c r="LGX12" s="64"/>
      <c r="LGY12" s="64"/>
      <c r="LGZ12" s="64"/>
      <c r="LHA12" s="64"/>
      <c r="LHB12" s="64"/>
      <c r="LHC12" s="64"/>
      <c r="LHD12" s="64"/>
      <c r="LHE12" s="64"/>
      <c r="LHF12" s="64"/>
      <c r="LHG12" s="64"/>
      <c r="LHH12" s="64"/>
      <c r="LHI12" s="64"/>
      <c r="LHJ12" s="64"/>
      <c r="LHK12" s="64"/>
      <c r="LHL12" s="64"/>
      <c r="LHM12" s="64"/>
      <c r="LHN12" s="64"/>
      <c r="LHO12" s="64"/>
      <c r="LHP12" s="64"/>
      <c r="LHQ12" s="64"/>
      <c r="LHR12" s="64"/>
      <c r="LHS12" s="64"/>
      <c r="LHT12" s="64"/>
      <c r="LHU12" s="64"/>
      <c r="LHV12" s="64"/>
      <c r="LHW12" s="64"/>
      <c r="LHX12" s="64"/>
      <c r="LHY12" s="64"/>
      <c r="LHZ12" s="64"/>
      <c r="LIA12" s="64"/>
      <c r="LIB12" s="64"/>
      <c r="LIC12" s="64"/>
      <c r="LID12" s="64"/>
      <c r="LIE12" s="64"/>
      <c r="LIF12" s="64"/>
      <c r="LIG12" s="64"/>
      <c r="LIH12" s="64"/>
      <c r="LII12" s="64"/>
      <c r="LIJ12" s="64"/>
      <c r="LIK12" s="64"/>
      <c r="LIL12" s="64"/>
      <c r="LIM12" s="64"/>
      <c r="LIN12" s="64"/>
      <c r="LIO12" s="64"/>
      <c r="LIP12" s="64"/>
      <c r="LIQ12" s="64"/>
      <c r="LIR12" s="64"/>
      <c r="LIS12" s="64"/>
      <c r="LIT12" s="64"/>
      <c r="LIU12" s="64"/>
      <c r="LIV12" s="64"/>
      <c r="LIW12" s="64"/>
      <c r="LIX12" s="64"/>
      <c r="LIY12" s="64"/>
      <c r="LIZ12" s="64"/>
      <c r="LJA12" s="64"/>
      <c r="LJB12" s="64"/>
      <c r="LJC12" s="64"/>
      <c r="LJD12" s="64"/>
      <c r="LJE12" s="64"/>
      <c r="LJF12" s="64"/>
      <c r="LJG12" s="64"/>
      <c r="LJH12" s="64"/>
      <c r="LJI12" s="64"/>
      <c r="LJJ12" s="64"/>
      <c r="LJK12" s="64"/>
      <c r="LJL12" s="64"/>
      <c r="LJM12" s="64"/>
      <c r="LJN12" s="64"/>
      <c r="LJO12" s="64"/>
      <c r="LJP12" s="64"/>
      <c r="LJQ12" s="64"/>
      <c r="LJR12" s="64"/>
      <c r="LJS12" s="64"/>
      <c r="LJT12" s="64"/>
      <c r="LJU12" s="64"/>
      <c r="LJV12" s="64"/>
      <c r="LJW12" s="64"/>
      <c r="LJX12" s="64"/>
      <c r="LJY12" s="64"/>
      <c r="LJZ12" s="64"/>
      <c r="LKA12" s="64"/>
      <c r="LKB12" s="64"/>
      <c r="LKC12" s="64"/>
      <c r="LKD12" s="64"/>
      <c r="LKE12" s="64"/>
      <c r="LKF12" s="64"/>
      <c r="LKG12" s="64"/>
      <c r="LKH12" s="64"/>
      <c r="LKI12" s="64"/>
      <c r="LKJ12" s="64"/>
      <c r="LKK12" s="64"/>
      <c r="LKL12" s="64"/>
      <c r="LKM12" s="64"/>
      <c r="LKN12" s="64"/>
      <c r="LKO12" s="64"/>
      <c r="LKP12" s="64"/>
      <c r="LKQ12" s="64"/>
      <c r="LKR12" s="64"/>
      <c r="LKS12" s="64"/>
      <c r="LKT12" s="64"/>
      <c r="LKU12" s="64"/>
      <c r="LKV12" s="64"/>
      <c r="LKW12" s="64"/>
      <c r="LKX12" s="64"/>
      <c r="LKY12" s="64"/>
      <c r="LKZ12" s="64"/>
      <c r="LLA12" s="64"/>
      <c r="LLB12" s="64"/>
      <c r="LLC12" s="64"/>
      <c r="LLD12" s="64"/>
      <c r="LLE12" s="64"/>
      <c r="LLF12" s="64"/>
      <c r="LLG12" s="64"/>
      <c r="LLH12" s="64"/>
      <c r="LLI12" s="64"/>
      <c r="LLJ12" s="64"/>
      <c r="LLK12" s="64"/>
      <c r="LLL12" s="64"/>
      <c r="LLM12" s="64"/>
      <c r="LLN12" s="64"/>
      <c r="LLO12" s="64"/>
      <c r="LLP12" s="64"/>
      <c r="LLQ12" s="64"/>
      <c r="LLR12" s="64"/>
      <c r="LLS12" s="64"/>
      <c r="LLT12" s="64"/>
      <c r="LLU12" s="64"/>
      <c r="LLV12" s="64"/>
      <c r="LLW12" s="64"/>
      <c r="LLX12" s="64"/>
      <c r="LLY12" s="64"/>
      <c r="LLZ12" s="64"/>
      <c r="LMA12" s="64"/>
      <c r="LMB12" s="64"/>
      <c r="LMC12" s="64"/>
      <c r="LMD12" s="64"/>
      <c r="LME12" s="64"/>
      <c r="LMF12" s="64"/>
      <c r="LMG12" s="64"/>
      <c r="LMH12" s="64"/>
      <c r="LMI12" s="64"/>
      <c r="LMJ12" s="64"/>
      <c r="LMK12" s="64"/>
      <c r="LML12" s="64"/>
      <c r="LMM12" s="64"/>
      <c r="LMN12" s="64"/>
      <c r="LMO12" s="64"/>
      <c r="LMP12" s="64"/>
      <c r="LMQ12" s="64"/>
      <c r="LMR12" s="64"/>
      <c r="LMS12" s="64"/>
      <c r="LMT12" s="64"/>
      <c r="LMU12" s="64"/>
      <c r="LMV12" s="64"/>
      <c r="LMW12" s="64"/>
      <c r="LMX12" s="64"/>
      <c r="LMY12" s="64"/>
      <c r="LMZ12" s="64"/>
      <c r="LNA12" s="64"/>
      <c r="LNB12" s="64"/>
      <c r="LNC12" s="64"/>
      <c r="LND12" s="64"/>
      <c r="LNE12" s="64"/>
      <c r="LNF12" s="64"/>
      <c r="LNG12" s="64"/>
      <c r="LNH12" s="64"/>
      <c r="LNI12" s="64"/>
      <c r="LNJ12" s="64"/>
      <c r="LNK12" s="64"/>
      <c r="LNL12" s="64"/>
      <c r="LNM12" s="64"/>
      <c r="LNN12" s="64"/>
      <c r="LNO12" s="64"/>
      <c r="LNP12" s="64"/>
      <c r="LNQ12" s="64"/>
      <c r="LNR12" s="64"/>
      <c r="LNS12" s="64"/>
      <c r="LNT12" s="64"/>
      <c r="LNU12" s="64"/>
      <c r="LNV12" s="64"/>
      <c r="LNW12" s="64"/>
      <c r="LNX12" s="64"/>
      <c r="LNY12" s="64"/>
      <c r="LNZ12" s="64"/>
      <c r="LOA12" s="64"/>
      <c r="LOB12" s="64"/>
      <c r="LOC12" s="64"/>
      <c r="LOD12" s="64"/>
      <c r="LOE12" s="64"/>
      <c r="LOF12" s="64"/>
      <c r="LOG12" s="64"/>
      <c r="LOH12" s="64"/>
      <c r="LOI12" s="64"/>
      <c r="LOJ12" s="64"/>
      <c r="LOK12" s="64"/>
      <c r="LOL12" s="64"/>
      <c r="LOM12" s="64"/>
      <c r="LON12" s="64"/>
      <c r="LOO12" s="64"/>
      <c r="LOP12" s="64"/>
      <c r="LOQ12" s="64"/>
      <c r="LOR12" s="64"/>
      <c r="LOS12" s="64"/>
      <c r="LOT12" s="64"/>
      <c r="LOU12" s="64"/>
      <c r="LOV12" s="64"/>
      <c r="LOW12" s="64"/>
      <c r="LOX12" s="64"/>
      <c r="LOY12" s="64"/>
      <c r="LOZ12" s="64"/>
      <c r="LPA12" s="64"/>
      <c r="LPB12" s="64"/>
      <c r="LPC12" s="64"/>
      <c r="LPD12" s="64"/>
      <c r="LPE12" s="64"/>
      <c r="LPF12" s="64"/>
      <c r="LPG12" s="64"/>
      <c r="LPH12" s="64"/>
      <c r="LPI12" s="64"/>
      <c r="LPJ12" s="64"/>
      <c r="LPK12" s="64"/>
      <c r="LPL12" s="64"/>
      <c r="LPM12" s="64"/>
      <c r="LPN12" s="64"/>
      <c r="LPO12" s="64"/>
      <c r="LPP12" s="64"/>
      <c r="LPQ12" s="64"/>
      <c r="LPR12" s="64"/>
      <c r="LPS12" s="64"/>
      <c r="LPT12" s="64"/>
      <c r="LPU12" s="64"/>
      <c r="LPV12" s="64"/>
      <c r="LPW12" s="64"/>
      <c r="LPX12" s="64"/>
      <c r="LPY12" s="64"/>
      <c r="LPZ12" s="64"/>
      <c r="LQA12" s="64"/>
      <c r="LQB12" s="64"/>
      <c r="LQC12" s="64"/>
      <c r="LQD12" s="64"/>
      <c r="LQE12" s="64"/>
      <c r="LQF12" s="64"/>
      <c r="LQG12" s="64"/>
      <c r="LQH12" s="64"/>
      <c r="LQI12" s="64"/>
      <c r="LQJ12" s="64"/>
      <c r="LQK12" s="64"/>
      <c r="LQL12" s="64"/>
      <c r="LQM12" s="64"/>
      <c r="LQN12" s="64"/>
      <c r="LQO12" s="64"/>
      <c r="LQP12" s="64"/>
      <c r="LQQ12" s="64"/>
      <c r="LQR12" s="64"/>
      <c r="LQS12" s="64"/>
      <c r="LQT12" s="64"/>
      <c r="LQU12" s="64"/>
      <c r="LQV12" s="64"/>
      <c r="LQW12" s="64"/>
      <c r="LQX12" s="64"/>
      <c r="LQY12" s="64"/>
      <c r="LQZ12" s="64"/>
      <c r="LRA12" s="64"/>
      <c r="LRB12" s="64"/>
      <c r="LRC12" s="64"/>
      <c r="LRD12" s="64"/>
      <c r="LRE12" s="64"/>
      <c r="LRF12" s="64"/>
      <c r="LRG12" s="64"/>
      <c r="LRH12" s="64"/>
      <c r="LRI12" s="64"/>
      <c r="LRJ12" s="64"/>
      <c r="LRK12" s="64"/>
      <c r="LRL12" s="64"/>
      <c r="LRM12" s="64"/>
      <c r="LRN12" s="64"/>
      <c r="LRO12" s="64"/>
      <c r="LRP12" s="64"/>
      <c r="LRQ12" s="64"/>
      <c r="LRR12" s="64"/>
      <c r="LRS12" s="64"/>
      <c r="LRT12" s="64"/>
      <c r="LRU12" s="64"/>
      <c r="LRV12" s="64"/>
      <c r="LRW12" s="64"/>
      <c r="LRX12" s="64"/>
      <c r="LRY12" s="64"/>
      <c r="LRZ12" s="64"/>
      <c r="LSA12" s="64"/>
      <c r="LSB12" s="64"/>
      <c r="LSC12" s="64"/>
      <c r="LSD12" s="64"/>
      <c r="LSE12" s="64"/>
      <c r="LSF12" s="64"/>
      <c r="LSG12" s="64"/>
      <c r="LSH12" s="64"/>
      <c r="LSI12" s="64"/>
      <c r="LSJ12" s="64"/>
      <c r="LSK12" s="64"/>
      <c r="LSL12" s="64"/>
      <c r="LSM12" s="64"/>
      <c r="LSN12" s="64"/>
      <c r="LSO12" s="64"/>
      <c r="LSP12" s="64"/>
      <c r="LSQ12" s="64"/>
      <c r="LSR12" s="64"/>
      <c r="LSS12" s="64"/>
      <c r="LST12" s="64"/>
      <c r="LSU12" s="64"/>
      <c r="LSV12" s="64"/>
      <c r="LSW12" s="64"/>
      <c r="LSX12" s="64"/>
      <c r="LSY12" s="64"/>
      <c r="LSZ12" s="64"/>
      <c r="LTA12" s="64"/>
      <c r="LTB12" s="64"/>
      <c r="LTC12" s="64"/>
      <c r="LTD12" s="64"/>
      <c r="LTE12" s="64"/>
      <c r="LTF12" s="64"/>
      <c r="LTG12" s="64"/>
      <c r="LTH12" s="64"/>
      <c r="LTI12" s="64"/>
      <c r="LTJ12" s="64"/>
      <c r="LTK12" s="64"/>
      <c r="LTL12" s="64"/>
      <c r="LTM12" s="64"/>
      <c r="LTN12" s="64"/>
      <c r="LTO12" s="64"/>
      <c r="LTP12" s="64"/>
      <c r="LTQ12" s="64"/>
      <c r="LTR12" s="64"/>
      <c r="LTS12" s="64"/>
      <c r="LTT12" s="64"/>
      <c r="LTU12" s="64"/>
      <c r="LTV12" s="64"/>
      <c r="LTW12" s="64"/>
      <c r="LTX12" s="64"/>
      <c r="LTY12" s="64"/>
      <c r="LTZ12" s="64"/>
      <c r="LUA12" s="64"/>
      <c r="LUB12" s="64"/>
      <c r="LUC12" s="64"/>
      <c r="LUD12" s="64"/>
      <c r="LUE12" s="64"/>
      <c r="LUF12" s="64"/>
      <c r="LUG12" s="64"/>
      <c r="LUH12" s="64"/>
      <c r="LUI12" s="64"/>
      <c r="LUJ12" s="64"/>
      <c r="LUK12" s="64"/>
      <c r="LUL12" s="64"/>
      <c r="LUM12" s="64"/>
      <c r="LUN12" s="64"/>
      <c r="LUO12" s="64"/>
      <c r="LUP12" s="64"/>
      <c r="LUQ12" s="64"/>
      <c r="LUR12" s="64"/>
      <c r="LUS12" s="64"/>
      <c r="LUT12" s="64"/>
      <c r="LUU12" s="64"/>
      <c r="LUV12" s="64"/>
      <c r="LUW12" s="64"/>
      <c r="LUX12" s="64"/>
      <c r="LUY12" s="64"/>
      <c r="LUZ12" s="64"/>
      <c r="LVA12" s="64"/>
      <c r="LVB12" s="64"/>
      <c r="LVC12" s="64"/>
      <c r="LVD12" s="64"/>
      <c r="LVE12" s="64"/>
      <c r="LVF12" s="64"/>
      <c r="LVG12" s="64"/>
      <c r="LVH12" s="64"/>
      <c r="LVI12" s="64"/>
      <c r="LVJ12" s="64"/>
      <c r="LVK12" s="64"/>
      <c r="LVL12" s="64"/>
      <c r="LVM12" s="64"/>
      <c r="LVN12" s="64"/>
      <c r="LVO12" s="64"/>
      <c r="LVP12" s="64"/>
      <c r="LVQ12" s="64"/>
      <c r="LVR12" s="64"/>
      <c r="LVS12" s="64"/>
      <c r="LVT12" s="64"/>
      <c r="LVU12" s="64"/>
      <c r="LVV12" s="64"/>
      <c r="LVW12" s="64"/>
      <c r="LVX12" s="64"/>
      <c r="LVY12" s="64"/>
      <c r="LVZ12" s="64"/>
      <c r="LWA12" s="64"/>
      <c r="LWB12" s="64"/>
      <c r="LWC12" s="64"/>
      <c r="LWD12" s="64"/>
      <c r="LWE12" s="64"/>
      <c r="LWF12" s="64"/>
      <c r="LWG12" s="64"/>
      <c r="LWH12" s="64"/>
      <c r="LWI12" s="64"/>
      <c r="LWJ12" s="64"/>
      <c r="LWK12" s="64"/>
      <c r="LWL12" s="64"/>
      <c r="LWM12" s="64"/>
      <c r="LWN12" s="64"/>
      <c r="LWO12" s="64"/>
      <c r="LWP12" s="64"/>
      <c r="LWQ12" s="64"/>
      <c r="LWR12" s="64"/>
      <c r="LWS12" s="64"/>
      <c r="LWT12" s="64"/>
      <c r="LWU12" s="64"/>
      <c r="LWV12" s="64"/>
      <c r="LWW12" s="64"/>
      <c r="LWX12" s="64"/>
      <c r="LWY12" s="64"/>
      <c r="LWZ12" s="64"/>
      <c r="LXA12" s="64"/>
      <c r="LXB12" s="64"/>
      <c r="LXC12" s="64"/>
      <c r="LXD12" s="64"/>
      <c r="LXE12" s="64"/>
      <c r="LXF12" s="64"/>
      <c r="LXG12" s="64"/>
      <c r="LXH12" s="64"/>
      <c r="LXI12" s="64"/>
      <c r="LXJ12" s="64"/>
      <c r="LXK12" s="64"/>
      <c r="LXL12" s="64"/>
      <c r="LXM12" s="64"/>
      <c r="LXN12" s="64"/>
      <c r="LXO12" s="64"/>
      <c r="LXP12" s="64"/>
      <c r="LXQ12" s="64"/>
      <c r="LXR12" s="64"/>
      <c r="LXS12" s="64"/>
      <c r="LXT12" s="64"/>
      <c r="LXU12" s="64"/>
      <c r="LXV12" s="64"/>
      <c r="LXW12" s="64"/>
      <c r="LXX12" s="64"/>
      <c r="LXY12" s="64"/>
      <c r="LXZ12" s="64"/>
      <c r="LYA12" s="64"/>
      <c r="LYB12" s="64"/>
      <c r="LYC12" s="64"/>
      <c r="LYD12" s="64"/>
      <c r="LYE12" s="64"/>
      <c r="LYF12" s="64"/>
      <c r="LYG12" s="64"/>
      <c r="LYH12" s="64"/>
      <c r="LYI12" s="64"/>
      <c r="LYJ12" s="64"/>
      <c r="LYK12" s="64"/>
      <c r="LYL12" s="64"/>
      <c r="LYM12" s="64"/>
      <c r="LYN12" s="64"/>
      <c r="LYO12" s="64"/>
      <c r="LYP12" s="64"/>
      <c r="LYQ12" s="64"/>
      <c r="LYR12" s="64"/>
      <c r="LYS12" s="64"/>
      <c r="LYT12" s="64"/>
      <c r="LYU12" s="64"/>
      <c r="LYV12" s="64"/>
      <c r="LYW12" s="64"/>
      <c r="LYX12" s="64"/>
      <c r="LYY12" s="64"/>
      <c r="LYZ12" s="64"/>
      <c r="LZA12" s="64"/>
      <c r="LZB12" s="64"/>
      <c r="LZC12" s="64"/>
      <c r="LZD12" s="64"/>
      <c r="LZE12" s="64"/>
      <c r="LZF12" s="64"/>
      <c r="LZG12" s="64"/>
      <c r="LZH12" s="64"/>
      <c r="LZI12" s="64"/>
      <c r="LZJ12" s="64"/>
      <c r="LZK12" s="64"/>
      <c r="LZL12" s="64"/>
      <c r="LZM12" s="64"/>
      <c r="LZN12" s="64"/>
      <c r="LZO12" s="64"/>
      <c r="LZP12" s="64"/>
      <c r="LZQ12" s="64"/>
      <c r="LZR12" s="64"/>
      <c r="LZS12" s="64"/>
      <c r="LZT12" s="64"/>
      <c r="LZU12" s="64"/>
      <c r="LZV12" s="64"/>
      <c r="LZW12" s="64"/>
      <c r="LZX12" s="64"/>
      <c r="LZY12" s="64"/>
      <c r="LZZ12" s="64"/>
      <c r="MAA12" s="64"/>
      <c r="MAB12" s="64"/>
      <c r="MAC12" s="64"/>
      <c r="MAD12" s="64"/>
      <c r="MAE12" s="64"/>
      <c r="MAF12" s="64"/>
      <c r="MAG12" s="64"/>
      <c r="MAH12" s="64"/>
      <c r="MAI12" s="64"/>
      <c r="MAJ12" s="64"/>
      <c r="MAK12" s="64"/>
      <c r="MAL12" s="64"/>
      <c r="MAM12" s="64"/>
      <c r="MAN12" s="64"/>
      <c r="MAO12" s="64"/>
      <c r="MAP12" s="64"/>
      <c r="MAQ12" s="64"/>
      <c r="MAR12" s="64"/>
      <c r="MAS12" s="64"/>
      <c r="MAT12" s="64"/>
      <c r="MAU12" s="64"/>
      <c r="MAV12" s="64"/>
      <c r="MAW12" s="64"/>
      <c r="MAX12" s="64"/>
      <c r="MAY12" s="64"/>
      <c r="MAZ12" s="64"/>
      <c r="MBA12" s="64"/>
      <c r="MBB12" s="64"/>
      <c r="MBC12" s="64"/>
      <c r="MBD12" s="64"/>
      <c r="MBE12" s="64"/>
      <c r="MBF12" s="64"/>
      <c r="MBG12" s="64"/>
      <c r="MBH12" s="64"/>
      <c r="MBI12" s="64"/>
      <c r="MBJ12" s="64"/>
      <c r="MBK12" s="64"/>
      <c r="MBL12" s="64"/>
      <c r="MBM12" s="64"/>
      <c r="MBN12" s="64"/>
      <c r="MBO12" s="64"/>
      <c r="MBP12" s="64"/>
      <c r="MBQ12" s="64"/>
      <c r="MBR12" s="64"/>
      <c r="MBS12" s="64"/>
      <c r="MBT12" s="64"/>
      <c r="MBU12" s="64"/>
      <c r="MBV12" s="64"/>
      <c r="MBW12" s="64"/>
      <c r="MBX12" s="64"/>
      <c r="MBY12" s="64"/>
      <c r="MBZ12" s="64"/>
      <c r="MCA12" s="64"/>
      <c r="MCB12" s="64"/>
      <c r="MCC12" s="64"/>
      <c r="MCD12" s="64"/>
      <c r="MCE12" s="64"/>
      <c r="MCF12" s="64"/>
      <c r="MCG12" s="64"/>
      <c r="MCH12" s="64"/>
      <c r="MCI12" s="64"/>
      <c r="MCJ12" s="64"/>
      <c r="MCK12" s="64"/>
      <c r="MCL12" s="64"/>
      <c r="MCM12" s="64"/>
      <c r="MCN12" s="64"/>
      <c r="MCO12" s="64"/>
      <c r="MCP12" s="64"/>
      <c r="MCQ12" s="64"/>
      <c r="MCR12" s="64"/>
      <c r="MCS12" s="64"/>
      <c r="MCT12" s="64"/>
      <c r="MCU12" s="64"/>
      <c r="MCV12" s="64"/>
      <c r="MCW12" s="64"/>
      <c r="MCX12" s="64"/>
      <c r="MCY12" s="64"/>
      <c r="MCZ12" s="64"/>
      <c r="MDA12" s="64"/>
      <c r="MDB12" s="64"/>
      <c r="MDC12" s="64"/>
      <c r="MDD12" s="64"/>
      <c r="MDE12" s="64"/>
      <c r="MDF12" s="64"/>
      <c r="MDG12" s="64"/>
      <c r="MDH12" s="64"/>
      <c r="MDI12" s="64"/>
      <c r="MDJ12" s="64"/>
      <c r="MDK12" s="64"/>
      <c r="MDL12" s="64"/>
      <c r="MDM12" s="64"/>
      <c r="MDN12" s="64"/>
      <c r="MDO12" s="64"/>
      <c r="MDP12" s="64"/>
      <c r="MDQ12" s="64"/>
      <c r="MDR12" s="64"/>
      <c r="MDS12" s="64"/>
      <c r="MDT12" s="64"/>
      <c r="MDU12" s="64"/>
      <c r="MDV12" s="64"/>
      <c r="MDW12" s="64"/>
      <c r="MDX12" s="64"/>
      <c r="MDY12" s="64"/>
      <c r="MDZ12" s="64"/>
      <c r="MEA12" s="64"/>
      <c r="MEB12" s="64"/>
      <c r="MEC12" s="64"/>
      <c r="MED12" s="64"/>
      <c r="MEE12" s="64"/>
      <c r="MEF12" s="64"/>
      <c r="MEG12" s="64"/>
      <c r="MEH12" s="64"/>
      <c r="MEI12" s="64"/>
      <c r="MEJ12" s="64"/>
      <c r="MEK12" s="64"/>
      <c r="MEL12" s="64"/>
      <c r="MEM12" s="64"/>
      <c r="MEN12" s="64"/>
      <c r="MEO12" s="64"/>
      <c r="MEP12" s="64"/>
      <c r="MEQ12" s="64"/>
      <c r="MER12" s="64"/>
      <c r="MES12" s="64"/>
      <c r="MET12" s="64"/>
      <c r="MEU12" s="64"/>
      <c r="MEV12" s="64"/>
      <c r="MEW12" s="64"/>
      <c r="MEX12" s="64"/>
      <c r="MEY12" s="64"/>
      <c r="MEZ12" s="64"/>
      <c r="MFA12" s="64"/>
      <c r="MFB12" s="64"/>
      <c r="MFC12" s="64"/>
      <c r="MFD12" s="64"/>
      <c r="MFE12" s="64"/>
      <c r="MFF12" s="64"/>
      <c r="MFG12" s="64"/>
      <c r="MFH12" s="64"/>
      <c r="MFI12" s="64"/>
      <c r="MFJ12" s="64"/>
      <c r="MFK12" s="64"/>
      <c r="MFL12" s="64"/>
      <c r="MFM12" s="64"/>
      <c r="MFN12" s="64"/>
      <c r="MFO12" s="64"/>
      <c r="MFP12" s="64"/>
      <c r="MFQ12" s="64"/>
      <c r="MFR12" s="64"/>
      <c r="MFS12" s="64"/>
      <c r="MFT12" s="64"/>
      <c r="MFU12" s="64"/>
      <c r="MFV12" s="64"/>
      <c r="MFW12" s="64"/>
      <c r="MFX12" s="64"/>
      <c r="MFY12" s="64"/>
      <c r="MFZ12" s="64"/>
      <c r="MGA12" s="64"/>
      <c r="MGB12" s="64"/>
      <c r="MGC12" s="64"/>
      <c r="MGD12" s="64"/>
      <c r="MGE12" s="64"/>
      <c r="MGF12" s="64"/>
      <c r="MGG12" s="64"/>
      <c r="MGH12" s="64"/>
      <c r="MGI12" s="64"/>
      <c r="MGJ12" s="64"/>
      <c r="MGK12" s="64"/>
      <c r="MGL12" s="64"/>
      <c r="MGM12" s="64"/>
      <c r="MGN12" s="64"/>
      <c r="MGO12" s="64"/>
      <c r="MGP12" s="64"/>
      <c r="MGQ12" s="64"/>
      <c r="MGR12" s="64"/>
      <c r="MGS12" s="64"/>
      <c r="MGT12" s="64"/>
      <c r="MGU12" s="64"/>
      <c r="MGV12" s="64"/>
      <c r="MGW12" s="64"/>
      <c r="MGX12" s="64"/>
      <c r="MGY12" s="64"/>
      <c r="MGZ12" s="64"/>
      <c r="MHA12" s="64"/>
      <c r="MHB12" s="64"/>
      <c r="MHC12" s="64"/>
      <c r="MHD12" s="64"/>
      <c r="MHE12" s="64"/>
      <c r="MHF12" s="64"/>
      <c r="MHG12" s="64"/>
      <c r="MHH12" s="64"/>
      <c r="MHI12" s="64"/>
      <c r="MHJ12" s="64"/>
      <c r="MHK12" s="64"/>
      <c r="MHL12" s="64"/>
      <c r="MHM12" s="64"/>
      <c r="MHN12" s="64"/>
      <c r="MHO12" s="64"/>
      <c r="MHP12" s="64"/>
      <c r="MHQ12" s="64"/>
      <c r="MHR12" s="64"/>
      <c r="MHS12" s="64"/>
      <c r="MHT12" s="64"/>
      <c r="MHU12" s="64"/>
      <c r="MHV12" s="64"/>
      <c r="MHW12" s="64"/>
      <c r="MHX12" s="64"/>
      <c r="MHY12" s="64"/>
      <c r="MHZ12" s="64"/>
      <c r="MIA12" s="64"/>
      <c r="MIB12" s="64"/>
      <c r="MIC12" s="64"/>
      <c r="MID12" s="64"/>
      <c r="MIE12" s="64"/>
      <c r="MIF12" s="64"/>
      <c r="MIG12" s="64"/>
      <c r="MIH12" s="64"/>
      <c r="MII12" s="64"/>
      <c r="MIJ12" s="64"/>
      <c r="MIK12" s="64"/>
      <c r="MIL12" s="64"/>
      <c r="MIM12" s="64"/>
      <c r="MIN12" s="64"/>
      <c r="MIO12" s="64"/>
      <c r="MIP12" s="64"/>
      <c r="MIQ12" s="64"/>
      <c r="MIR12" s="64"/>
      <c r="MIS12" s="64"/>
      <c r="MIT12" s="64"/>
      <c r="MIU12" s="64"/>
      <c r="MIV12" s="64"/>
      <c r="MIW12" s="64"/>
      <c r="MIX12" s="64"/>
      <c r="MIY12" s="64"/>
      <c r="MIZ12" s="64"/>
      <c r="MJA12" s="64"/>
      <c r="MJB12" s="64"/>
      <c r="MJC12" s="64"/>
      <c r="MJD12" s="64"/>
      <c r="MJE12" s="64"/>
      <c r="MJF12" s="64"/>
      <c r="MJG12" s="64"/>
      <c r="MJH12" s="64"/>
      <c r="MJI12" s="64"/>
      <c r="MJJ12" s="64"/>
      <c r="MJK12" s="64"/>
      <c r="MJL12" s="64"/>
      <c r="MJM12" s="64"/>
      <c r="MJN12" s="64"/>
      <c r="MJO12" s="64"/>
      <c r="MJP12" s="64"/>
      <c r="MJQ12" s="64"/>
      <c r="MJR12" s="64"/>
      <c r="MJS12" s="64"/>
      <c r="MJT12" s="64"/>
      <c r="MJU12" s="64"/>
      <c r="MJV12" s="64"/>
      <c r="MJW12" s="64"/>
      <c r="MJX12" s="64"/>
      <c r="MJY12" s="64"/>
      <c r="MJZ12" s="64"/>
      <c r="MKA12" s="64"/>
      <c r="MKB12" s="64"/>
      <c r="MKC12" s="64"/>
      <c r="MKD12" s="64"/>
      <c r="MKE12" s="64"/>
      <c r="MKF12" s="64"/>
      <c r="MKG12" s="64"/>
      <c r="MKH12" s="64"/>
      <c r="MKI12" s="64"/>
      <c r="MKJ12" s="64"/>
      <c r="MKK12" s="64"/>
      <c r="MKL12" s="64"/>
      <c r="MKM12" s="64"/>
      <c r="MKN12" s="64"/>
      <c r="MKO12" s="64"/>
      <c r="MKP12" s="64"/>
      <c r="MKQ12" s="64"/>
      <c r="MKR12" s="64"/>
      <c r="MKS12" s="64"/>
      <c r="MKT12" s="64"/>
      <c r="MKU12" s="64"/>
      <c r="MKV12" s="64"/>
      <c r="MKW12" s="64"/>
      <c r="MKX12" s="64"/>
      <c r="MKY12" s="64"/>
      <c r="MKZ12" s="64"/>
      <c r="MLA12" s="64"/>
      <c r="MLB12" s="64"/>
      <c r="MLC12" s="64"/>
      <c r="MLD12" s="64"/>
      <c r="MLE12" s="64"/>
      <c r="MLF12" s="64"/>
      <c r="MLG12" s="64"/>
      <c r="MLH12" s="64"/>
      <c r="MLI12" s="64"/>
      <c r="MLJ12" s="64"/>
      <c r="MLK12" s="64"/>
      <c r="MLL12" s="64"/>
      <c r="MLM12" s="64"/>
      <c r="MLN12" s="64"/>
      <c r="MLO12" s="64"/>
      <c r="MLP12" s="64"/>
      <c r="MLQ12" s="64"/>
      <c r="MLR12" s="64"/>
      <c r="MLS12" s="64"/>
      <c r="MLT12" s="64"/>
      <c r="MLU12" s="64"/>
      <c r="MLV12" s="64"/>
      <c r="MLW12" s="64"/>
      <c r="MLX12" s="64"/>
      <c r="MLY12" s="64"/>
      <c r="MLZ12" s="64"/>
      <c r="MMA12" s="64"/>
      <c r="MMB12" s="64"/>
      <c r="MMC12" s="64"/>
      <c r="MMD12" s="64"/>
      <c r="MME12" s="64"/>
      <c r="MMF12" s="64"/>
      <c r="MMG12" s="64"/>
      <c r="MMH12" s="64"/>
      <c r="MMI12" s="64"/>
      <c r="MMJ12" s="64"/>
      <c r="MMK12" s="64"/>
      <c r="MML12" s="64"/>
      <c r="MMM12" s="64"/>
      <c r="MMN12" s="64"/>
      <c r="MMO12" s="64"/>
      <c r="MMP12" s="64"/>
      <c r="MMQ12" s="64"/>
      <c r="MMR12" s="64"/>
      <c r="MMS12" s="64"/>
      <c r="MMT12" s="64"/>
      <c r="MMU12" s="64"/>
      <c r="MMV12" s="64"/>
      <c r="MMW12" s="64"/>
      <c r="MMX12" s="64"/>
      <c r="MMY12" s="64"/>
      <c r="MMZ12" s="64"/>
      <c r="MNA12" s="64"/>
      <c r="MNB12" s="64"/>
      <c r="MNC12" s="64"/>
      <c r="MND12" s="64"/>
      <c r="MNE12" s="64"/>
      <c r="MNF12" s="64"/>
      <c r="MNG12" s="64"/>
      <c r="MNH12" s="64"/>
      <c r="MNI12" s="64"/>
      <c r="MNJ12" s="64"/>
      <c r="MNK12" s="64"/>
      <c r="MNL12" s="64"/>
      <c r="MNM12" s="64"/>
      <c r="MNN12" s="64"/>
      <c r="MNO12" s="64"/>
      <c r="MNP12" s="64"/>
      <c r="MNQ12" s="64"/>
      <c r="MNR12" s="64"/>
      <c r="MNS12" s="64"/>
      <c r="MNT12" s="64"/>
      <c r="MNU12" s="64"/>
      <c r="MNV12" s="64"/>
      <c r="MNW12" s="64"/>
      <c r="MNX12" s="64"/>
      <c r="MNY12" s="64"/>
      <c r="MNZ12" s="64"/>
      <c r="MOA12" s="64"/>
      <c r="MOB12" s="64"/>
      <c r="MOC12" s="64"/>
      <c r="MOD12" s="64"/>
      <c r="MOE12" s="64"/>
      <c r="MOF12" s="64"/>
      <c r="MOG12" s="64"/>
      <c r="MOH12" s="64"/>
      <c r="MOI12" s="64"/>
      <c r="MOJ12" s="64"/>
      <c r="MOK12" s="64"/>
      <c r="MOL12" s="64"/>
      <c r="MOM12" s="64"/>
      <c r="MON12" s="64"/>
      <c r="MOO12" s="64"/>
      <c r="MOP12" s="64"/>
      <c r="MOQ12" s="64"/>
      <c r="MOR12" s="64"/>
      <c r="MOS12" s="64"/>
      <c r="MOT12" s="64"/>
      <c r="MOU12" s="64"/>
      <c r="MOV12" s="64"/>
      <c r="MOW12" s="64"/>
      <c r="MOX12" s="64"/>
      <c r="MOY12" s="64"/>
      <c r="MOZ12" s="64"/>
      <c r="MPA12" s="64"/>
      <c r="MPB12" s="64"/>
      <c r="MPC12" s="64"/>
      <c r="MPD12" s="64"/>
      <c r="MPE12" s="64"/>
      <c r="MPF12" s="64"/>
      <c r="MPG12" s="64"/>
      <c r="MPH12" s="64"/>
      <c r="MPI12" s="64"/>
      <c r="MPJ12" s="64"/>
      <c r="MPK12" s="64"/>
      <c r="MPL12" s="64"/>
      <c r="MPM12" s="64"/>
      <c r="MPN12" s="64"/>
      <c r="MPO12" s="64"/>
      <c r="MPP12" s="64"/>
      <c r="MPQ12" s="64"/>
      <c r="MPR12" s="64"/>
      <c r="MPS12" s="64"/>
      <c r="MPT12" s="64"/>
      <c r="MPU12" s="64"/>
      <c r="MPV12" s="64"/>
      <c r="MPW12" s="64"/>
      <c r="MPX12" s="64"/>
      <c r="MPY12" s="64"/>
      <c r="MPZ12" s="64"/>
      <c r="MQA12" s="64"/>
      <c r="MQB12" s="64"/>
      <c r="MQC12" s="64"/>
      <c r="MQD12" s="64"/>
      <c r="MQE12" s="64"/>
      <c r="MQF12" s="64"/>
      <c r="MQG12" s="64"/>
      <c r="MQH12" s="64"/>
      <c r="MQI12" s="64"/>
      <c r="MQJ12" s="64"/>
      <c r="MQK12" s="64"/>
      <c r="MQL12" s="64"/>
      <c r="MQM12" s="64"/>
      <c r="MQN12" s="64"/>
      <c r="MQO12" s="64"/>
      <c r="MQP12" s="64"/>
      <c r="MQQ12" s="64"/>
      <c r="MQR12" s="64"/>
      <c r="MQS12" s="64"/>
      <c r="MQT12" s="64"/>
      <c r="MQU12" s="64"/>
      <c r="MQV12" s="64"/>
      <c r="MQW12" s="64"/>
      <c r="MQX12" s="64"/>
      <c r="MQY12" s="64"/>
      <c r="MQZ12" s="64"/>
      <c r="MRA12" s="64"/>
      <c r="MRB12" s="64"/>
      <c r="MRC12" s="64"/>
      <c r="MRD12" s="64"/>
      <c r="MRE12" s="64"/>
      <c r="MRF12" s="64"/>
      <c r="MRG12" s="64"/>
      <c r="MRH12" s="64"/>
      <c r="MRI12" s="64"/>
      <c r="MRJ12" s="64"/>
      <c r="MRK12" s="64"/>
      <c r="MRL12" s="64"/>
      <c r="MRM12" s="64"/>
      <c r="MRN12" s="64"/>
      <c r="MRO12" s="64"/>
      <c r="MRP12" s="64"/>
      <c r="MRQ12" s="64"/>
      <c r="MRR12" s="64"/>
      <c r="MRS12" s="64"/>
      <c r="MRT12" s="64"/>
      <c r="MRU12" s="64"/>
      <c r="MRV12" s="64"/>
      <c r="MRW12" s="64"/>
      <c r="MRX12" s="64"/>
      <c r="MRY12" s="64"/>
      <c r="MRZ12" s="64"/>
      <c r="MSA12" s="64"/>
      <c r="MSB12" s="64"/>
      <c r="MSC12" s="64"/>
      <c r="MSD12" s="64"/>
      <c r="MSE12" s="64"/>
      <c r="MSF12" s="64"/>
      <c r="MSG12" s="64"/>
      <c r="MSH12" s="64"/>
      <c r="MSI12" s="64"/>
      <c r="MSJ12" s="64"/>
      <c r="MSK12" s="64"/>
      <c r="MSL12" s="64"/>
      <c r="MSM12" s="64"/>
      <c r="MSN12" s="64"/>
      <c r="MSO12" s="64"/>
      <c r="MSP12" s="64"/>
      <c r="MSQ12" s="64"/>
      <c r="MSR12" s="64"/>
      <c r="MSS12" s="64"/>
      <c r="MST12" s="64"/>
      <c r="MSU12" s="64"/>
      <c r="MSV12" s="64"/>
      <c r="MSW12" s="64"/>
      <c r="MSX12" s="64"/>
      <c r="MSY12" s="64"/>
      <c r="MSZ12" s="64"/>
      <c r="MTA12" s="64"/>
      <c r="MTB12" s="64"/>
      <c r="MTC12" s="64"/>
      <c r="MTD12" s="64"/>
      <c r="MTE12" s="64"/>
      <c r="MTF12" s="64"/>
      <c r="MTG12" s="64"/>
      <c r="MTH12" s="64"/>
      <c r="MTI12" s="64"/>
      <c r="MTJ12" s="64"/>
      <c r="MTK12" s="64"/>
      <c r="MTL12" s="64"/>
      <c r="MTM12" s="64"/>
      <c r="MTN12" s="64"/>
      <c r="MTO12" s="64"/>
      <c r="MTP12" s="64"/>
      <c r="MTQ12" s="64"/>
      <c r="MTR12" s="64"/>
      <c r="MTS12" s="64"/>
      <c r="MTT12" s="64"/>
      <c r="MTU12" s="64"/>
      <c r="MTV12" s="64"/>
      <c r="MTW12" s="64"/>
      <c r="MTX12" s="64"/>
      <c r="MTY12" s="64"/>
      <c r="MTZ12" s="64"/>
      <c r="MUA12" s="64"/>
      <c r="MUB12" s="64"/>
      <c r="MUC12" s="64"/>
      <c r="MUD12" s="64"/>
      <c r="MUE12" s="64"/>
      <c r="MUF12" s="64"/>
      <c r="MUG12" s="64"/>
      <c r="MUH12" s="64"/>
      <c r="MUI12" s="64"/>
      <c r="MUJ12" s="64"/>
      <c r="MUK12" s="64"/>
      <c r="MUL12" s="64"/>
      <c r="MUM12" s="64"/>
      <c r="MUN12" s="64"/>
      <c r="MUO12" s="64"/>
      <c r="MUP12" s="64"/>
      <c r="MUQ12" s="64"/>
      <c r="MUR12" s="64"/>
      <c r="MUS12" s="64"/>
      <c r="MUT12" s="64"/>
      <c r="MUU12" s="64"/>
      <c r="MUV12" s="64"/>
      <c r="MUW12" s="64"/>
      <c r="MUX12" s="64"/>
      <c r="MUY12" s="64"/>
      <c r="MUZ12" s="64"/>
      <c r="MVA12" s="64"/>
      <c r="MVB12" s="64"/>
      <c r="MVC12" s="64"/>
      <c r="MVD12" s="64"/>
      <c r="MVE12" s="64"/>
      <c r="MVF12" s="64"/>
      <c r="MVG12" s="64"/>
      <c r="MVH12" s="64"/>
      <c r="MVI12" s="64"/>
      <c r="MVJ12" s="64"/>
      <c r="MVK12" s="64"/>
      <c r="MVL12" s="64"/>
      <c r="MVM12" s="64"/>
      <c r="MVN12" s="64"/>
      <c r="MVO12" s="64"/>
      <c r="MVP12" s="64"/>
      <c r="MVQ12" s="64"/>
      <c r="MVR12" s="64"/>
      <c r="MVS12" s="64"/>
      <c r="MVT12" s="64"/>
      <c r="MVU12" s="64"/>
      <c r="MVV12" s="64"/>
      <c r="MVW12" s="64"/>
      <c r="MVX12" s="64"/>
      <c r="MVY12" s="64"/>
      <c r="MVZ12" s="64"/>
      <c r="MWA12" s="64"/>
      <c r="MWB12" s="64"/>
      <c r="MWC12" s="64"/>
      <c r="MWD12" s="64"/>
      <c r="MWE12" s="64"/>
      <c r="MWF12" s="64"/>
      <c r="MWG12" s="64"/>
      <c r="MWH12" s="64"/>
      <c r="MWI12" s="64"/>
      <c r="MWJ12" s="64"/>
      <c r="MWK12" s="64"/>
      <c r="MWL12" s="64"/>
      <c r="MWM12" s="64"/>
      <c r="MWN12" s="64"/>
      <c r="MWO12" s="64"/>
      <c r="MWP12" s="64"/>
      <c r="MWQ12" s="64"/>
      <c r="MWR12" s="64"/>
      <c r="MWS12" s="64"/>
      <c r="MWT12" s="64"/>
      <c r="MWU12" s="64"/>
      <c r="MWV12" s="64"/>
      <c r="MWW12" s="64"/>
      <c r="MWX12" s="64"/>
      <c r="MWY12" s="64"/>
      <c r="MWZ12" s="64"/>
      <c r="MXA12" s="64"/>
      <c r="MXB12" s="64"/>
      <c r="MXC12" s="64"/>
      <c r="MXD12" s="64"/>
      <c r="MXE12" s="64"/>
      <c r="MXF12" s="64"/>
      <c r="MXG12" s="64"/>
      <c r="MXH12" s="64"/>
      <c r="MXI12" s="64"/>
      <c r="MXJ12" s="64"/>
      <c r="MXK12" s="64"/>
      <c r="MXL12" s="64"/>
      <c r="MXM12" s="64"/>
      <c r="MXN12" s="64"/>
      <c r="MXO12" s="64"/>
      <c r="MXP12" s="64"/>
      <c r="MXQ12" s="64"/>
      <c r="MXR12" s="64"/>
      <c r="MXS12" s="64"/>
      <c r="MXT12" s="64"/>
      <c r="MXU12" s="64"/>
      <c r="MXV12" s="64"/>
      <c r="MXW12" s="64"/>
      <c r="MXX12" s="64"/>
      <c r="MXY12" s="64"/>
      <c r="MXZ12" s="64"/>
      <c r="MYA12" s="64"/>
      <c r="MYB12" s="64"/>
      <c r="MYC12" s="64"/>
      <c r="MYD12" s="64"/>
      <c r="MYE12" s="64"/>
      <c r="MYF12" s="64"/>
      <c r="MYG12" s="64"/>
      <c r="MYH12" s="64"/>
      <c r="MYI12" s="64"/>
      <c r="MYJ12" s="64"/>
      <c r="MYK12" s="64"/>
      <c r="MYL12" s="64"/>
      <c r="MYM12" s="64"/>
      <c r="MYN12" s="64"/>
      <c r="MYO12" s="64"/>
      <c r="MYP12" s="64"/>
      <c r="MYQ12" s="64"/>
      <c r="MYR12" s="64"/>
      <c r="MYS12" s="64"/>
      <c r="MYT12" s="64"/>
      <c r="MYU12" s="64"/>
      <c r="MYV12" s="64"/>
      <c r="MYW12" s="64"/>
      <c r="MYX12" s="64"/>
      <c r="MYY12" s="64"/>
      <c r="MYZ12" s="64"/>
      <c r="MZA12" s="64"/>
      <c r="MZB12" s="64"/>
      <c r="MZC12" s="64"/>
      <c r="MZD12" s="64"/>
      <c r="MZE12" s="64"/>
      <c r="MZF12" s="64"/>
      <c r="MZG12" s="64"/>
      <c r="MZH12" s="64"/>
      <c r="MZI12" s="64"/>
      <c r="MZJ12" s="64"/>
      <c r="MZK12" s="64"/>
      <c r="MZL12" s="64"/>
      <c r="MZM12" s="64"/>
      <c r="MZN12" s="64"/>
      <c r="MZO12" s="64"/>
      <c r="MZP12" s="64"/>
      <c r="MZQ12" s="64"/>
      <c r="MZR12" s="64"/>
      <c r="MZS12" s="64"/>
      <c r="MZT12" s="64"/>
      <c r="MZU12" s="64"/>
      <c r="MZV12" s="64"/>
      <c r="MZW12" s="64"/>
      <c r="MZX12" s="64"/>
      <c r="MZY12" s="64"/>
      <c r="MZZ12" s="64"/>
      <c r="NAA12" s="64"/>
      <c r="NAB12" s="64"/>
      <c r="NAC12" s="64"/>
      <c r="NAD12" s="64"/>
      <c r="NAE12" s="64"/>
      <c r="NAF12" s="64"/>
      <c r="NAG12" s="64"/>
      <c r="NAH12" s="64"/>
      <c r="NAI12" s="64"/>
      <c r="NAJ12" s="64"/>
      <c r="NAK12" s="64"/>
      <c r="NAL12" s="64"/>
      <c r="NAM12" s="64"/>
      <c r="NAN12" s="64"/>
      <c r="NAO12" s="64"/>
      <c r="NAP12" s="64"/>
      <c r="NAQ12" s="64"/>
      <c r="NAR12" s="64"/>
      <c r="NAS12" s="64"/>
      <c r="NAT12" s="64"/>
      <c r="NAU12" s="64"/>
      <c r="NAV12" s="64"/>
      <c r="NAW12" s="64"/>
      <c r="NAX12" s="64"/>
      <c r="NAY12" s="64"/>
      <c r="NAZ12" s="64"/>
      <c r="NBA12" s="64"/>
      <c r="NBB12" s="64"/>
      <c r="NBC12" s="64"/>
      <c r="NBD12" s="64"/>
      <c r="NBE12" s="64"/>
      <c r="NBF12" s="64"/>
      <c r="NBG12" s="64"/>
      <c r="NBH12" s="64"/>
      <c r="NBI12" s="64"/>
      <c r="NBJ12" s="64"/>
      <c r="NBK12" s="64"/>
      <c r="NBL12" s="64"/>
      <c r="NBM12" s="64"/>
      <c r="NBN12" s="64"/>
      <c r="NBO12" s="64"/>
      <c r="NBP12" s="64"/>
      <c r="NBQ12" s="64"/>
      <c r="NBR12" s="64"/>
      <c r="NBS12" s="64"/>
      <c r="NBT12" s="64"/>
      <c r="NBU12" s="64"/>
      <c r="NBV12" s="64"/>
      <c r="NBW12" s="64"/>
      <c r="NBX12" s="64"/>
      <c r="NBY12" s="64"/>
      <c r="NBZ12" s="64"/>
      <c r="NCA12" s="64"/>
      <c r="NCB12" s="64"/>
      <c r="NCC12" s="64"/>
      <c r="NCD12" s="64"/>
      <c r="NCE12" s="64"/>
      <c r="NCF12" s="64"/>
      <c r="NCG12" s="64"/>
      <c r="NCH12" s="64"/>
      <c r="NCI12" s="64"/>
      <c r="NCJ12" s="64"/>
      <c r="NCK12" s="64"/>
      <c r="NCL12" s="64"/>
      <c r="NCM12" s="64"/>
      <c r="NCN12" s="64"/>
      <c r="NCO12" s="64"/>
      <c r="NCP12" s="64"/>
      <c r="NCQ12" s="64"/>
      <c r="NCR12" s="64"/>
      <c r="NCS12" s="64"/>
      <c r="NCT12" s="64"/>
      <c r="NCU12" s="64"/>
      <c r="NCV12" s="64"/>
      <c r="NCW12" s="64"/>
      <c r="NCX12" s="64"/>
      <c r="NCY12" s="64"/>
      <c r="NCZ12" s="64"/>
      <c r="NDA12" s="64"/>
      <c r="NDB12" s="64"/>
      <c r="NDC12" s="64"/>
      <c r="NDD12" s="64"/>
      <c r="NDE12" s="64"/>
      <c r="NDF12" s="64"/>
      <c r="NDG12" s="64"/>
      <c r="NDH12" s="64"/>
      <c r="NDI12" s="64"/>
      <c r="NDJ12" s="64"/>
      <c r="NDK12" s="64"/>
      <c r="NDL12" s="64"/>
      <c r="NDM12" s="64"/>
      <c r="NDN12" s="64"/>
      <c r="NDO12" s="64"/>
      <c r="NDP12" s="64"/>
      <c r="NDQ12" s="64"/>
      <c r="NDR12" s="64"/>
      <c r="NDS12" s="64"/>
      <c r="NDT12" s="64"/>
      <c r="NDU12" s="64"/>
      <c r="NDV12" s="64"/>
      <c r="NDW12" s="64"/>
      <c r="NDX12" s="64"/>
      <c r="NDY12" s="64"/>
      <c r="NDZ12" s="64"/>
      <c r="NEA12" s="64"/>
      <c r="NEB12" s="64"/>
      <c r="NEC12" s="64"/>
      <c r="NED12" s="64"/>
      <c r="NEE12" s="64"/>
      <c r="NEF12" s="64"/>
      <c r="NEG12" s="64"/>
      <c r="NEH12" s="64"/>
      <c r="NEI12" s="64"/>
      <c r="NEJ12" s="64"/>
      <c r="NEK12" s="64"/>
      <c r="NEL12" s="64"/>
      <c r="NEM12" s="64"/>
      <c r="NEN12" s="64"/>
      <c r="NEO12" s="64"/>
      <c r="NEP12" s="64"/>
      <c r="NEQ12" s="64"/>
      <c r="NER12" s="64"/>
      <c r="NES12" s="64"/>
      <c r="NET12" s="64"/>
      <c r="NEU12" s="64"/>
      <c r="NEV12" s="64"/>
      <c r="NEW12" s="64"/>
      <c r="NEX12" s="64"/>
      <c r="NEY12" s="64"/>
      <c r="NEZ12" s="64"/>
      <c r="NFA12" s="64"/>
      <c r="NFB12" s="64"/>
      <c r="NFC12" s="64"/>
      <c r="NFD12" s="64"/>
      <c r="NFE12" s="64"/>
      <c r="NFF12" s="64"/>
      <c r="NFG12" s="64"/>
      <c r="NFH12" s="64"/>
      <c r="NFI12" s="64"/>
      <c r="NFJ12" s="64"/>
      <c r="NFK12" s="64"/>
      <c r="NFL12" s="64"/>
      <c r="NFM12" s="64"/>
      <c r="NFN12" s="64"/>
      <c r="NFO12" s="64"/>
      <c r="NFP12" s="64"/>
      <c r="NFQ12" s="64"/>
      <c r="NFR12" s="64"/>
      <c r="NFS12" s="64"/>
      <c r="NFT12" s="64"/>
      <c r="NFU12" s="64"/>
      <c r="NFV12" s="64"/>
      <c r="NFW12" s="64"/>
      <c r="NFX12" s="64"/>
      <c r="NFY12" s="64"/>
      <c r="NFZ12" s="64"/>
      <c r="NGA12" s="64"/>
      <c r="NGB12" s="64"/>
      <c r="NGC12" s="64"/>
      <c r="NGD12" s="64"/>
      <c r="NGE12" s="64"/>
      <c r="NGF12" s="64"/>
      <c r="NGG12" s="64"/>
      <c r="NGH12" s="64"/>
      <c r="NGI12" s="64"/>
      <c r="NGJ12" s="64"/>
      <c r="NGK12" s="64"/>
      <c r="NGL12" s="64"/>
      <c r="NGM12" s="64"/>
      <c r="NGN12" s="64"/>
      <c r="NGO12" s="64"/>
      <c r="NGP12" s="64"/>
      <c r="NGQ12" s="64"/>
      <c r="NGR12" s="64"/>
      <c r="NGS12" s="64"/>
      <c r="NGT12" s="64"/>
      <c r="NGU12" s="64"/>
      <c r="NGV12" s="64"/>
      <c r="NGW12" s="64"/>
      <c r="NGX12" s="64"/>
      <c r="NGY12" s="64"/>
      <c r="NGZ12" s="64"/>
      <c r="NHA12" s="64"/>
      <c r="NHB12" s="64"/>
      <c r="NHC12" s="64"/>
      <c r="NHD12" s="64"/>
      <c r="NHE12" s="64"/>
      <c r="NHF12" s="64"/>
      <c r="NHG12" s="64"/>
      <c r="NHH12" s="64"/>
      <c r="NHI12" s="64"/>
      <c r="NHJ12" s="64"/>
      <c r="NHK12" s="64"/>
      <c r="NHL12" s="64"/>
      <c r="NHM12" s="64"/>
      <c r="NHN12" s="64"/>
      <c r="NHO12" s="64"/>
      <c r="NHP12" s="64"/>
      <c r="NHQ12" s="64"/>
      <c r="NHR12" s="64"/>
      <c r="NHS12" s="64"/>
      <c r="NHT12" s="64"/>
      <c r="NHU12" s="64"/>
      <c r="NHV12" s="64"/>
      <c r="NHW12" s="64"/>
      <c r="NHX12" s="64"/>
      <c r="NHY12" s="64"/>
      <c r="NHZ12" s="64"/>
      <c r="NIA12" s="64"/>
      <c r="NIB12" s="64"/>
      <c r="NIC12" s="64"/>
      <c r="NID12" s="64"/>
      <c r="NIE12" s="64"/>
      <c r="NIF12" s="64"/>
      <c r="NIG12" s="64"/>
      <c r="NIH12" s="64"/>
      <c r="NII12" s="64"/>
      <c r="NIJ12" s="64"/>
      <c r="NIK12" s="64"/>
      <c r="NIL12" s="64"/>
      <c r="NIM12" s="64"/>
      <c r="NIN12" s="64"/>
      <c r="NIO12" s="64"/>
      <c r="NIP12" s="64"/>
      <c r="NIQ12" s="64"/>
      <c r="NIR12" s="64"/>
      <c r="NIS12" s="64"/>
      <c r="NIT12" s="64"/>
      <c r="NIU12" s="64"/>
      <c r="NIV12" s="64"/>
      <c r="NIW12" s="64"/>
      <c r="NIX12" s="64"/>
      <c r="NIY12" s="64"/>
      <c r="NIZ12" s="64"/>
      <c r="NJA12" s="64"/>
      <c r="NJB12" s="64"/>
      <c r="NJC12" s="64"/>
      <c r="NJD12" s="64"/>
      <c r="NJE12" s="64"/>
      <c r="NJF12" s="64"/>
      <c r="NJG12" s="64"/>
      <c r="NJH12" s="64"/>
      <c r="NJI12" s="64"/>
      <c r="NJJ12" s="64"/>
      <c r="NJK12" s="64"/>
      <c r="NJL12" s="64"/>
      <c r="NJM12" s="64"/>
      <c r="NJN12" s="64"/>
      <c r="NJO12" s="64"/>
      <c r="NJP12" s="64"/>
      <c r="NJQ12" s="64"/>
      <c r="NJR12" s="64"/>
      <c r="NJS12" s="64"/>
      <c r="NJT12" s="64"/>
      <c r="NJU12" s="64"/>
      <c r="NJV12" s="64"/>
      <c r="NJW12" s="64"/>
      <c r="NJX12" s="64"/>
      <c r="NJY12" s="64"/>
      <c r="NJZ12" s="64"/>
      <c r="NKA12" s="64"/>
      <c r="NKB12" s="64"/>
      <c r="NKC12" s="64"/>
      <c r="NKD12" s="64"/>
      <c r="NKE12" s="64"/>
      <c r="NKF12" s="64"/>
      <c r="NKG12" s="64"/>
      <c r="NKH12" s="64"/>
      <c r="NKI12" s="64"/>
      <c r="NKJ12" s="64"/>
      <c r="NKK12" s="64"/>
      <c r="NKL12" s="64"/>
      <c r="NKM12" s="64"/>
      <c r="NKN12" s="64"/>
      <c r="NKO12" s="64"/>
      <c r="NKP12" s="64"/>
      <c r="NKQ12" s="64"/>
      <c r="NKR12" s="64"/>
      <c r="NKS12" s="64"/>
      <c r="NKT12" s="64"/>
      <c r="NKU12" s="64"/>
      <c r="NKV12" s="64"/>
      <c r="NKW12" s="64"/>
      <c r="NKX12" s="64"/>
      <c r="NKY12" s="64"/>
      <c r="NKZ12" s="64"/>
      <c r="NLA12" s="64"/>
      <c r="NLB12" s="64"/>
      <c r="NLC12" s="64"/>
      <c r="NLD12" s="64"/>
      <c r="NLE12" s="64"/>
      <c r="NLF12" s="64"/>
      <c r="NLG12" s="64"/>
      <c r="NLH12" s="64"/>
      <c r="NLI12" s="64"/>
      <c r="NLJ12" s="64"/>
      <c r="NLK12" s="64"/>
      <c r="NLL12" s="64"/>
      <c r="NLM12" s="64"/>
      <c r="NLN12" s="64"/>
      <c r="NLO12" s="64"/>
      <c r="NLP12" s="64"/>
      <c r="NLQ12" s="64"/>
      <c r="NLR12" s="64"/>
      <c r="NLS12" s="64"/>
      <c r="NLT12" s="64"/>
      <c r="NLU12" s="64"/>
      <c r="NLV12" s="64"/>
      <c r="NLW12" s="64"/>
      <c r="NLX12" s="64"/>
      <c r="NLY12" s="64"/>
      <c r="NLZ12" s="64"/>
      <c r="NMA12" s="64"/>
      <c r="NMB12" s="64"/>
      <c r="NMC12" s="64"/>
      <c r="NMD12" s="64"/>
      <c r="NME12" s="64"/>
      <c r="NMF12" s="64"/>
      <c r="NMG12" s="64"/>
      <c r="NMH12" s="64"/>
      <c r="NMI12" s="64"/>
      <c r="NMJ12" s="64"/>
      <c r="NMK12" s="64"/>
      <c r="NML12" s="64"/>
      <c r="NMM12" s="64"/>
      <c r="NMN12" s="64"/>
      <c r="NMO12" s="64"/>
      <c r="NMP12" s="64"/>
      <c r="NMQ12" s="64"/>
      <c r="NMR12" s="64"/>
      <c r="NMS12" s="64"/>
      <c r="NMT12" s="64"/>
      <c r="NMU12" s="64"/>
      <c r="NMV12" s="64"/>
      <c r="NMW12" s="64"/>
      <c r="NMX12" s="64"/>
      <c r="NMY12" s="64"/>
      <c r="NMZ12" s="64"/>
      <c r="NNA12" s="64"/>
      <c r="NNB12" s="64"/>
      <c r="NNC12" s="64"/>
      <c r="NND12" s="64"/>
      <c r="NNE12" s="64"/>
      <c r="NNF12" s="64"/>
      <c r="NNG12" s="64"/>
      <c r="NNH12" s="64"/>
      <c r="NNI12" s="64"/>
      <c r="NNJ12" s="64"/>
      <c r="NNK12" s="64"/>
      <c r="NNL12" s="64"/>
      <c r="NNM12" s="64"/>
      <c r="NNN12" s="64"/>
      <c r="NNO12" s="64"/>
      <c r="NNP12" s="64"/>
      <c r="NNQ12" s="64"/>
      <c r="NNR12" s="64"/>
      <c r="NNS12" s="64"/>
      <c r="NNT12" s="64"/>
      <c r="NNU12" s="64"/>
      <c r="NNV12" s="64"/>
      <c r="NNW12" s="64"/>
      <c r="NNX12" s="64"/>
      <c r="NNY12" s="64"/>
      <c r="NNZ12" s="64"/>
      <c r="NOA12" s="64"/>
      <c r="NOB12" s="64"/>
      <c r="NOC12" s="64"/>
      <c r="NOD12" s="64"/>
      <c r="NOE12" s="64"/>
      <c r="NOF12" s="64"/>
      <c r="NOG12" s="64"/>
      <c r="NOH12" s="64"/>
      <c r="NOI12" s="64"/>
      <c r="NOJ12" s="64"/>
      <c r="NOK12" s="64"/>
      <c r="NOL12" s="64"/>
      <c r="NOM12" s="64"/>
      <c r="NON12" s="64"/>
      <c r="NOO12" s="64"/>
      <c r="NOP12" s="64"/>
      <c r="NOQ12" s="64"/>
      <c r="NOR12" s="64"/>
      <c r="NOS12" s="64"/>
      <c r="NOT12" s="64"/>
      <c r="NOU12" s="64"/>
      <c r="NOV12" s="64"/>
      <c r="NOW12" s="64"/>
      <c r="NOX12" s="64"/>
      <c r="NOY12" s="64"/>
      <c r="NOZ12" s="64"/>
      <c r="NPA12" s="64"/>
      <c r="NPB12" s="64"/>
      <c r="NPC12" s="64"/>
      <c r="NPD12" s="64"/>
      <c r="NPE12" s="64"/>
      <c r="NPF12" s="64"/>
      <c r="NPG12" s="64"/>
      <c r="NPH12" s="64"/>
      <c r="NPI12" s="64"/>
      <c r="NPJ12" s="64"/>
      <c r="NPK12" s="64"/>
      <c r="NPL12" s="64"/>
      <c r="NPM12" s="64"/>
      <c r="NPN12" s="64"/>
      <c r="NPO12" s="64"/>
      <c r="NPP12" s="64"/>
      <c r="NPQ12" s="64"/>
      <c r="NPR12" s="64"/>
      <c r="NPS12" s="64"/>
      <c r="NPT12" s="64"/>
      <c r="NPU12" s="64"/>
      <c r="NPV12" s="64"/>
      <c r="NPW12" s="64"/>
      <c r="NPX12" s="64"/>
      <c r="NPY12" s="64"/>
      <c r="NPZ12" s="64"/>
      <c r="NQA12" s="64"/>
      <c r="NQB12" s="64"/>
      <c r="NQC12" s="64"/>
      <c r="NQD12" s="64"/>
      <c r="NQE12" s="64"/>
      <c r="NQF12" s="64"/>
      <c r="NQG12" s="64"/>
      <c r="NQH12" s="64"/>
      <c r="NQI12" s="64"/>
      <c r="NQJ12" s="64"/>
      <c r="NQK12" s="64"/>
      <c r="NQL12" s="64"/>
      <c r="NQM12" s="64"/>
      <c r="NQN12" s="64"/>
      <c r="NQO12" s="64"/>
      <c r="NQP12" s="64"/>
      <c r="NQQ12" s="64"/>
      <c r="NQR12" s="64"/>
      <c r="NQS12" s="64"/>
      <c r="NQT12" s="64"/>
      <c r="NQU12" s="64"/>
      <c r="NQV12" s="64"/>
      <c r="NQW12" s="64"/>
      <c r="NQX12" s="64"/>
      <c r="NQY12" s="64"/>
      <c r="NQZ12" s="64"/>
      <c r="NRA12" s="64"/>
      <c r="NRB12" s="64"/>
      <c r="NRC12" s="64"/>
      <c r="NRD12" s="64"/>
      <c r="NRE12" s="64"/>
      <c r="NRF12" s="64"/>
      <c r="NRG12" s="64"/>
      <c r="NRH12" s="64"/>
      <c r="NRI12" s="64"/>
      <c r="NRJ12" s="64"/>
      <c r="NRK12" s="64"/>
      <c r="NRL12" s="64"/>
      <c r="NRM12" s="64"/>
      <c r="NRN12" s="64"/>
      <c r="NRO12" s="64"/>
      <c r="NRP12" s="64"/>
      <c r="NRQ12" s="64"/>
      <c r="NRR12" s="64"/>
      <c r="NRS12" s="64"/>
      <c r="NRT12" s="64"/>
      <c r="NRU12" s="64"/>
      <c r="NRV12" s="64"/>
      <c r="NRW12" s="64"/>
      <c r="NRX12" s="64"/>
      <c r="NRY12" s="64"/>
      <c r="NRZ12" s="64"/>
      <c r="NSA12" s="64"/>
      <c r="NSB12" s="64"/>
      <c r="NSC12" s="64"/>
      <c r="NSD12" s="64"/>
      <c r="NSE12" s="64"/>
      <c r="NSF12" s="64"/>
      <c r="NSG12" s="64"/>
      <c r="NSH12" s="64"/>
      <c r="NSI12" s="64"/>
      <c r="NSJ12" s="64"/>
      <c r="NSK12" s="64"/>
      <c r="NSL12" s="64"/>
      <c r="NSM12" s="64"/>
      <c r="NSN12" s="64"/>
      <c r="NSO12" s="64"/>
      <c r="NSP12" s="64"/>
      <c r="NSQ12" s="64"/>
      <c r="NSR12" s="64"/>
      <c r="NSS12" s="64"/>
      <c r="NST12" s="64"/>
      <c r="NSU12" s="64"/>
      <c r="NSV12" s="64"/>
      <c r="NSW12" s="64"/>
      <c r="NSX12" s="64"/>
      <c r="NSY12" s="64"/>
      <c r="NSZ12" s="64"/>
      <c r="NTA12" s="64"/>
      <c r="NTB12" s="64"/>
      <c r="NTC12" s="64"/>
      <c r="NTD12" s="64"/>
      <c r="NTE12" s="64"/>
      <c r="NTF12" s="64"/>
      <c r="NTG12" s="64"/>
      <c r="NTH12" s="64"/>
      <c r="NTI12" s="64"/>
      <c r="NTJ12" s="64"/>
      <c r="NTK12" s="64"/>
      <c r="NTL12" s="64"/>
      <c r="NTM12" s="64"/>
      <c r="NTN12" s="64"/>
      <c r="NTO12" s="64"/>
      <c r="NTP12" s="64"/>
      <c r="NTQ12" s="64"/>
      <c r="NTR12" s="64"/>
      <c r="NTS12" s="64"/>
      <c r="NTT12" s="64"/>
      <c r="NTU12" s="64"/>
      <c r="NTV12" s="64"/>
      <c r="NTW12" s="64"/>
      <c r="NTX12" s="64"/>
      <c r="NTY12" s="64"/>
      <c r="NTZ12" s="64"/>
      <c r="NUA12" s="64"/>
      <c r="NUB12" s="64"/>
      <c r="NUC12" s="64"/>
      <c r="NUD12" s="64"/>
      <c r="NUE12" s="64"/>
      <c r="NUF12" s="64"/>
      <c r="NUG12" s="64"/>
      <c r="NUH12" s="64"/>
      <c r="NUI12" s="64"/>
      <c r="NUJ12" s="64"/>
      <c r="NUK12" s="64"/>
      <c r="NUL12" s="64"/>
      <c r="NUM12" s="64"/>
      <c r="NUN12" s="64"/>
      <c r="NUO12" s="64"/>
      <c r="NUP12" s="64"/>
      <c r="NUQ12" s="64"/>
      <c r="NUR12" s="64"/>
      <c r="NUS12" s="64"/>
      <c r="NUT12" s="64"/>
      <c r="NUU12" s="64"/>
      <c r="NUV12" s="64"/>
      <c r="NUW12" s="64"/>
      <c r="NUX12" s="64"/>
      <c r="NUY12" s="64"/>
      <c r="NUZ12" s="64"/>
      <c r="NVA12" s="64"/>
      <c r="NVB12" s="64"/>
      <c r="NVC12" s="64"/>
      <c r="NVD12" s="64"/>
      <c r="NVE12" s="64"/>
      <c r="NVF12" s="64"/>
      <c r="NVG12" s="64"/>
      <c r="NVH12" s="64"/>
      <c r="NVI12" s="64"/>
      <c r="NVJ12" s="64"/>
      <c r="NVK12" s="64"/>
      <c r="NVL12" s="64"/>
      <c r="NVM12" s="64"/>
      <c r="NVN12" s="64"/>
      <c r="NVO12" s="64"/>
      <c r="NVP12" s="64"/>
      <c r="NVQ12" s="64"/>
      <c r="NVR12" s="64"/>
      <c r="NVS12" s="64"/>
      <c r="NVT12" s="64"/>
      <c r="NVU12" s="64"/>
      <c r="NVV12" s="64"/>
      <c r="NVW12" s="64"/>
      <c r="NVX12" s="64"/>
      <c r="NVY12" s="64"/>
      <c r="NVZ12" s="64"/>
      <c r="NWA12" s="64"/>
      <c r="NWB12" s="64"/>
      <c r="NWC12" s="64"/>
      <c r="NWD12" s="64"/>
      <c r="NWE12" s="64"/>
      <c r="NWF12" s="64"/>
      <c r="NWG12" s="64"/>
      <c r="NWH12" s="64"/>
      <c r="NWI12" s="64"/>
      <c r="NWJ12" s="64"/>
      <c r="NWK12" s="64"/>
      <c r="NWL12" s="64"/>
      <c r="NWM12" s="64"/>
      <c r="NWN12" s="64"/>
      <c r="NWO12" s="64"/>
      <c r="NWP12" s="64"/>
      <c r="NWQ12" s="64"/>
      <c r="NWR12" s="64"/>
      <c r="NWS12" s="64"/>
      <c r="NWT12" s="64"/>
      <c r="NWU12" s="64"/>
      <c r="NWV12" s="64"/>
      <c r="NWW12" s="64"/>
      <c r="NWX12" s="64"/>
      <c r="NWY12" s="64"/>
      <c r="NWZ12" s="64"/>
      <c r="NXA12" s="64"/>
      <c r="NXB12" s="64"/>
      <c r="NXC12" s="64"/>
      <c r="NXD12" s="64"/>
      <c r="NXE12" s="64"/>
      <c r="NXF12" s="64"/>
      <c r="NXG12" s="64"/>
      <c r="NXH12" s="64"/>
      <c r="NXI12" s="64"/>
      <c r="NXJ12" s="64"/>
      <c r="NXK12" s="64"/>
      <c r="NXL12" s="64"/>
      <c r="NXM12" s="64"/>
      <c r="NXN12" s="64"/>
      <c r="NXO12" s="64"/>
      <c r="NXP12" s="64"/>
      <c r="NXQ12" s="64"/>
      <c r="NXR12" s="64"/>
      <c r="NXS12" s="64"/>
      <c r="NXT12" s="64"/>
      <c r="NXU12" s="64"/>
      <c r="NXV12" s="64"/>
      <c r="NXW12" s="64"/>
      <c r="NXX12" s="64"/>
      <c r="NXY12" s="64"/>
      <c r="NXZ12" s="64"/>
      <c r="NYA12" s="64"/>
      <c r="NYB12" s="64"/>
      <c r="NYC12" s="64"/>
      <c r="NYD12" s="64"/>
      <c r="NYE12" s="64"/>
      <c r="NYF12" s="64"/>
      <c r="NYG12" s="64"/>
      <c r="NYH12" s="64"/>
      <c r="NYI12" s="64"/>
      <c r="NYJ12" s="64"/>
      <c r="NYK12" s="64"/>
      <c r="NYL12" s="64"/>
      <c r="NYM12" s="64"/>
      <c r="NYN12" s="64"/>
      <c r="NYO12" s="64"/>
      <c r="NYP12" s="64"/>
      <c r="NYQ12" s="64"/>
      <c r="NYR12" s="64"/>
      <c r="NYS12" s="64"/>
      <c r="NYT12" s="64"/>
      <c r="NYU12" s="64"/>
      <c r="NYV12" s="64"/>
      <c r="NYW12" s="64"/>
      <c r="NYX12" s="64"/>
      <c r="NYY12" s="64"/>
      <c r="NYZ12" s="64"/>
      <c r="NZA12" s="64"/>
      <c r="NZB12" s="64"/>
      <c r="NZC12" s="64"/>
      <c r="NZD12" s="64"/>
      <c r="NZE12" s="64"/>
      <c r="NZF12" s="64"/>
      <c r="NZG12" s="64"/>
      <c r="NZH12" s="64"/>
      <c r="NZI12" s="64"/>
      <c r="NZJ12" s="64"/>
      <c r="NZK12" s="64"/>
      <c r="NZL12" s="64"/>
      <c r="NZM12" s="64"/>
      <c r="NZN12" s="64"/>
      <c r="NZO12" s="64"/>
      <c r="NZP12" s="64"/>
      <c r="NZQ12" s="64"/>
      <c r="NZR12" s="64"/>
      <c r="NZS12" s="64"/>
      <c r="NZT12" s="64"/>
      <c r="NZU12" s="64"/>
      <c r="NZV12" s="64"/>
      <c r="NZW12" s="64"/>
      <c r="NZX12" s="64"/>
      <c r="NZY12" s="64"/>
      <c r="NZZ12" s="64"/>
      <c r="OAA12" s="64"/>
      <c r="OAB12" s="64"/>
      <c r="OAC12" s="64"/>
      <c r="OAD12" s="64"/>
      <c r="OAE12" s="64"/>
      <c r="OAF12" s="64"/>
      <c r="OAG12" s="64"/>
      <c r="OAH12" s="64"/>
      <c r="OAI12" s="64"/>
      <c r="OAJ12" s="64"/>
      <c r="OAK12" s="64"/>
      <c r="OAL12" s="64"/>
      <c r="OAM12" s="64"/>
      <c r="OAN12" s="64"/>
      <c r="OAO12" s="64"/>
      <c r="OAP12" s="64"/>
      <c r="OAQ12" s="64"/>
      <c r="OAR12" s="64"/>
      <c r="OAS12" s="64"/>
      <c r="OAT12" s="64"/>
      <c r="OAU12" s="64"/>
      <c r="OAV12" s="64"/>
      <c r="OAW12" s="64"/>
      <c r="OAX12" s="64"/>
      <c r="OAY12" s="64"/>
      <c r="OAZ12" s="64"/>
      <c r="OBA12" s="64"/>
      <c r="OBB12" s="64"/>
      <c r="OBC12" s="64"/>
      <c r="OBD12" s="64"/>
      <c r="OBE12" s="64"/>
      <c r="OBF12" s="64"/>
      <c r="OBG12" s="64"/>
      <c r="OBH12" s="64"/>
      <c r="OBI12" s="64"/>
      <c r="OBJ12" s="64"/>
      <c r="OBK12" s="64"/>
      <c r="OBL12" s="64"/>
      <c r="OBM12" s="64"/>
      <c r="OBN12" s="64"/>
      <c r="OBO12" s="64"/>
      <c r="OBP12" s="64"/>
      <c r="OBQ12" s="64"/>
      <c r="OBR12" s="64"/>
      <c r="OBS12" s="64"/>
      <c r="OBT12" s="64"/>
      <c r="OBU12" s="64"/>
      <c r="OBV12" s="64"/>
      <c r="OBW12" s="64"/>
      <c r="OBX12" s="64"/>
      <c r="OBY12" s="64"/>
      <c r="OBZ12" s="64"/>
      <c r="OCA12" s="64"/>
      <c r="OCB12" s="64"/>
      <c r="OCC12" s="64"/>
      <c r="OCD12" s="64"/>
      <c r="OCE12" s="64"/>
      <c r="OCF12" s="64"/>
      <c r="OCG12" s="64"/>
      <c r="OCH12" s="64"/>
      <c r="OCI12" s="64"/>
      <c r="OCJ12" s="64"/>
      <c r="OCK12" s="64"/>
      <c r="OCL12" s="64"/>
      <c r="OCM12" s="64"/>
      <c r="OCN12" s="64"/>
      <c r="OCO12" s="64"/>
      <c r="OCP12" s="64"/>
      <c r="OCQ12" s="64"/>
      <c r="OCR12" s="64"/>
      <c r="OCS12" s="64"/>
      <c r="OCT12" s="64"/>
      <c r="OCU12" s="64"/>
      <c r="OCV12" s="64"/>
      <c r="OCW12" s="64"/>
      <c r="OCX12" s="64"/>
      <c r="OCY12" s="64"/>
      <c r="OCZ12" s="64"/>
      <c r="ODA12" s="64"/>
      <c r="ODB12" s="64"/>
      <c r="ODC12" s="64"/>
      <c r="ODD12" s="64"/>
      <c r="ODE12" s="64"/>
      <c r="ODF12" s="64"/>
      <c r="ODG12" s="64"/>
      <c r="ODH12" s="64"/>
      <c r="ODI12" s="64"/>
      <c r="ODJ12" s="64"/>
      <c r="ODK12" s="64"/>
      <c r="ODL12" s="64"/>
      <c r="ODM12" s="64"/>
      <c r="ODN12" s="64"/>
      <c r="ODO12" s="64"/>
      <c r="ODP12" s="64"/>
      <c r="ODQ12" s="64"/>
      <c r="ODR12" s="64"/>
      <c r="ODS12" s="64"/>
      <c r="ODT12" s="64"/>
      <c r="ODU12" s="64"/>
      <c r="ODV12" s="64"/>
      <c r="ODW12" s="64"/>
      <c r="ODX12" s="64"/>
      <c r="ODY12" s="64"/>
      <c r="ODZ12" s="64"/>
      <c r="OEA12" s="64"/>
      <c r="OEB12" s="64"/>
      <c r="OEC12" s="64"/>
      <c r="OED12" s="64"/>
      <c r="OEE12" s="64"/>
      <c r="OEF12" s="64"/>
      <c r="OEG12" s="64"/>
      <c r="OEH12" s="64"/>
      <c r="OEI12" s="64"/>
      <c r="OEJ12" s="64"/>
      <c r="OEK12" s="64"/>
      <c r="OEL12" s="64"/>
      <c r="OEM12" s="64"/>
      <c r="OEN12" s="64"/>
      <c r="OEO12" s="64"/>
      <c r="OEP12" s="64"/>
      <c r="OEQ12" s="64"/>
      <c r="OER12" s="64"/>
      <c r="OES12" s="64"/>
      <c r="OET12" s="64"/>
      <c r="OEU12" s="64"/>
      <c r="OEV12" s="64"/>
      <c r="OEW12" s="64"/>
      <c r="OEX12" s="64"/>
      <c r="OEY12" s="64"/>
      <c r="OEZ12" s="64"/>
      <c r="OFA12" s="64"/>
      <c r="OFB12" s="64"/>
      <c r="OFC12" s="64"/>
      <c r="OFD12" s="64"/>
      <c r="OFE12" s="64"/>
      <c r="OFF12" s="64"/>
      <c r="OFG12" s="64"/>
      <c r="OFH12" s="64"/>
      <c r="OFI12" s="64"/>
      <c r="OFJ12" s="64"/>
      <c r="OFK12" s="64"/>
      <c r="OFL12" s="64"/>
      <c r="OFM12" s="64"/>
      <c r="OFN12" s="64"/>
      <c r="OFO12" s="64"/>
      <c r="OFP12" s="64"/>
      <c r="OFQ12" s="64"/>
      <c r="OFR12" s="64"/>
      <c r="OFS12" s="64"/>
      <c r="OFT12" s="64"/>
      <c r="OFU12" s="64"/>
      <c r="OFV12" s="64"/>
      <c r="OFW12" s="64"/>
      <c r="OFX12" s="64"/>
      <c r="OFY12" s="64"/>
      <c r="OFZ12" s="64"/>
      <c r="OGA12" s="64"/>
      <c r="OGB12" s="64"/>
      <c r="OGC12" s="64"/>
      <c r="OGD12" s="64"/>
      <c r="OGE12" s="64"/>
      <c r="OGF12" s="64"/>
      <c r="OGG12" s="64"/>
      <c r="OGH12" s="64"/>
      <c r="OGI12" s="64"/>
      <c r="OGJ12" s="64"/>
      <c r="OGK12" s="64"/>
      <c r="OGL12" s="64"/>
      <c r="OGM12" s="64"/>
      <c r="OGN12" s="64"/>
      <c r="OGO12" s="64"/>
      <c r="OGP12" s="64"/>
      <c r="OGQ12" s="64"/>
      <c r="OGR12" s="64"/>
      <c r="OGS12" s="64"/>
      <c r="OGT12" s="64"/>
      <c r="OGU12" s="64"/>
      <c r="OGV12" s="64"/>
      <c r="OGW12" s="64"/>
      <c r="OGX12" s="64"/>
      <c r="OGY12" s="64"/>
      <c r="OGZ12" s="64"/>
      <c r="OHA12" s="64"/>
      <c r="OHB12" s="64"/>
      <c r="OHC12" s="64"/>
      <c r="OHD12" s="64"/>
      <c r="OHE12" s="64"/>
      <c r="OHF12" s="64"/>
      <c r="OHG12" s="64"/>
      <c r="OHH12" s="64"/>
      <c r="OHI12" s="64"/>
      <c r="OHJ12" s="64"/>
      <c r="OHK12" s="64"/>
      <c r="OHL12" s="64"/>
      <c r="OHM12" s="64"/>
      <c r="OHN12" s="64"/>
      <c r="OHO12" s="64"/>
      <c r="OHP12" s="64"/>
      <c r="OHQ12" s="64"/>
      <c r="OHR12" s="64"/>
      <c r="OHS12" s="64"/>
      <c r="OHT12" s="64"/>
      <c r="OHU12" s="64"/>
      <c r="OHV12" s="64"/>
      <c r="OHW12" s="64"/>
      <c r="OHX12" s="64"/>
      <c r="OHY12" s="64"/>
      <c r="OHZ12" s="64"/>
      <c r="OIA12" s="64"/>
      <c r="OIB12" s="64"/>
      <c r="OIC12" s="64"/>
      <c r="OID12" s="64"/>
      <c r="OIE12" s="64"/>
      <c r="OIF12" s="64"/>
      <c r="OIG12" s="64"/>
      <c r="OIH12" s="64"/>
      <c r="OII12" s="64"/>
      <c r="OIJ12" s="64"/>
      <c r="OIK12" s="64"/>
      <c r="OIL12" s="64"/>
      <c r="OIM12" s="64"/>
      <c r="OIN12" s="64"/>
      <c r="OIO12" s="64"/>
      <c r="OIP12" s="64"/>
      <c r="OIQ12" s="64"/>
      <c r="OIR12" s="64"/>
      <c r="OIS12" s="64"/>
      <c r="OIT12" s="64"/>
      <c r="OIU12" s="64"/>
      <c r="OIV12" s="64"/>
      <c r="OIW12" s="64"/>
      <c r="OIX12" s="64"/>
      <c r="OIY12" s="64"/>
      <c r="OIZ12" s="64"/>
      <c r="OJA12" s="64"/>
      <c r="OJB12" s="64"/>
      <c r="OJC12" s="64"/>
      <c r="OJD12" s="64"/>
      <c r="OJE12" s="64"/>
      <c r="OJF12" s="64"/>
      <c r="OJG12" s="64"/>
      <c r="OJH12" s="64"/>
      <c r="OJI12" s="64"/>
      <c r="OJJ12" s="64"/>
      <c r="OJK12" s="64"/>
      <c r="OJL12" s="64"/>
      <c r="OJM12" s="64"/>
      <c r="OJN12" s="64"/>
      <c r="OJO12" s="64"/>
      <c r="OJP12" s="64"/>
      <c r="OJQ12" s="64"/>
      <c r="OJR12" s="64"/>
      <c r="OJS12" s="64"/>
      <c r="OJT12" s="64"/>
      <c r="OJU12" s="64"/>
      <c r="OJV12" s="64"/>
      <c r="OJW12" s="64"/>
      <c r="OJX12" s="64"/>
      <c r="OJY12" s="64"/>
      <c r="OJZ12" s="64"/>
      <c r="OKA12" s="64"/>
      <c r="OKB12" s="64"/>
      <c r="OKC12" s="64"/>
      <c r="OKD12" s="64"/>
      <c r="OKE12" s="64"/>
      <c r="OKF12" s="64"/>
      <c r="OKG12" s="64"/>
      <c r="OKH12" s="64"/>
      <c r="OKI12" s="64"/>
      <c r="OKJ12" s="64"/>
      <c r="OKK12" s="64"/>
      <c r="OKL12" s="64"/>
      <c r="OKM12" s="64"/>
      <c r="OKN12" s="64"/>
      <c r="OKO12" s="64"/>
      <c r="OKP12" s="64"/>
      <c r="OKQ12" s="64"/>
      <c r="OKR12" s="64"/>
      <c r="OKS12" s="64"/>
      <c r="OKT12" s="64"/>
      <c r="OKU12" s="64"/>
      <c r="OKV12" s="64"/>
      <c r="OKW12" s="64"/>
      <c r="OKX12" s="64"/>
      <c r="OKY12" s="64"/>
      <c r="OKZ12" s="64"/>
      <c r="OLA12" s="64"/>
      <c r="OLB12" s="64"/>
      <c r="OLC12" s="64"/>
      <c r="OLD12" s="64"/>
      <c r="OLE12" s="64"/>
      <c r="OLF12" s="64"/>
      <c r="OLG12" s="64"/>
      <c r="OLH12" s="64"/>
      <c r="OLI12" s="64"/>
      <c r="OLJ12" s="64"/>
      <c r="OLK12" s="64"/>
      <c r="OLL12" s="64"/>
      <c r="OLM12" s="64"/>
      <c r="OLN12" s="64"/>
      <c r="OLO12" s="64"/>
      <c r="OLP12" s="64"/>
      <c r="OLQ12" s="64"/>
      <c r="OLR12" s="64"/>
      <c r="OLS12" s="64"/>
      <c r="OLT12" s="64"/>
      <c r="OLU12" s="64"/>
      <c r="OLV12" s="64"/>
      <c r="OLW12" s="64"/>
      <c r="OLX12" s="64"/>
      <c r="OLY12" s="64"/>
      <c r="OLZ12" s="64"/>
      <c r="OMA12" s="64"/>
      <c r="OMB12" s="64"/>
      <c r="OMC12" s="64"/>
      <c r="OMD12" s="64"/>
      <c r="OME12" s="64"/>
      <c r="OMF12" s="64"/>
      <c r="OMG12" s="64"/>
      <c r="OMH12" s="64"/>
      <c r="OMI12" s="64"/>
      <c r="OMJ12" s="64"/>
      <c r="OMK12" s="64"/>
      <c r="OML12" s="64"/>
      <c r="OMM12" s="64"/>
      <c r="OMN12" s="64"/>
      <c r="OMO12" s="64"/>
      <c r="OMP12" s="64"/>
      <c r="OMQ12" s="64"/>
      <c r="OMR12" s="64"/>
      <c r="OMS12" s="64"/>
      <c r="OMT12" s="64"/>
      <c r="OMU12" s="64"/>
      <c r="OMV12" s="64"/>
      <c r="OMW12" s="64"/>
      <c r="OMX12" s="64"/>
      <c r="OMY12" s="64"/>
      <c r="OMZ12" s="64"/>
      <c r="ONA12" s="64"/>
      <c r="ONB12" s="64"/>
      <c r="ONC12" s="64"/>
      <c r="OND12" s="64"/>
      <c r="ONE12" s="64"/>
      <c r="ONF12" s="64"/>
      <c r="ONG12" s="64"/>
      <c r="ONH12" s="64"/>
      <c r="ONI12" s="64"/>
      <c r="ONJ12" s="64"/>
      <c r="ONK12" s="64"/>
      <c r="ONL12" s="64"/>
      <c r="ONM12" s="64"/>
      <c r="ONN12" s="64"/>
      <c r="ONO12" s="64"/>
      <c r="ONP12" s="64"/>
      <c r="ONQ12" s="64"/>
      <c r="ONR12" s="64"/>
      <c r="ONS12" s="64"/>
      <c r="ONT12" s="64"/>
      <c r="ONU12" s="64"/>
      <c r="ONV12" s="64"/>
      <c r="ONW12" s="64"/>
      <c r="ONX12" s="64"/>
      <c r="ONY12" s="64"/>
      <c r="ONZ12" s="64"/>
      <c r="OOA12" s="64"/>
      <c r="OOB12" s="64"/>
      <c r="OOC12" s="64"/>
      <c r="OOD12" s="64"/>
      <c r="OOE12" s="64"/>
      <c r="OOF12" s="64"/>
      <c r="OOG12" s="64"/>
      <c r="OOH12" s="64"/>
      <c r="OOI12" s="64"/>
      <c r="OOJ12" s="64"/>
      <c r="OOK12" s="64"/>
      <c r="OOL12" s="64"/>
      <c r="OOM12" s="64"/>
      <c r="OON12" s="64"/>
      <c r="OOO12" s="64"/>
      <c r="OOP12" s="64"/>
      <c r="OOQ12" s="64"/>
      <c r="OOR12" s="64"/>
      <c r="OOS12" s="64"/>
      <c r="OOT12" s="64"/>
      <c r="OOU12" s="64"/>
      <c r="OOV12" s="64"/>
      <c r="OOW12" s="64"/>
      <c r="OOX12" s="64"/>
      <c r="OOY12" s="64"/>
      <c r="OOZ12" s="64"/>
      <c r="OPA12" s="64"/>
      <c r="OPB12" s="64"/>
      <c r="OPC12" s="64"/>
      <c r="OPD12" s="64"/>
      <c r="OPE12" s="64"/>
      <c r="OPF12" s="64"/>
      <c r="OPG12" s="64"/>
      <c r="OPH12" s="64"/>
      <c r="OPI12" s="64"/>
      <c r="OPJ12" s="64"/>
      <c r="OPK12" s="64"/>
      <c r="OPL12" s="64"/>
      <c r="OPM12" s="64"/>
      <c r="OPN12" s="64"/>
      <c r="OPO12" s="64"/>
      <c r="OPP12" s="64"/>
      <c r="OPQ12" s="64"/>
      <c r="OPR12" s="64"/>
      <c r="OPS12" s="64"/>
      <c r="OPT12" s="64"/>
      <c r="OPU12" s="64"/>
      <c r="OPV12" s="64"/>
      <c r="OPW12" s="64"/>
      <c r="OPX12" s="64"/>
      <c r="OPY12" s="64"/>
      <c r="OPZ12" s="64"/>
      <c r="OQA12" s="64"/>
      <c r="OQB12" s="64"/>
      <c r="OQC12" s="64"/>
      <c r="OQD12" s="64"/>
      <c r="OQE12" s="64"/>
      <c r="OQF12" s="64"/>
      <c r="OQG12" s="64"/>
      <c r="OQH12" s="64"/>
      <c r="OQI12" s="64"/>
      <c r="OQJ12" s="64"/>
      <c r="OQK12" s="64"/>
      <c r="OQL12" s="64"/>
      <c r="OQM12" s="64"/>
      <c r="OQN12" s="64"/>
      <c r="OQO12" s="64"/>
      <c r="OQP12" s="64"/>
      <c r="OQQ12" s="64"/>
      <c r="OQR12" s="64"/>
      <c r="OQS12" s="64"/>
      <c r="OQT12" s="64"/>
      <c r="OQU12" s="64"/>
      <c r="OQV12" s="64"/>
      <c r="OQW12" s="64"/>
      <c r="OQX12" s="64"/>
      <c r="OQY12" s="64"/>
      <c r="OQZ12" s="64"/>
      <c r="ORA12" s="64"/>
      <c r="ORB12" s="64"/>
      <c r="ORC12" s="64"/>
      <c r="ORD12" s="64"/>
      <c r="ORE12" s="64"/>
      <c r="ORF12" s="64"/>
      <c r="ORG12" s="64"/>
      <c r="ORH12" s="64"/>
      <c r="ORI12" s="64"/>
      <c r="ORJ12" s="64"/>
      <c r="ORK12" s="64"/>
      <c r="ORL12" s="64"/>
      <c r="ORM12" s="64"/>
      <c r="ORN12" s="64"/>
      <c r="ORO12" s="64"/>
      <c r="ORP12" s="64"/>
      <c r="ORQ12" s="64"/>
      <c r="ORR12" s="64"/>
      <c r="ORS12" s="64"/>
      <c r="ORT12" s="64"/>
      <c r="ORU12" s="64"/>
      <c r="ORV12" s="64"/>
      <c r="ORW12" s="64"/>
      <c r="ORX12" s="64"/>
      <c r="ORY12" s="64"/>
      <c r="ORZ12" s="64"/>
      <c r="OSA12" s="64"/>
      <c r="OSB12" s="64"/>
      <c r="OSC12" s="64"/>
      <c r="OSD12" s="64"/>
      <c r="OSE12" s="64"/>
      <c r="OSF12" s="64"/>
      <c r="OSG12" s="64"/>
      <c r="OSH12" s="64"/>
      <c r="OSI12" s="64"/>
      <c r="OSJ12" s="64"/>
      <c r="OSK12" s="64"/>
      <c r="OSL12" s="64"/>
      <c r="OSM12" s="64"/>
      <c r="OSN12" s="64"/>
      <c r="OSO12" s="64"/>
      <c r="OSP12" s="64"/>
      <c r="OSQ12" s="64"/>
      <c r="OSR12" s="64"/>
      <c r="OSS12" s="64"/>
      <c r="OST12" s="64"/>
      <c r="OSU12" s="64"/>
      <c r="OSV12" s="64"/>
      <c r="OSW12" s="64"/>
      <c r="OSX12" s="64"/>
      <c r="OSY12" s="64"/>
      <c r="OSZ12" s="64"/>
      <c r="OTA12" s="64"/>
      <c r="OTB12" s="64"/>
      <c r="OTC12" s="64"/>
      <c r="OTD12" s="64"/>
      <c r="OTE12" s="64"/>
      <c r="OTF12" s="64"/>
      <c r="OTG12" s="64"/>
      <c r="OTH12" s="64"/>
      <c r="OTI12" s="64"/>
      <c r="OTJ12" s="64"/>
      <c r="OTK12" s="64"/>
      <c r="OTL12" s="64"/>
      <c r="OTM12" s="64"/>
      <c r="OTN12" s="64"/>
      <c r="OTO12" s="64"/>
      <c r="OTP12" s="64"/>
      <c r="OTQ12" s="64"/>
      <c r="OTR12" s="64"/>
      <c r="OTS12" s="64"/>
      <c r="OTT12" s="64"/>
      <c r="OTU12" s="64"/>
      <c r="OTV12" s="64"/>
      <c r="OTW12" s="64"/>
      <c r="OTX12" s="64"/>
      <c r="OTY12" s="64"/>
      <c r="OTZ12" s="64"/>
      <c r="OUA12" s="64"/>
      <c r="OUB12" s="64"/>
      <c r="OUC12" s="64"/>
      <c r="OUD12" s="64"/>
      <c r="OUE12" s="64"/>
      <c r="OUF12" s="64"/>
      <c r="OUG12" s="64"/>
      <c r="OUH12" s="64"/>
      <c r="OUI12" s="64"/>
      <c r="OUJ12" s="64"/>
      <c r="OUK12" s="64"/>
      <c r="OUL12" s="64"/>
      <c r="OUM12" s="64"/>
      <c r="OUN12" s="64"/>
      <c r="OUO12" s="64"/>
      <c r="OUP12" s="64"/>
      <c r="OUQ12" s="64"/>
      <c r="OUR12" s="64"/>
      <c r="OUS12" s="64"/>
      <c r="OUT12" s="64"/>
      <c r="OUU12" s="64"/>
      <c r="OUV12" s="64"/>
      <c r="OUW12" s="64"/>
      <c r="OUX12" s="64"/>
      <c r="OUY12" s="64"/>
      <c r="OUZ12" s="64"/>
      <c r="OVA12" s="64"/>
      <c r="OVB12" s="64"/>
      <c r="OVC12" s="64"/>
      <c r="OVD12" s="64"/>
      <c r="OVE12" s="64"/>
      <c r="OVF12" s="64"/>
      <c r="OVG12" s="64"/>
      <c r="OVH12" s="64"/>
      <c r="OVI12" s="64"/>
      <c r="OVJ12" s="64"/>
      <c r="OVK12" s="64"/>
      <c r="OVL12" s="64"/>
      <c r="OVM12" s="64"/>
      <c r="OVN12" s="64"/>
      <c r="OVO12" s="64"/>
      <c r="OVP12" s="64"/>
      <c r="OVQ12" s="64"/>
      <c r="OVR12" s="64"/>
      <c r="OVS12" s="64"/>
      <c r="OVT12" s="64"/>
      <c r="OVU12" s="64"/>
      <c r="OVV12" s="64"/>
      <c r="OVW12" s="64"/>
      <c r="OVX12" s="64"/>
      <c r="OVY12" s="64"/>
      <c r="OVZ12" s="64"/>
      <c r="OWA12" s="64"/>
      <c r="OWB12" s="64"/>
      <c r="OWC12" s="64"/>
      <c r="OWD12" s="64"/>
      <c r="OWE12" s="64"/>
      <c r="OWF12" s="64"/>
      <c r="OWG12" s="64"/>
      <c r="OWH12" s="64"/>
      <c r="OWI12" s="64"/>
      <c r="OWJ12" s="64"/>
      <c r="OWK12" s="64"/>
      <c r="OWL12" s="64"/>
      <c r="OWM12" s="64"/>
      <c r="OWN12" s="64"/>
      <c r="OWO12" s="64"/>
      <c r="OWP12" s="64"/>
      <c r="OWQ12" s="64"/>
      <c r="OWR12" s="64"/>
      <c r="OWS12" s="64"/>
      <c r="OWT12" s="64"/>
      <c r="OWU12" s="64"/>
      <c r="OWV12" s="64"/>
      <c r="OWW12" s="64"/>
      <c r="OWX12" s="64"/>
      <c r="OWY12" s="64"/>
      <c r="OWZ12" s="64"/>
      <c r="OXA12" s="64"/>
      <c r="OXB12" s="64"/>
      <c r="OXC12" s="64"/>
      <c r="OXD12" s="64"/>
      <c r="OXE12" s="64"/>
      <c r="OXF12" s="64"/>
      <c r="OXG12" s="64"/>
      <c r="OXH12" s="64"/>
      <c r="OXI12" s="64"/>
      <c r="OXJ12" s="64"/>
      <c r="OXK12" s="64"/>
      <c r="OXL12" s="64"/>
      <c r="OXM12" s="64"/>
      <c r="OXN12" s="64"/>
      <c r="OXO12" s="64"/>
      <c r="OXP12" s="64"/>
      <c r="OXQ12" s="64"/>
      <c r="OXR12" s="64"/>
      <c r="OXS12" s="64"/>
      <c r="OXT12" s="64"/>
      <c r="OXU12" s="64"/>
      <c r="OXV12" s="64"/>
      <c r="OXW12" s="64"/>
      <c r="OXX12" s="64"/>
      <c r="OXY12" s="64"/>
      <c r="OXZ12" s="64"/>
      <c r="OYA12" s="64"/>
      <c r="OYB12" s="64"/>
      <c r="OYC12" s="64"/>
      <c r="OYD12" s="64"/>
      <c r="OYE12" s="64"/>
      <c r="OYF12" s="64"/>
      <c r="OYG12" s="64"/>
      <c r="OYH12" s="64"/>
      <c r="OYI12" s="64"/>
      <c r="OYJ12" s="64"/>
      <c r="OYK12" s="64"/>
      <c r="OYL12" s="64"/>
      <c r="OYM12" s="64"/>
      <c r="OYN12" s="64"/>
      <c r="OYO12" s="64"/>
      <c r="OYP12" s="64"/>
      <c r="OYQ12" s="64"/>
      <c r="OYR12" s="64"/>
      <c r="OYS12" s="64"/>
      <c r="OYT12" s="64"/>
      <c r="OYU12" s="64"/>
      <c r="OYV12" s="64"/>
      <c r="OYW12" s="64"/>
      <c r="OYX12" s="64"/>
      <c r="OYY12" s="64"/>
      <c r="OYZ12" s="64"/>
      <c r="OZA12" s="64"/>
      <c r="OZB12" s="64"/>
      <c r="OZC12" s="64"/>
      <c r="OZD12" s="64"/>
      <c r="OZE12" s="64"/>
      <c r="OZF12" s="64"/>
      <c r="OZG12" s="64"/>
      <c r="OZH12" s="64"/>
      <c r="OZI12" s="64"/>
      <c r="OZJ12" s="64"/>
      <c r="OZK12" s="64"/>
      <c r="OZL12" s="64"/>
      <c r="OZM12" s="64"/>
      <c r="OZN12" s="64"/>
      <c r="OZO12" s="64"/>
      <c r="OZP12" s="64"/>
      <c r="OZQ12" s="64"/>
      <c r="OZR12" s="64"/>
      <c r="OZS12" s="64"/>
      <c r="OZT12" s="64"/>
      <c r="OZU12" s="64"/>
      <c r="OZV12" s="64"/>
      <c r="OZW12" s="64"/>
      <c r="OZX12" s="64"/>
      <c r="OZY12" s="64"/>
      <c r="OZZ12" s="64"/>
      <c r="PAA12" s="64"/>
      <c r="PAB12" s="64"/>
      <c r="PAC12" s="64"/>
      <c r="PAD12" s="64"/>
      <c r="PAE12" s="64"/>
      <c r="PAF12" s="64"/>
      <c r="PAG12" s="64"/>
      <c r="PAH12" s="64"/>
      <c r="PAI12" s="64"/>
      <c r="PAJ12" s="64"/>
      <c r="PAK12" s="64"/>
      <c r="PAL12" s="64"/>
      <c r="PAM12" s="64"/>
      <c r="PAN12" s="64"/>
      <c r="PAO12" s="64"/>
      <c r="PAP12" s="64"/>
      <c r="PAQ12" s="64"/>
      <c r="PAR12" s="64"/>
      <c r="PAS12" s="64"/>
      <c r="PAT12" s="64"/>
      <c r="PAU12" s="64"/>
      <c r="PAV12" s="64"/>
      <c r="PAW12" s="64"/>
      <c r="PAX12" s="64"/>
      <c r="PAY12" s="64"/>
      <c r="PAZ12" s="64"/>
      <c r="PBA12" s="64"/>
      <c r="PBB12" s="64"/>
      <c r="PBC12" s="64"/>
      <c r="PBD12" s="64"/>
      <c r="PBE12" s="64"/>
      <c r="PBF12" s="64"/>
      <c r="PBG12" s="64"/>
      <c r="PBH12" s="64"/>
      <c r="PBI12" s="64"/>
      <c r="PBJ12" s="64"/>
      <c r="PBK12" s="64"/>
      <c r="PBL12" s="64"/>
      <c r="PBM12" s="64"/>
      <c r="PBN12" s="64"/>
      <c r="PBO12" s="64"/>
      <c r="PBP12" s="64"/>
      <c r="PBQ12" s="64"/>
      <c r="PBR12" s="64"/>
      <c r="PBS12" s="64"/>
      <c r="PBT12" s="64"/>
      <c r="PBU12" s="64"/>
      <c r="PBV12" s="64"/>
      <c r="PBW12" s="64"/>
      <c r="PBX12" s="64"/>
      <c r="PBY12" s="64"/>
      <c r="PBZ12" s="64"/>
      <c r="PCA12" s="64"/>
      <c r="PCB12" s="64"/>
      <c r="PCC12" s="64"/>
      <c r="PCD12" s="64"/>
      <c r="PCE12" s="64"/>
      <c r="PCF12" s="64"/>
      <c r="PCG12" s="64"/>
      <c r="PCH12" s="64"/>
      <c r="PCI12" s="64"/>
      <c r="PCJ12" s="64"/>
      <c r="PCK12" s="64"/>
      <c r="PCL12" s="64"/>
      <c r="PCM12" s="64"/>
      <c r="PCN12" s="64"/>
      <c r="PCO12" s="64"/>
      <c r="PCP12" s="64"/>
      <c r="PCQ12" s="64"/>
      <c r="PCR12" s="64"/>
      <c r="PCS12" s="64"/>
      <c r="PCT12" s="64"/>
      <c r="PCU12" s="64"/>
      <c r="PCV12" s="64"/>
      <c r="PCW12" s="64"/>
      <c r="PCX12" s="64"/>
      <c r="PCY12" s="64"/>
      <c r="PCZ12" s="64"/>
      <c r="PDA12" s="64"/>
      <c r="PDB12" s="64"/>
      <c r="PDC12" s="64"/>
      <c r="PDD12" s="64"/>
      <c r="PDE12" s="64"/>
      <c r="PDF12" s="64"/>
      <c r="PDG12" s="64"/>
      <c r="PDH12" s="64"/>
      <c r="PDI12" s="64"/>
      <c r="PDJ12" s="64"/>
      <c r="PDK12" s="64"/>
      <c r="PDL12" s="64"/>
      <c r="PDM12" s="64"/>
      <c r="PDN12" s="64"/>
      <c r="PDO12" s="64"/>
      <c r="PDP12" s="64"/>
      <c r="PDQ12" s="64"/>
      <c r="PDR12" s="64"/>
      <c r="PDS12" s="64"/>
      <c r="PDT12" s="64"/>
      <c r="PDU12" s="64"/>
      <c r="PDV12" s="64"/>
      <c r="PDW12" s="64"/>
      <c r="PDX12" s="64"/>
      <c r="PDY12" s="64"/>
      <c r="PDZ12" s="64"/>
      <c r="PEA12" s="64"/>
      <c r="PEB12" s="64"/>
      <c r="PEC12" s="64"/>
      <c r="PED12" s="64"/>
      <c r="PEE12" s="64"/>
      <c r="PEF12" s="64"/>
      <c r="PEG12" s="64"/>
      <c r="PEH12" s="64"/>
      <c r="PEI12" s="64"/>
      <c r="PEJ12" s="64"/>
      <c r="PEK12" s="64"/>
      <c r="PEL12" s="64"/>
      <c r="PEM12" s="64"/>
      <c r="PEN12" s="64"/>
      <c r="PEO12" s="64"/>
      <c r="PEP12" s="64"/>
      <c r="PEQ12" s="64"/>
      <c r="PER12" s="64"/>
      <c r="PES12" s="64"/>
      <c r="PET12" s="64"/>
      <c r="PEU12" s="64"/>
      <c r="PEV12" s="64"/>
      <c r="PEW12" s="64"/>
      <c r="PEX12" s="64"/>
      <c r="PEY12" s="64"/>
      <c r="PEZ12" s="64"/>
      <c r="PFA12" s="64"/>
      <c r="PFB12" s="64"/>
      <c r="PFC12" s="64"/>
      <c r="PFD12" s="64"/>
      <c r="PFE12" s="64"/>
      <c r="PFF12" s="64"/>
      <c r="PFG12" s="64"/>
      <c r="PFH12" s="64"/>
      <c r="PFI12" s="64"/>
      <c r="PFJ12" s="64"/>
      <c r="PFK12" s="64"/>
      <c r="PFL12" s="64"/>
      <c r="PFM12" s="64"/>
      <c r="PFN12" s="64"/>
      <c r="PFO12" s="64"/>
      <c r="PFP12" s="64"/>
      <c r="PFQ12" s="64"/>
      <c r="PFR12" s="64"/>
      <c r="PFS12" s="64"/>
      <c r="PFT12" s="64"/>
      <c r="PFU12" s="64"/>
      <c r="PFV12" s="64"/>
      <c r="PFW12" s="64"/>
      <c r="PFX12" s="64"/>
      <c r="PFY12" s="64"/>
      <c r="PFZ12" s="64"/>
      <c r="PGA12" s="64"/>
      <c r="PGB12" s="64"/>
      <c r="PGC12" s="64"/>
      <c r="PGD12" s="64"/>
      <c r="PGE12" s="64"/>
      <c r="PGF12" s="64"/>
      <c r="PGG12" s="64"/>
      <c r="PGH12" s="64"/>
      <c r="PGI12" s="64"/>
      <c r="PGJ12" s="64"/>
      <c r="PGK12" s="64"/>
      <c r="PGL12" s="64"/>
      <c r="PGM12" s="64"/>
      <c r="PGN12" s="64"/>
      <c r="PGO12" s="64"/>
      <c r="PGP12" s="64"/>
      <c r="PGQ12" s="64"/>
      <c r="PGR12" s="64"/>
      <c r="PGS12" s="64"/>
      <c r="PGT12" s="64"/>
      <c r="PGU12" s="64"/>
      <c r="PGV12" s="64"/>
      <c r="PGW12" s="64"/>
      <c r="PGX12" s="64"/>
      <c r="PGY12" s="64"/>
      <c r="PGZ12" s="64"/>
      <c r="PHA12" s="64"/>
      <c r="PHB12" s="64"/>
      <c r="PHC12" s="64"/>
      <c r="PHD12" s="64"/>
      <c r="PHE12" s="64"/>
      <c r="PHF12" s="64"/>
      <c r="PHG12" s="64"/>
      <c r="PHH12" s="64"/>
      <c r="PHI12" s="64"/>
      <c r="PHJ12" s="64"/>
      <c r="PHK12" s="64"/>
      <c r="PHL12" s="64"/>
      <c r="PHM12" s="64"/>
      <c r="PHN12" s="64"/>
      <c r="PHO12" s="64"/>
      <c r="PHP12" s="64"/>
      <c r="PHQ12" s="64"/>
      <c r="PHR12" s="64"/>
      <c r="PHS12" s="64"/>
      <c r="PHT12" s="64"/>
      <c r="PHU12" s="64"/>
      <c r="PHV12" s="64"/>
      <c r="PHW12" s="64"/>
      <c r="PHX12" s="64"/>
      <c r="PHY12" s="64"/>
      <c r="PHZ12" s="64"/>
      <c r="PIA12" s="64"/>
      <c r="PIB12" s="64"/>
      <c r="PIC12" s="64"/>
      <c r="PID12" s="64"/>
      <c r="PIE12" s="64"/>
      <c r="PIF12" s="64"/>
      <c r="PIG12" s="64"/>
      <c r="PIH12" s="64"/>
      <c r="PII12" s="64"/>
      <c r="PIJ12" s="64"/>
      <c r="PIK12" s="64"/>
      <c r="PIL12" s="64"/>
      <c r="PIM12" s="64"/>
      <c r="PIN12" s="64"/>
      <c r="PIO12" s="64"/>
      <c r="PIP12" s="64"/>
      <c r="PIQ12" s="64"/>
      <c r="PIR12" s="64"/>
      <c r="PIS12" s="64"/>
      <c r="PIT12" s="64"/>
      <c r="PIU12" s="64"/>
      <c r="PIV12" s="64"/>
      <c r="PIW12" s="64"/>
      <c r="PIX12" s="64"/>
      <c r="PIY12" s="64"/>
      <c r="PIZ12" s="64"/>
      <c r="PJA12" s="64"/>
      <c r="PJB12" s="64"/>
      <c r="PJC12" s="64"/>
      <c r="PJD12" s="64"/>
      <c r="PJE12" s="64"/>
      <c r="PJF12" s="64"/>
      <c r="PJG12" s="64"/>
      <c r="PJH12" s="64"/>
      <c r="PJI12" s="64"/>
      <c r="PJJ12" s="64"/>
      <c r="PJK12" s="64"/>
      <c r="PJL12" s="64"/>
      <c r="PJM12" s="64"/>
      <c r="PJN12" s="64"/>
      <c r="PJO12" s="64"/>
      <c r="PJP12" s="64"/>
      <c r="PJQ12" s="64"/>
      <c r="PJR12" s="64"/>
      <c r="PJS12" s="64"/>
      <c r="PJT12" s="64"/>
      <c r="PJU12" s="64"/>
      <c r="PJV12" s="64"/>
      <c r="PJW12" s="64"/>
      <c r="PJX12" s="64"/>
      <c r="PJY12" s="64"/>
      <c r="PJZ12" s="64"/>
      <c r="PKA12" s="64"/>
      <c r="PKB12" s="64"/>
      <c r="PKC12" s="64"/>
      <c r="PKD12" s="64"/>
      <c r="PKE12" s="64"/>
      <c r="PKF12" s="64"/>
      <c r="PKG12" s="64"/>
      <c r="PKH12" s="64"/>
      <c r="PKI12" s="64"/>
      <c r="PKJ12" s="64"/>
      <c r="PKK12" s="64"/>
      <c r="PKL12" s="64"/>
      <c r="PKM12" s="64"/>
      <c r="PKN12" s="64"/>
      <c r="PKO12" s="64"/>
      <c r="PKP12" s="64"/>
      <c r="PKQ12" s="64"/>
      <c r="PKR12" s="64"/>
      <c r="PKS12" s="64"/>
      <c r="PKT12" s="64"/>
      <c r="PKU12" s="64"/>
      <c r="PKV12" s="64"/>
      <c r="PKW12" s="64"/>
      <c r="PKX12" s="64"/>
      <c r="PKY12" s="64"/>
      <c r="PKZ12" s="64"/>
      <c r="PLA12" s="64"/>
      <c r="PLB12" s="64"/>
      <c r="PLC12" s="64"/>
      <c r="PLD12" s="64"/>
      <c r="PLE12" s="64"/>
      <c r="PLF12" s="64"/>
      <c r="PLG12" s="64"/>
      <c r="PLH12" s="64"/>
      <c r="PLI12" s="64"/>
      <c r="PLJ12" s="64"/>
      <c r="PLK12" s="64"/>
      <c r="PLL12" s="64"/>
      <c r="PLM12" s="64"/>
      <c r="PLN12" s="64"/>
      <c r="PLO12" s="64"/>
      <c r="PLP12" s="64"/>
      <c r="PLQ12" s="64"/>
      <c r="PLR12" s="64"/>
      <c r="PLS12" s="64"/>
      <c r="PLT12" s="64"/>
      <c r="PLU12" s="64"/>
      <c r="PLV12" s="64"/>
      <c r="PLW12" s="64"/>
      <c r="PLX12" s="64"/>
      <c r="PLY12" s="64"/>
      <c r="PLZ12" s="64"/>
      <c r="PMA12" s="64"/>
      <c r="PMB12" s="64"/>
      <c r="PMC12" s="64"/>
      <c r="PMD12" s="64"/>
      <c r="PME12" s="64"/>
      <c r="PMF12" s="64"/>
      <c r="PMG12" s="64"/>
      <c r="PMH12" s="64"/>
      <c r="PMI12" s="64"/>
      <c r="PMJ12" s="64"/>
      <c r="PMK12" s="64"/>
      <c r="PML12" s="64"/>
      <c r="PMM12" s="64"/>
      <c r="PMN12" s="64"/>
      <c r="PMO12" s="64"/>
      <c r="PMP12" s="64"/>
      <c r="PMQ12" s="64"/>
      <c r="PMR12" s="64"/>
      <c r="PMS12" s="64"/>
      <c r="PMT12" s="64"/>
      <c r="PMU12" s="64"/>
      <c r="PMV12" s="64"/>
      <c r="PMW12" s="64"/>
      <c r="PMX12" s="64"/>
      <c r="PMY12" s="64"/>
      <c r="PMZ12" s="64"/>
      <c r="PNA12" s="64"/>
      <c r="PNB12" s="64"/>
      <c r="PNC12" s="64"/>
      <c r="PND12" s="64"/>
      <c r="PNE12" s="64"/>
      <c r="PNF12" s="64"/>
      <c r="PNG12" s="64"/>
      <c r="PNH12" s="64"/>
      <c r="PNI12" s="64"/>
      <c r="PNJ12" s="64"/>
      <c r="PNK12" s="64"/>
      <c r="PNL12" s="64"/>
      <c r="PNM12" s="64"/>
      <c r="PNN12" s="64"/>
      <c r="PNO12" s="64"/>
      <c r="PNP12" s="64"/>
      <c r="PNQ12" s="64"/>
      <c r="PNR12" s="64"/>
      <c r="PNS12" s="64"/>
      <c r="PNT12" s="64"/>
      <c r="PNU12" s="64"/>
      <c r="PNV12" s="64"/>
      <c r="PNW12" s="64"/>
      <c r="PNX12" s="64"/>
      <c r="PNY12" s="64"/>
      <c r="PNZ12" s="64"/>
      <c r="POA12" s="64"/>
      <c r="POB12" s="64"/>
      <c r="POC12" s="64"/>
      <c r="POD12" s="64"/>
      <c r="POE12" s="64"/>
      <c r="POF12" s="64"/>
      <c r="POG12" s="64"/>
      <c r="POH12" s="64"/>
      <c r="POI12" s="64"/>
      <c r="POJ12" s="64"/>
      <c r="POK12" s="64"/>
      <c r="POL12" s="64"/>
      <c r="POM12" s="64"/>
      <c r="PON12" s="64"/>
      <c r="POO12" s="64"/>
      <c r="POP12" s="64"/>
      <c r="POQ12" s="64"/>
      <c r="POR12" s="64"/>
      <c r="POS12" s="64"/>
      <c r="POT12" s="64"/>
      <c r="POU12" s="64"/>
      <c r="POV12" s="64"/>
      <c r="POW12" s="64"/>
      <c r="POX12" s="64"/>
      <c r="POY12" s="64"/>
      <c r="POZ12" s="64"/>
      <c r="PPA12" s="64"/>
      <c r="PPB12" s="64"/>
      <c r="PPC12" s="64"/>
      <c r="PPD12" s="64"/>
      <c r="PPE12" s="64"/>
      <c r="PPF12" s="64"/>
      <c r="PPG12" s="64"/>
      <c r="PPH12" s="64"/>
      <c r="PPI12" s="64"/>
      <c r="PPJ12" s="64"/>
      <c r="PPK12" s="64"/>
      <c r="PPL12" s="64"/>
      <c r="PPM12" s="64"/>
      <c r="PPN12" s="64"/>
      <c r="PPO12" s="64"/>
      <c r="PPP12" s="64"/>
      <c r="PPQ12" s="64"/>
      <c r="PPR12" s="64"/>
      <c r="PPS12" s="64"/>
      <c r="PPT12" s="64"/>
      <c r="PPU12" s="64"/>
      <c r="PPV12" s="64"/>
      <c r="PPW12" s="64"/>
      <c r="PPX12" s="64"/>
      <c r="PPY12" s="64"/>
      <c r="PPZ12" s="64"/>
      <c r="PQA12" s="64"/>
      <c r="PQB12" s="64"/>
      <c r="PQC12" s="64"/>
      <c r="PQD12" s="64"/>
      <c r="PQE12" s="64"/>
      <c r="PQF12" s="64"/>
      <c r="PQG12" s="64"/>
      <c r="PQH12" s="64"/>
      <c r="PQI12" s="64"/>
      <c r="PQJ12" s="64"/>
      <c r="PQK12" s="64"/>
      <c r="PQL12" s="64"/>
      <c r="PQM12" s="64"/>
      <c r="PQN12" s="64"/>
      <c r="PQO12" s="64"/>
      <c r="PQP12" s="64"/>
      <c r="PQQ12" s="64"/>
      <c r="PQR12" s="64"/>
      <c r="PQS12" s="64"/>
      <c r="PQT12" s="64"/>
      <c r="PQU12" s="64"/>
      <c r="PQV12" s="64"/>
      <c r="PQW12" s="64"/>
      <c r="PQX12" s="64"/>
      <c r="PQY12" s="64"/>
      <c r="PQZ12" s="64"/>
      <c r="PRA12" s="64"/>
      <c r="PRB12" s="64"/>
      <c r="PRC12" s="64"/>
      <c r="PRD12" s="64"/>
      <c r="PRE12" s="64"/>
      <c r="PRF12" s="64"/>
      <c r="PRG12" s="64"/>
      <c r="PRH12" s="64"/>
      <c r="PRI12" s="64"/>
      <c r="PRJ12" s="64"/>
      <c r="PRK12" s="64"/>
      <c r="PRL12" s="64"/>
      <c r="PRM12" s="64"/>
      <c r="PRN12" s="64"/>
      <c r="PRO12" s="64"/>
      <c r="PRP12" s="64"/>
      <c r="PRQ12" s="64"/>
      <c r="PRR12" s="64"/>
      <c r="PRS12" s="64"/>
      <c r="PRT12" s="64"/>
      <c r="PRU12" s="64"/>
      <c r="PRV12" s="64"/>
      <c r="PRW12" s="64"/>
      <c r="PRX12" s="64"/>
      <c r="PRY12" s="64"/>
      <c r="PRZ12" s="64"/>
      <c r="PSA12" s="64"/>
      <c r="PSB12" s="64"/>
      <c r="PSC12" s="64"/>
      <c r="PSD12" s="64"/>
      <c r="PSE12" s="64"/>
      <c r="PSF12" s="64"/>
      <c r="PSG12" s="64"/>
      <c r="PSH12" s="64"/>
      <c r="PSI12" s="64"/>
      <c r="PSJ12" s="64"/>
      <c r="PSK12" s="64"/>
      <c r="PSL12" s="64"/>
      <c r="PSM12" s="64"/>
      <c r="PSN12" s="64"/>
      <c r="PSO12" s="64"/>
      <c r="PSP12" s="64"/>
      <c r="PSQ12" s="64"/>
      <c r="PSR12" s="64"/>
      <c r="PSS12" s="64"/>
      <c r="PST12" s="64"/>
      <c r="PSU12" s="64"/>
      <c r="PSV12" s="64"/>
      <c r="PSW12" s="64"/>
      <c r="PSX12" s="64"/>
      <c r="PSY12" s="64"/>
      <c r="PSZ12" s="64"/>
      <c r="PTA12" s="64"/>
      <c r="PTB12" s="64"/>
      <c r="PTC12" s="64"/>
      <c r="PTD12" s="64"/>
      <c r="PTE12" s="64"/>
      <c r="PTF12" s="64"/>
      <c r="PTG12" s="64"/>
      <c r="PTH12" s="64"/>
      <c r="PTI12" s="64"/>
      <c r="PTJ12" s="64"/>
      <c r="PTK12" s="64"/>
      <c r="PTL12" s="64"/>
      <c r="PTM12" s="64"/>
      <c r="PTN12" s="64"/>
      <c r="PTO12" s="64"/>
      <c r="PTP12" s="64"/>
      <c r="PTQ12" s="64"/>
      <c r="PTR12" s="64"/>
      <c r="PTS12" s="64"/>
      <c r="PTT12" s="64"/>
      <c r="PTU12" s="64"/>
      <c r="PTV12" s="64"/>
      <c r="PTW12" s="64"/>
      <c r="PTX12" s="64"/>
      <c r="PTY12" s="64"/>
      <c r="PTZ12" s="64"/>
      <c r="PUA12" s="64"/>
      <c r="PUB12" s="64"/>
      <c r="PUC12" s="64"/>
      <c r="PUD12" s="64"/>
      <c r="PUE12" s="64"/>
      <c r="PUF12" s="64"/>
      <c r="PUG12" s="64"/>
      <c r="PUH12" s="64"/>
      <c r="PUI12" s="64"/>
      <c r="PUJ12" s="64"/>
      <c r="PUK12" s="64"/>
      <c r="PUL12" s="64"/>
      <c r="PUM12" s="64"/>
      <c r="PUN12" s="64"/>
      <c r="PUO12" s="64"/>
      <c r="PUP12" s="64"/>
      <c r="PUQ12" s="64"/>
      <c r="PUR12" s="64"/>
      <c r="PUS12" s="64"/>
      <c r="PUT12" s="64"/>
      <c r="PUU12" s="64"/>
      <c r="PUV12" s="64"/>
      <c r="PUW12" s="64"/>
      <c r="PUX12" s="64"/>
      <c r="PUY12" s="64"/>
      <c r="PUZ12" s="64"/>
      <c r="PVA12" s="64"/>
      <c r="PVB12" s="64"/>
      <c r="PVC12" s="64"/>
      <c r="PVD12" s="64"/>
      <c r="PVE12" s="64"/>
      <c r="PVF12" s="64"/>
      <c r="PVG12" s="64"/>
      <c r="PVH12" s="64"/>
      <c r="PVI12" s="64"/>
      <c r="PVJ12" s="64"/>
      <c r="PVK12" s="64"/>
      <c r="PVL12" s="64"/>
      <c r="PVM12" s="64"/>
      <c r="PVN12" s="64"/>
      <c r="PVO12" s="64"/>
      <c r="PVP12" s="64"/>
      <c r="PVQ12" s="64"/>
      <c r="PVR12" s="64"/>
      <c r="PVS12" s="64"/>
      <c r="PVT12" s="64"/>
      <c r="PVU12" s="64"/>
      <c r="PVV12" s="64"/>
      <c r="PVW12" s="64"/>
      <c r="PVX12" s="64"/>
      <c r="PVY12" s="64"/>
      <c r="PVZ12" s="64"/>
      <c r="PWA12" s="64"/>
      <c r="PWB12" s="64"/>
      <c r="PWC12" s="64"/>
      <c r="PWD12" s="64"/>
      <c r="PWE12" s="64"/>
      <c r="PWF12" s="64"/>
      <c r="PWG12" s="64"/>
      <c r="PWH12" s="64"/>
      <c r="PWI12" s="64"/>
      <c r="PWJ12" s="64"/>
      <c r="PWK12" s="64"/>
      <c r="PWL12" s="64"/>
      <c r="PWM12" s="64"/>
      <c r="PWN12" s="64"/>
      <c r="PWO12" s="64"/>
      <c r="PWP12" s="64"/>
      <c r="PWQ12" s="64"/>
      <c r="PWR12" s="64"/>
      <c r="PWS12" s="64"/>
      <c r="PWT12" s="64"/>
      <c r="PWU12" s="64"/>
      <c r="PWV12" s="64"/>
      <c r="PWW12" s="64"/>
      <c r="PWX12" s="64"/>
      <c r="PWY12" s="64"/>
      <c r="PWZ12" s="64"/>
      <c r="PXA12" s="64"/>
      <c r="PXB12" s="64"/>
      <c r="PXC12" s="64"/>
      <c r="PXD12" s="64"/>
      <c r="PXE12" s="64"/>
      <c r="PXF12" s="64"/>
      <c r="PXG12" s="64"/>
      <c r="PXH12" s="64"/>
      <c r="PXI12" s="64"/>
      <c r="PXJ12" s="64"/>
      <c r="PXK12" s="64"/>
      <c r="PXL12" s="64"/>
      <c r="PXM12" s="64"/>
      <c r="PXN12" s="64"/>
      <c r="PXO12" s="64"/>
      <c r="PXP12" s="64"/>
      <c r="PXQ12" s="64"/>
      <c r="PXR12" s="64"/>
      <c r="PXS12" s="64"/>
      <c r="PXT12" s="64"/>
      <c r="PXU12" s="64"/>
      <c r="PXV12" s="64"/>
      <c r="PXW12" s="64"/>
      <c r="PXX12" s="64"/>
      <c r="PXY12" s="64"/>
      <c r="PXZ12" s="64"/>
      <c r="PYA12" s="64"/>
      <c r="PYB12" s="64"/>
      <c r="PYC12" s="64"/>
      <c r="PYD12" s="64"/>
      <c r="PYE12" s="64"/>
      <c r="PYF12" s="64"/>
      <c r="PYG12" s="64"/>
      <c r="PYH12" s="64"/>
      <c r="PYI12" s="64"/>
      <c r="PYJ12" s="64"/>
      <c r="PYK12" s="64"/>
      <c r="PYL12" s="64"/>
      <c r="PYM12" s="64"/>
      <c r="PYN12" s="64"/>
      <c r="PYO12" s="64"/>
      <c r="PYP12" s="64"/>
      <c r="PYQ12" s="64"/>
      <c r="PYR12" s="64"/>
      <c r="PYS12" s="64"/>
      <c r="PYT12" s="64"/>
      <c r="PYU12" s="64"/>
      <c r="PYV12" s="64"/>
      <c r="PYW12" s="64"/>
      <c r="PYX12" s="64"/>
      <c r="PYY12" s="64"/>
      <c r="PYZ12" s="64"/>
      <c r="PZA12" s="64"/>
      <c r="PZB12" s="64"/>
      <c r="PZC12" s="64"/>
      <c r="PZD12" s="64"/>
      <c r="PZE12" s="64"/>
      <c r="PZF12" s="64"/>
      <c r="PZG12" s="64"/>
      <c r="PZH12" s="64"/>
      <c r="PZI12" s="64"/>
      <c r="PZJ12" s="64"/>
      <c r="PZK12" s="64"/>
      <c r="PZL12" s="64"/>
      <c r="PZM12" s="64"/>
      <c r="PZN12" s="64"/>
      <c r="PZO12" s="64"/>
      <c r="PZP12" s="64"/>
      <c r="PZQ12" s="64"/>
      <c r="PZR12" s="64"/>
      <c r="PZS12" s="64"/>
      <c r="PZT12" s="64"/>
      <c r="PZU12" s="64"/>
      <c r="PZV12" s="64"/>
      <c r="PZW12" s="64"/>
      <c r="PZX12" s="64"/>
      <c r="PZY12" s="64"/>
      <c r="PZZ12" s="64"/>
      <c r="QAA12" s="64"/>
      <c r="QAB12" s="64"/>
      <c r="QAC12" s="64"/>
      <c r="QAD12" s="64"/>
      <c r="QAE12" s="64"/>
      <c r="QAF12" s="64"/>
      <c r="QAG12" s="64"/>
      <c r="QAH12" s="64"/>
      <c r="QAI12" s="64"/>
      <c r="QAJ12" s="64"/>
      <c r="QAK12" s="64"/>
      <c r="QAL12" s="64"/>
      <c r="QAM12" s="64"/>
      <c r="QAN12" s="64"/>
      <c r="QAO12" s="64"/>
      <c r="QAP12" s="64"/>
      <c r="QAQ12" s="64"/>
      <c r="QAR12" s="64"/>
      <c r="QAS12" s="64"/>
      <c r="QAT12" s="64"/>
      <c r="QAU12" s="64"/>
      <c r="QAV12" s="64"/>
      <c r="QAW12" s="64"/>
      <c r="QAX12" s="64"/>
      <c r="QAY12" s="64"/>
      <c r="QAZ12" s="64"/>
      <c r="QBA12" s="64"/>
      <c r="QBB12" s="64"/>
      <c r="QBC12" s="64"/>
      <c r="QBD12" s="64"/>
      <c r="QBE12" s="64"/>
      <c r="QBF12" s="64"/>
      <c r="QBG12" s="64"/>
      <c r="QBH12" s="64"/>
      <c r="QBI12" s="64"/>
      <c r="QBJ12" s="64"/>
      <c r="QBK12" s="64"/>
      <c r="QBL12" s="64"/>
      <c r="QBM12" s="64"/>
      <c r="QBN12" s="64"/>
      <c r="QBO12" s="64"/>
      <c r="QBP12" s="64"/>
      <c r="QBQ12" s="64"/>
      <c r="QBR12" s="64"/>
      <c r="QBS12" s="64"/>
      <c r="QBT12" s="64"/>
      <c r="QBU12" s="64"/>
      <c r="QBV12" s="64"/>
      <c r="QBW12" s="64"/>
      <c r="QBX12" s="64"/>
      <c r="QBY12" s="64"/>
      <c r="QBZ12" s="64"/>
      <c r="QCA12" s="64"/>
      <c r="QCB12" s="64"/>
      <c r="QCC12" s="64"/>
      <c r="QCD12" s="64"/>
      <c r="QCE12" s="64"/>
      <c r="QCF12" s="64"/>
      <c r="QCG12" s="64"/>
      <c r="QCH12" s="64"/>
      <c r="QCI12" s="64"/>
      <c r="QCJ12" s="64"/>
      <c r="QCK12" s="64"/>
      <c r="QCL12" s="64"/>
      <c r="QCM12" s="64"/>
      <c r="QCN12" s="64"/>
      <c r="QCO12" s="64"/>
      <c r="QCP12" s="64"/>
      <c r="QCQ12" s="64"/>
      <c r="QCR12" s="64"/>
      <c r="QCS12" s="64"/>
      <c r="QCT12" s="64"/>
      <c r="QCU12" s="64"/>
      <c r="QCV12" s="64"/>
      <c r="QCW12" s="64"/>
      <c r="QCX12" s="64"/>
      <c r="QCY12" s="64"/>
      <c r="QCZ12" s="64"/>
      <c r="QDA12" s="64"/>
      <c r="QDB12" s="64"/>
      <c r="QDC12" s="64"/>
      <c r="QDD12" s="64"/>
      <c r="QDE12" s="64"/>
      <c r="QDF12" s="64"/>
      <c r="QDG12" s="64"/>
      <c r="QDH12" s="64"/>
      <c r="QDI12" s="64"/>
      <c r="QDJ12" s="64"/>
      <c r="QDK12" s="64"/>
      <c r="QDL12" s="64"/>
      <c r="QDM12" s="64"/>
      <c r="QDN12" s="64"/>
      <c r="QDO12" s="64"/>
      <c r="QDP12" s="64"/>
      <c r="QDQ12" s="64"/>
      <c r="QDR12" s="64"/>
      <c r="QDS12" s="64"/>
      <c r="QDT12" s="64"/>
      <c r="QDU12" s="64"/>
      <c r="QDV12" s="64"/>
      <c r="QDW12" s="64"/>
      <c r="QDX12" s="64"/>
      <c r="QDY12" s="64"/>
      <c r="QDZ12" s="64"/>
      <c r="QEA12" s="64"/>
      <c r="QEB12" s="64"/>
      <c r="QEC12" s="64"/>
      <c r="QED12" s="64"/>
      <c r="QEE12" s="64"/>
      <c r="QEF12" s="64"/>
      <c r="QEG12" s="64"/>
      <c r="QEH12" s="64"/>
      <c r="QEI12" s="64"/>
      <c r="QEJ12" s="64"/>
      <c r="QEK12" s="64"/>
      <c r="QEL12" s="64"/>
      <c r="QEM12" s="64"/>
      <c r="QEN12" s="64"/>
      <c r="QEO12" s="64"/>
      <c r="QEP12" s="64"/>
      <c r="QEQ12" s="64"/>
      <c r="QER12" s="64"/>
      <c r="QES12" s="64"/>
      <c r="QET12" s="64"/>
      <c r="QEU12" s="64"/>
      <c r="QEV12" s="64"/>
      <c r="QEW12" s="64"/>
      <c r="QEX12" s="64"/>
      <c r="QEY12" s="64"/>
      <c r="QEZ12" s="64"/>
      <c r="QFA12" s="64"/>
      <c r="QFB12" s="64"/>
      <c r="QFC12" s="64"/>
      <c r="QFD12" s="64"/>
      <c r="QFE12" s="64"/>
      <c r="QFF12" s="64"/>
      <c r="QFG12" s="64"/>
      <c r="QFH12" s="64"/>
      <c r="QFI12" s="64"/>
      <c r="QFJ12" s="64"/>
      <c r="QFK12" s="64"/>
      <c r="QFL12" s="64"/>
      <c r="QFM12" s="64"/>
      <c r="QFN12" s="64"/>
      <c r="QFO12" s="64"/>
      <c r="QFP12" s="64"/>
      <c r="QFQ12" s="64"/>
      <c r="QFR12" s="64"/>
      <c r="QFS12" s="64"/>
      <c r="QFT12" s="64"/>
      <c r="QFU12" s="64"/>
      <c r="QFV12" s="64"/>
      <c r="QFW12" s="64"/>
      <c r="QFX12" s="64"/>
      <c r="QFY12" s="64"/>
      <c r="QFZ12" s="64"/>
      <c r="QGA12" s="64"/>
      <c r="QGB12" s="64"/>
      <c r="QGC12" s="64"/>
      <c r="QGD12" s="64"/>
      <c r="QGE12" s="64"/>
      <c r="QGF12" s="64"/>
      <c r="QGG12" s="64"/>
      <c r="QGH12" s="64"/>
      <c r="QGI12" s="64"/>
      <c r="QGJ12" s="64"/>
      <c r="QGK12" s="64"/>
      <c r="QGL12" s="64"/>
      <c r="QGM12" s="64"/>
      <c r="QGN12" s="64"/>
      <c r="QGO12" s="64"/>
      <c r="QGP12" s="64"/>
      <c r="QGQ12" s="64"/>
      <c r="QGR12" s="64"/>
      <c r="QGS12" s="64"/>
      <c r="QGT12" s="64"/>
      <c r="QGU12" s="64"/>
      <c r="QGV12" s="64"/>
      <c r="QGW12" s="64"/>
      <c r="QGX12" s="64"/>
      <c r="QGY12" s="64"/>
      <c r="QGZ12" s="64"/>
      <c r="QHA12" s="64"/>
      <c r="QHB12" s="64"/>
      <c r="QHC12" s="64"/>
      <c r="QHD12" s="64"/>
      <c r="QHE12" s="64"/>
      <c r="QHF12" s="64"/>
      <c r="QHG12" s="64"/>
      <c r="QHH12" s="64"/>
      <c r="QHI12" s="64"/>
      <c r="QHJ12" s="64"/>
      <c r="QHK12" s="64"/>
      <c r="QHL12" s="64"/>
      <c r="QHM12" s="64"/>
      <c r="QHN12" s="64"/>
      <c r="QHO12" s="64"/>
      <c r="QHP12" s="64"/>
      <c r="QHQ12" s="64"/>
      <c r="QHR12" s="64"/>
      <c r="QHS12" s="64"/>
      <c r="QHT12" s="64"/>
      <c r="QHU12" s="64"/>
      <c r="QHV12" s="64"/>
      <c r="QHW12" s="64"/>
      <c r="QHX12" s="64"/>
      <c r="QHY12" s="64"/>
      <c r="QHZ12" s="64"/>
      <c r="QIA12" s="64"/>
      <c r="QIB12" s="64"/>
      <c r="QIC12" s="64"/>
      <c r="QID12" s="64"/>
      <c r="QIE12" s="64"/>
      <c r="QIF12" s="64"/>
      <c r="QIG12" s="64"/>
      <c r="QIH12" s="64"/>
      <c r="QII12" s="64"/>
      <c r="QIJ12" s="64"/>
      <c r="QIK12" s="64"/>
      <c r="QIL12" s="64"/>
      <c r="QIM12" s="64"/>
      <c r="QIN12" s="64"/>
      <c r="QIO12" s="64"/>
      <c r="QIP12" s="64"/>
      <c r="QIQ12" s="64"/>
      <c r="QIR12" s="64"/>
      <c r="QIS12" s="64"/>
      <c r="QIT12" s="64"/>
      <c r="QIU12" s="64"/>
      <c r="QIV12" s="64"/>
      <c r="QIW12" s="64"/>
      <c r="QIX12" s="64"/>
      <c r="QIY12" s="64"/>
      <c r="QIZ12" s="64"/>
      <c r="QJA12" s="64"/>
      <c r="QJB12" s="64"/>
      <c r="QJC12" s="64"/>
      <c r="QJD12" s="64"/>
      <c r="QJE12" s="64"/>
      <c r="QJF12" s="64"/>
      <c r="QJG12" s="64"/>
      <c r="QJH12" s="64"/>
      <c r="QJI12" s="64"/>
      <c r="QJJ12" s="64"/>
      <c r="QJK12" s="64"/>
      <c r="QJL12" s="64"/>
      <c r="QJM12" s="64"/>
      <c r="QJN12" s="64"/>
      <c r="QJO12" s="64"/>
      <c r="QJP12" s="64"/>
      <c r="QJQ12" s="64"/>
      <c r="QJR12" s="64"/>
      <c r="QJS12" s="64"/>
      <c r="QJT12" s="64"/>
      <c r="QJU12" s="64"/>
      <c r="QJV12" s="64"/>
      <c r="QJW12" s="64"/>
      <c r="QJX12" s="64"/>
      <c r="QJY12" s="64"/>
      <c r="QJZ12" s="64"/>
      <c r="QKA12" s="64"/>
      <c r="QKB12" s="64"/>
      <c r="QKC12" s="64"/>
      <c r="QKD12" s="64"/>
      <c r="QKE12" s="64"/>
      <c r="QKF12" s="64"/>
      <c r="QKG12" s="64"/>
      <c r="QKH12" s="64"/>
      <c r="QKI12" s="64"/>
      <c r="QKJ12" s="64"/>
      <c r="QKK12" s="64"/>
      <c r="QKL12" s="64"/>
      <c r="QKM12" s="64"/>
      <c r="QKN12" s="64"/>
      <c r="QKO12" s="64"/>
      <c r="QKP12" s="64"/>
      <c r="QKQ12" s="64"/>
      <c r="QKR12" s="64"/>
      <c r="QKS12" s="64"/>
      <c r="QKT12" s="64"/>
      <c r="QKU12" s="64"/>
      <c r="QKV12" s="64"/>
      <c r="QKW12" s="64"/>
      <c r="QKX12" s="64"/>
      <c r="QKY12" s="64"/>
      <c r="QKZ12" s="64"/>
      <c r="QLA12" s="64"/>
      <c r="QLB12" s="64"/>
      <c r="QLC12" s="64"/>
      <c r="QLD12" s="64"/>
      <c r="QLE12" s="64"/>
      <c r="QLF12" s="64"/>
      <c r="QLG12" s="64"/>
      <c r="QLH12" s="64"/>
      <c r="QLI12" s="64"/>
      <c r="QLJ12" s="64"/>
      <c r="QLK12" s="64"/>
      <c r="QLL12" s="64"/>
      <c r="QLM12" s="64"/>
      <c r="QLN12" s="64"/>
      <c r="QLO12" s="64"/>
      <c r="QLP12" s="64"/>
      <c r="QLQ12" s="64"/>
      <c r="QLR12" s="64"/>
      <c r="QLS12" s="64"/>
      <c r="QLT12" s="64"/>
      <c r="QLU12" s="64"/>
      <c r="QLV12" s="64"/>
      <c r="QLW12" s="64"/>
      <c r="QLX12" s="64"/>
      <c r="QLY12" s="64"/>
      <c r="QLZ12" s="64"/>
      <c r="QMA12" s="64"/>
      <c r="QMB12" s="64"/>
      <c r="QMC12" s="64"/>
      <c r="QMD12" s="64"/>
      <c r="QME12" s="64"/>
      <c r="QMF12" s="64"/>
      <c r="QMG12" s="64"/>
      <c r="QMH12" s="64"/>
      <c r="QMI12" s="64"/>
      <c r="QMJ12" s="64"/>
      <c r="QMK12" s="64"/>
      <c r="QML12" s="64"/>
      <c r="QMM12" s="64"/>
      <c r="QMN12" s="64"/>
      <c r="QMO12" s="64"/>
      <c r="QMP12" s="64"/>
      <c r="QMQ12" s="64"/>
      <c r="QMR12" s="64"/>
      <c r="QMS12" s="64"/>
      <c r="QMT12" s="64"/>
      <c r="QMU12" s="64"/>
      <c r="QMV12" s="64"/>
      <c r="QMW12" s="64"/>
      <c r="QMX12" s="64"/>
      <c r="QMY12" s="64"/>
      <c r="QMZ12" s="64"/>
      <c r="QNA12" s="64"/>
      <c r="QNB12" s="64"/>
      <c r="QNC12" s="64"/>
      <c r="QND12" s="64"/>
      <c r="QNE12" s="64"/>
      <c r="QNF12" s="64"/>
      <c r="QNG12" s="64"/>
      <c r="QNH12" s="64"/>
      <c r="QNI12" s="64"/>
      <c r="QNJ12" s="64"/>
      <c r="QNK12" s="64"/>
      <c r="QNL12" s="64"/>
      <c r="QNM12" s="64"/>
      <c r="QNN12" s="64"/>
      <c r="QNO12" s="64"/>
      <c r="QNP12" s="64"/>
      <c r="QNQ12" s="64"/>
      <c r="QNR12" s="64"/>
      <c r="QNS12" s="64"/>
      <c r="QNT12" s="64"/>
      <c r="QNU12" s="64"/>
      <c r="QNV12" s="64"/>
      <c r="QNW12" s="64"/>
      <c r="QNX12" s="64"/>
      <c r="QNY12" s="64"/>
      <c r="QNZ12" s="64"/>
      <c r="QOA12" s="64"/>
      <c r="QOB12" s="64"/>
      <c r="QOC12" s="64"/>
      <c r="QOD12" s="64"/>
      <c r="QOE12" s="64"/>
      <c r="QOF12" s="64"/>
      <c r="QOG12" s="64"/>
      <c r="QOH12" s="64"/>
      <c r="QOI12" s="64"/>
      <c r="QOJ12" s="64"/>
      <c r="QOK12" s="64"/>
      <c r="QOL12" s="64"/>
      <c r="QOM12" s="64"/>
      <c r="QON12" s="64"/>
      <c r="QOO12" s="64"/>
      <c r="QOP12" s="64"/>
      <c r="QOQ12" s="64"/>
      <c r="QOR12" s="64"/>
      <c r="QOS12" s="64"/>
      <c r="QOT12" s="64"/>
      <c r="QOU12" s="64"/>
      <c r="QOV12" s="64"/>
      <c r="QOW12" s="64"/>
      <c r="QOX12" s="64"/>
      <c r="QOY12" s="64"/>
      <c r="QOZ12" s="64"/>
      <c r="QPA12" s="64"/>
      <c r="QPB12" s="64"/>
      <c r="QPC12" s="64"/>
      <c r="QPD12" s="64"/>
      <c r="QPE12" s="64"/>
      <c r="QPF12" s="64"/>
      <c r="QPG12" s="64"/>
      <c r="QPH12" s="64"/>
      <c r="QPI12" s="64"/>
      <c r="QPJ12" s="64"/>
      <c r="QPK12" s="64"/>
      <c r="QPL12" s="64"/>
      <c r="QPM12" s="64"/>
      <c r="QPN12" s="64"/>
      <c r="QPO12" s="64"/>
      <c r="QPP12" s="64"/>
      <c r="QPQ12" s="64"/>
      <c r="QPR12" s="64"/>
      <c r="QPS12" s="64"/>
      <c r="QPT12" s="64"/>
      <c r="QPU12" s="64"/>
      <c r="QPV12" s="64"/>
      <c r="QPW12" s="64"/>
      <c r="QPX12" s="64"/>
      <c r="QPY12" s="64"/>
      <c r="QPZ12" s="64"/>
      <c r="QQA12" s="64"/>
      <c r="QQB12" s="64"/>
      <c r="QQC12" s="64"/>
      <c r="QQD12" s="64"/>
      <c r="QQE12" s="64"/>
      <c r="QQF12" s="64"/>
      <c r="QQG12" s="64"/>
      <c r="QQH12" s="64"/>
      <c r="QQI12" s="64"/>
      <c r="QQJ12" s="64"/>
      <c r="QQK12" s="64"/>
      <c r="QQL12" s="64"/>
      <c r="QQM12" s="64"/>
      <c r="QQN12" s="64"/>
      <c r="QQO12" s="64"/>
      <c r="QQP12" s="64"/>
      <c r="QQQ12" s="64"/>
      <c r="QQR12" s="64"/>
      <c r="QQS12" s="64"/>
      <c r="QQT12" s="64"/>
      <c r="QQU12" s="64"/>
      <c r="QQV12" s="64"/>
      <c r="QQW12" s="64"/>
      <c r="QQX12" s="64"/>
      <c r="QQY12" s="64"/>
      <c r="QQZ12" s="64"/>
      <c r="QRA12" s="64"/>
      <c r="QRB12" s="64"/>
      <c r="QRC12" s="64"/>
      <c r="QRD12" s="64"/>
      <c r="QRE12" s="64"/>
      <c r="QRF12" s="64"/>
      <c r="QRG12" s="64"/>
      <c r="QRH12" s="64"/>
      <c r="QRI12" s="64"/>
      <c r="QRJ12" s="64"/>
      <c r="QRK12" s="64"/>
      <c r="QRL12" s="64"/>
      <c r="QRM12" s="64"/>
      <c r="QRN12" s="64"/>
      <c r="QRO12" s="64"/>
      <c r="QRP12" s="64"/>
      <c r="QRQ12" s="64"/>
      <c r="QRR12" s="64"/>
      <c r="QRS12" s="64"/>
      <c r="QRT12" s="64"/>
      <c r="QRU12" s="64"/>
      <c r="QRV12" s="64"/>
      <c r="QRW12" s="64"/>
      <c r="QRX12" s="64"/>
      <c r="QRY12" s="64"/>
      <c r="QRZ12" s="64"/>
      <c r="QSA12" s="64"/>
      <c r="QSB12" s="64"/>
      <c r="QSC12" s="64"/>
      <c r="QSD12" s="64"/>
      <c r="QSE12" s="64"/>
      <c r="QSF12" s="64"/>
      <c r="QSG12" s="64"/>
      <c r="QSH12" s="64"/>
      <c r="QSI12" s="64"/>
      <c r="QSJ12" s="64"/>
      <c r="QSK12" s="64"/>
      <c r="QSL12" s="64"/>
      <c r="QSM12" s="64"/>
      <c r="QSN12" s="64"/>
      <c r="QSO12" s="64"/>
      <c r="QSP12" s="64"/>
      <c r="QSQ12" s="64"/>
      <c r="QSR12" s="64"/>
      <c r="QSS12" s="64"/>
      <c r="QST12" s="64"/>
      <c r="QSU12" s="64"/>
      <c r="QSV12" s="64"/>
      <c r="QSW12" s="64"/>
      <c r="QSX12" s="64"/>
      <c r="QSY12" s="64"/>
      <c r="QSZ12" s="64"/>
      <c r="QTA12" s="64"/>
      <c r="QTB12" s="64"/>
      <c r="QTC12" s="64"/>
      <c r="QTD12" s="64"/>
      <c r="QTE12" s="64"/>
      <c r="QTF12" s="64"/>
      <c r="QTG12" s="64"/>
      <c r="QTH12" s="64"/>
      <c r="QTI12" s="64"/>
      <c r="QTJ12" s="64"/>
      <c r="QTK12" s="64"/>
      <c r="QTL12" s="64"/>
      <c r="QTM12" s="64"/>
      <c r="QTN12" s="64"/>
      <c r="QTO12" s="64"/>
      <c r="QTP12" s="64"/>
      <c r="QTQ12" s="64"/>
      <c r="QTR12" s="64"/>
      <c r="QTS12" s="64"/>
      <c r="QTT12" s="64"/>
      <c r="QTU12" s="64"/>
      <c r="QTV12" s="64"/>
      <c r="QTW12" s="64"/>
      <c r="QTX12" s="64"/>
      <c r="QTY12" s="64"/>
      <c r="QTZ12" s="64"/>
      <c r="QUA12" s="64"/>
      <c r="QUB12" s="64"/>
      <c r="QUC12" s="64"/>
      <c r="QUD12" s="64"/>
      <c r="QUE12" s="64"/>
      <c r="QUF12" s="64"/>
      <c r="QUG12" s="64"/>
      <c r="QUH12" s="64"/>
      <c r="QUI12" s="64"/>
      <c r="QUJ12" s="64"/>
      <c r="QUK12" s="64"/>
      <c r="QUL12" s="64"/>
      <c r="QUM12" s="64"/>
      <c r="QUN12" s="64"/>
      <c r="QUO12" s="64"/>
      <c r="QUP12" s="64"/>
      <c r="QUQ12" s="64"/>
      <c r="QUR12" s="64"/>
      <c r="QUS12" s="64"/>
      <c r="QUT12" s="64"/>
      <c r="QUU12" s="64"/>
      <c r="QUV12" s="64"/>
      <c r="QUW12" s="64"/>
      <c r="QUX12" s="64"/>
      <c r="QUY12" s="64"/>
      <c r="QUZ12" s="64"/>
      <c r="QVA12" s="64"/>
      <c r="QVB12" s="64"/>
      <c r="QVC12" s="64"/>
      <c r="QVD12" s="64"/>
      <c r="QVE12" s="64"/>
      <c r="QVF12" s="64"/>
      <c r="QVG12" s="64"/>
      <c r="QVH12" s="64"/>
      <c r="QVI12" s="64"/>
      <c r="QVJ12" s="64"/>
      <c r="QVK12" s="64"/>
      <c r="QVL12" s="64"/>
      <c r="QVM12" s="64"/>
      <c r="QVN12" s="64"/>
      <c r="QVO12" s="64"/>
      <c r="QVP12" s="64"/>
      <c r="QVQ12" s="64"/>
      <c r="QVR12" s="64"/>
      <c r="QVS12" s="64"/>
      <c r="QVT12" s="64"/>
      <c r="QVU12" s="64"/>
      <c r="QVV12" s="64"/>
      <c r="QVW12" s="64"/>
      <c r="QVX12" s="64"/>
      <c r="QVY12" s="64"/>
      <c r="QVZ12" s="64"/>
      <c r="QWA12" s="64"/>
      <c r="QWB12" s="64"/>
      <c r="QWC12" s="64"/>
      <c r="QWD12" s="64"/>
      <c r="QWE12" s="64"/>
      <c r="QWF12" s="64"/>
      <c r="QWG12" s="64"/>
      <c r="QWH12" s="64"/>
      <c r="QWI12" s="64"/>
      <c r="QWJ12" s="64"/>
      <c r="QWK12" s="64"/>
      <c r="QWL12" s="64"/>
      <c r="QWM12" s="64"/>
      <c r="QWN12" s="64"/>
      <c r="QWO12" s="64"/>
      <c r="QWP12" s="64"/>
      <c r="QWQ12" s="64"/>
      <c r="QWR12" s="64"/>
      <c r="QWS12" s="64"/>
      <c r="QWT12" s="64"/>
      <c r="QWU12" s="64"/>
      <c r="QWV12" s="64"/>
      <c r="QWW12" s="64"/>
      <c r="QWX12" s="64"/>
      <c r="QWY12" s="64"/>
      <c r="QWZ12" s="64"/>
      <c r="QXA12" s="64"/>
      <c r="QXB12" s="64"/>
      <c r="QXC12" s="64"/>
      <c r="QXD12" s="64"/>
      <c r="QXE12" s="64"/>
      <c r="QXF12" s="64"/>
      <c r="QXG12" s="64"/>
      <c r="QXH12" s="64"/>
      <c r="QXI12" s="64"/>
      <c r="QXJ12" s="64"/>
      <c r="QXK12" s="64"/>
      <c r="QXL12" s="64"/>
      <c r="QXM12" s="64"/>
      <c r="QXN12" s="64"/>
      <c r="QXO12" s="64"/>
      <c r="QXP12" s="64"/>
      <c r="QXQ12" s="64"/>
      <c r="QXR12" s="64"/>
      <c r="QXS12" s="64"/>
      <c r="QXT12" s="64"/>
      <c r="QXU12" s="64"/>
      <c r="QXV12" s="64"/>
      <c r="QXW12" s="64"/>
      <c r="QXX12" s="64"/>
      <c r="QXY12" s="64"/>
      <c r="QXZ12" s="64"/>
      <c r="QYA12" s="64"/>
      <c r="QYB12" s="64"/>
      <c r="QYC12" s="64"/>
      <c r="QYD12" s="64"/>
      <c r="QYE12" s="64"/>
      <c r="QYF12" s="64"/>
      <c r="QYG12" s="64"/>
      <c r="QYH12" s="64"/>
      <c r="QYI12" s="64"/>
      <c r="QYJ12" s="64"/>
      <c r="QYK12" s="64"/>
      <c r="QYL12" s="64"/>
      <c r="QYM12" s="64"/>
      <c r="QYN12" s="64"/>
      <c r="QYO12" s="64"/>
      <c r="QYP12" s="64"/>
      <c r="QYQ12" s="64"/>
      <c r="QYR12" s="64"/>
      <c r="QYS12" s="64"/>
      <c r="QYT12" s="64"/>
      <c r="QYU12" s="64"/>
      <c r="QYV12" s="64"/>
      <c r="QYW12" s="64"/>
      <c r="QYX12" s="64"/>
      <c r="QYY12" s="64"/>
      <c r="QYZ12" s="64"/>
      <c r="QZA12" s="64"/>
      <c r="QZB12" s="64"/>
      <c r="QZC12" s="64"/>
      <c r="QZD12" s="64"/>
      <c r="QZE12" s="64"/>
      <c r="QZF12" s="64"/>
      <c r="QZG12" s="64"/>
      <c r="QZH12" s="64"/>
      <c r="QZI12" s="64"/>
      <c r="QZJ12" s="64"/>
      <c r="QZK12" s="64"/>
      <c r="QZL12" s="64"/>
      <c r="QZM12" s="64"/>
      <c r="QZN12" s="64"/>
      <c r="QZO12" s="64"/>
      <c r="QZP12" s="64"/>
      <c r="QZQ12" s="64"/>
      <c r="QZR12" s="64"/>
      <c r="QZS12" s="64"/>
      <c r="QZT12" s="64"/>
      <c r="QZU12" s="64"/>
      <c r="QZV12" s="64"/>
      <c r="QZW12" s="64"/>
      <c r="QZX12" s="64"/>
      <c r="QZY12" s="64"/>
      <c r="QZZ12" s="64"/>
      <c r="RAA12" s="64"/>
      <c r="RAB12" s="64"/>
      <c r="RAC12" s="64"/>
      <c r="RAD12" s="64"/>
      <c r="RAE12" s="64"/>
      <c r="RAF12" s="64"/>
      <c r="RAG12" s="64"/>
      <c r="RAH12" s="64"/>
      <c r="RAI12" s="64"/>
      <c r="RAJ12" s="64"/>
      <c r="RAK12" s="64"/>
      <c r="RAL12" s="64"/>
      <c r="RAM12" s="64"/>
      <c r="RAN12" s="64"/>
      <c r="RAO12" s="64"/>
      <c r="RAP12" s="64"/>
      <c r="RAQ12" s="64"/>
      <c r="RAR12" s="64"/>
      <c r="RAS12" s="64"/>
      <c r="RAT12" s="64"/>
      <c r="RAU12" s="64"/>
      <c r="RAV12" s="64"/>
      <c r="RAW12" s="64"/>
      <c r="RAX12" s="64"/>
      <c r="RAY12" s="64"/>
      <c r="RAZ12" s="64"/>
      <c r="RBA12" s="64"/>
      <c r="RBB12" s="64"/>
      <c r="RBC12" s="64"/>
      <c r="RBD12" s="64"/>
      <c r="RBE12" s="64"/>
      <c r="RBF12" s="64"/>
      <c r="RBG12" s="64"/>
      <c r="RBH12" s="64"/>
      <c r="RBI12" s="64"/>
      <c r="RBJ12" s="64"/>
      <c r="RBK12" s="64"/>
      <c r="RBL12" s="64"/>
      <c r="RBM12" s="64"/>
      <c r="RBN12" s="64"/>
      <c r="RBO12" s="64"/>
      <c r="RBP12" s="64"/>
      <c r="RBQ12" s="64"/>
      <c r="RBR12" s="64"/>
      <c r="RBS12" s="64"/>
      <c r="RBT12" s="64"/>
      <c r="RBU12" s="64"/>
      <c r="RBV12" s="64"/>
      <c r="RBW12" s="64"/>
      <c r="RBX12" s="64"/>
      <c r="RBY12" s="64"/>
      <c r="RBZ12" s="64"/>
      <c r="RCA12" s="64"/>
      <c r="RCB12" s="64"/>
      <c r="RCC12" s="64"/>
      <c r="RCD12" s="64"/>
      <c r="RCE12" s="64"/>
      <c r="RCF12" s="64"/>
      <c r="RCG12" s="64"/>
      <c r="RCH12" s="64"/>
      <c r="RCI12" s="64"/>
      <c r="RCJ12" s="64"/>
      <c r="RCK12" s="64"/>
      <c r="RCL12" s="64"/>
      <c r="RCM12" s="64"/>
      <c r="RCN12" s="64"/>
      <c r="RCO12" s="64"/>
      <c r="RCP12" s="64"/>
      <c r="RCQ12" s="64"/>
      <c r="RCR12" s="64"/>
      <c r="RCS12" s="64"/>
      <c r="RCT12" s="64"/>
      <c r="RCU12" s="64"/>
      <c r="RCV12" s="64"/>
      <c r="RCW12" s="64"/>
      <c r="RCX12" s="64"/>
      <c r="RCY12" s="64"/>
      <c r="RCZ12" s="64"/>
      <c r="RDA12" s="64"/>
      <c r="RDB12" s="64"/>
      <c r="RDC12" s="64"/>
      <c r="RDD12" s="64"/>
      <c r="RDE12" s="64"/>
      <c r="RDF12" s="64"/>
      <c r="RDG12" s="64"/>
      <c r="RDH12" s="64"/>
      <c r="RDI12" s="64"/>
      <c r="RDJ12" s="64"/>
      <c r="RDK12" s="64"/>
      <c r="RDL12" s="64"/>
      <c r="RDM12" s="64"/>
      <c r="RDN12" s="64"/>
      <c r="RDO12" s="64"/>
      <c r="RDP12" s="64"/>
      <c r="RDQ12" s="64"/>
      <c r="RDR12" s="64"/>
      <c r="RDS12" s="64"/>
      <c r="RDT12" s="64"/>
      <c r="RDU12" s="64"/>
      <c r="RDV12" s="64"/>
      <c r="RDW12" s="64"/>
      <c r="RDX12" s="64"/>
      <c r="RDY12" s="64"/>
      <c r="RDZ12" s="64"/>
      <c r="REA12" s="64"/>
      <c r="REB12" s="64"/>
      <c r="REC12" s="64"/>
      <c r="RED12" s="64"/>
      <c r="REE12" s="64"/>
      <c r="REF12" s="64"/>
      <c r="REG12" s="64"/>
      <c r="REH12" s="64"/>
      <c r="REI12" s="64"/>
      <c r="REJ12" s="64"/>
      <c r="REK12" s="64"/>
      <c r="REL12" s="64"/>
      <c r="REM12" s="64"/>
      <c r="REN12" s="64"/>
      <c r="REO12" s="64"/>
      <c r="REP12" s="64"/>
      <c r="REQ12" s="64"/>
      <c r="RER12" s="64"/>
      <c r="RES12" s="64"/>
      <c r="RET12" s="64"/>
      <c r="REU12" s="64"/>
      <c r="REV12" s="64"/>
      <c r="REW12" s="64"/>
      <c r="REX12" s="64"/>
      <c r="REY12" s="64"/>
      <c r="REZ12" s="64"/>
      <c r="RFA12" s="64"/>
      <c r="RFB12" s="64"/>
      <c r="RFC12" s="64"/>
      <c r="RFD12" s="64"/>
      <c r="RFE12" s="64"/>
      <c r="RFF12" s="64"/>
      <c r="RFG12" s="64"/>
      <c r="RFH12" s="64"/>
      <c r="RFI12" s="64"/>
      <c r="RFJ12" s="64"/>
      <c r="RFK12" s="64"/>
      <c r="RFL12" s="64"/>
      <c r="RFM12" s="64"/>
      <c r="RFN12" s="64"/>
      <c r="RFO12" s="64"/>
      <c r="RFP12" s="64"/>
      <c r="RFQ12" s="64"/>
      <c r="RFR12" s="64"/>
      <c r="RFS12" s="64"/>
      <c r="RFT12" s="64"/>
      <c r="RFU12" s="64"/>
      <c r="RFV12" s="64"/>
      <c r="RFW12" s="64"/>
      <c r="RFX12" s="64"/>
      <c r="RFY12" s="64"/>
      <c r="RFZ12" s="64"/>
      <c r="RGA12" s="64"/>
      <c r="RGB12" s="64"/>
      <c r="RGC12" s="64"/>
      <c r="RGD12" s="64"/>
      <c r="RGE12" s="64"/>
      <c r="RGF12" s="64"/>
      <c r="RGG12" s="64"/>
      <c r="RGH12" s="64"/>
      <c r="RGI12" s="64"/>
      <c r="RGJ12" s="64"/>
      <c r="RGK12" s="64"/>
      <c r="RGL12" s="64"/>
      <c r="RGM12" s="64"/>
      <c r="RGN12" s="64"/>
      <c r="RGO12" s="64"/>
      <c r="RGP12" s="64"/>
      <c r="RGQ12" s="64"/>
      <c r="RGR12" s="64"/>
      <c r="RGS12" s="64"/>
      <c r="RGT12" s="64"/>
      <c r="RGU12" s="64"/>
      <c r="RGV12" s="64"/>
      <c r="RGW12" s="64"/>
      <c r="RGX12" s="64"/>
      <c r="RGY12" s="64"/>
      <c r="RGZ12" s="64"/>
      <c r="RHA12" s="64"/>
      <c r="RHB12" s="64"/>
      <c r="RHC12" s="64"/>
      <c r="RHD12" s="64"/>
      <c r="RHE12" s="64"/>
      <c r="RHF12" s="64"/>
      <c r="RHG12" s="64"/>
      <c r="RHH12" s="64"/>
      <c r="RHI12" s="64"/>
      <c r="RHJ12" s="64"/>
      <c r="RHK12" s="64"/>
      <c r="RHL12" s="64"/>
      <c r="RHM12" s="64"/>
      <c r="RHN12" s="64"/>
      <c r="RHO12" s="64"/>
      <c r="RHP12" s="64"/>
      <c r="RHQ12" s="64"/>
      <c r="RHR12" s="64"/>
      <c r="RHS12" s="64"/>
      <c r="RHT12" s="64"/>
      <c r="RHU12" s="64"/>
      <c r="RHV12" s="64"/>
      <c r="RHW12" s="64"/>
      <c r="RHX12" s="64"/>
      <c r="RHY12" s="64"/>
      <c r="RHZ12" s="64"/>
      <c r="RIA12" s="64"/>
      <c r="RIB12" s="64"/>
      <c r="RIC12" s="64"/>
      <c r="RID12" s="64"/>
      <c r="RIE12" s="64"/>
      <c r="RIF12" s="64"/>
      <c r="RIG12" s="64"/>
      <c r="RIH12" s="64"/>
      <c r="RII12" s="64"/>
      <c r="RIJ12" s="64"/>
      <c r="RIK12" s="64"/>
      <c r="RIL12" s="64"/>
      <c r="RIM12" s="64"/>
      <c r="RIN12" s="64"/>
      <c r="RIO12" s="64"/>
      <c r="RIP12" s="64"/>
      <c r="RIQ12" s="64"/>
      <c r="RIR12" s="64"/>
      <c r="RIS12" s="64"/>
      <c r="RIT12" s="64"/>
      <c r="RIU12" s="64"/>
      <c r="RIV12" s="64"/>
      <c r="RIW12" s="64"/>
      <c r="RIX12" s="64"/>
      <c r="RIY12" s="64"/>
      <c r="RIZ12" s="64"/>
      <c r="RJA12" s="64"/>
      <c r="RJB12" s="64"/>
      <c r="RJC12" s="64"/>
      <c r="RJD12" s="64"/>
      <c r="RJE12" s="64"/>
      <c r="RJF12" s="64"/>
      <c r="RJG12" s="64"/>
      <c r="RJH12" s="64"/>
      <c r="RJI12" s="64"/>
      <c r="RJJ12" s="64"/>
      <c r="RJK12" s="64"/>
      <c r="RJL12" s="64"/>
      <c r="RJM12" s="64"/>
      <c r="RJN12" s="64"/>
      <c r="RJO12" s="64"/>
      <c r="RJP12" s="64"/>
      <c r="RJQ12" s="64"/>
      <c r="RJR12" s="64"/>
      <c r="RJS12" s="64"/>
      <c r="RJT12" s="64"/>
      <c r="RJU12" s="64"/>
      <c r="RJV12" s="64"/>
      <c r="RJW12" s="64"/>
      <c r="RJX12" s="64"/>
      <c r="RJY12" s="64"/>
      <c r="RJZ12" s="64"/>
      <c r="RKA12" s="64"/>
      <c r="RKB12" s="64"/>
      <c r="RKC12" s="64"/>
      <c r="RKD12" s="64"/>
      <c r="RKE12" s="64"/>
      <c r="RKF12" s="64"/>
      <c r="RKG12" s="64"/>
      <c r="RKH12" s="64"/>
      <c r="RKI12" s="64"/>
      <c r="RKJ12" s="64"/>
      <c r="RKK12" s="64"/>
      <c r="RKL12" s="64"/>
      <c r="RKM12" s="64"/>
      <c r="RKN12" s="64"/>
      <c r="RKO12" s="64"/>
      <c r="RKP12" s="64"/>
      <c r="RKQ12" s="64"/>
      <c r="RKR12" s="64"/>
      <c r="RKS12" s="64"/>
      <c r="RKT12" s="64"/>
      <c r="RKU12" s="64"/>
      <c r="RKV12" s="64"/>
      <c r="RKW12" s="64"/>
      <c r="RKX12" s="64"/>
      <c r="RKY12" s="64"/>
      <c r="RKZ12" s="64"/>
      <c r="RLA12" s="64"/>
      <c r="RLB12" s="64"/>
      <c r="RLC12" s="64"/>
      <c r="RLD12" s="64"/>
      <c r="RLE12" s="64"/>
      <c r="RLF12" s="64"/>
      <c r="RLG12" s="64"/>
      <c r="RLH12" s="64"/>
      <c r="RLI12" s="64"/>
      <c r="RLJ12" s="64"/>
      <c r="RLK12" s="64"/>
      <c r="RLL12" s="64"/>
      <c r="RLM12" s="64"/>
      <c r="RLN12" s="64"/>
      <c r="RLO12" s="64"/>
      <c r="RLP12" s="64"/>
      <c r="RLQ12" s="64"/>
      <c r="RLR12" s="64"/>
      <c r="RLS12" s="64"/>
      <c r="RLT12" s="64"/>
      <c r="RLU12" s="64"/>
      <c r="RLV12" s="64"/>
      <c r="RLW12" s="64"/>
      <c r="RLX12" s="64"/>
      <c r="RLY12" s="64"/>
      <c r="RLZ12" s="64"/>
      <c r="RMA12" s="64"/>
      <c r="RMB12" s="64"/>
      <c r="RMC12" s="64"/>
      <c r="RMD12" s="64"/>
      <c r="RME12" s="64"/>
      <c r="RMF12" s="64"/>
      <c r="RMG12" s="64"/>
      <c r="RMH12" s="64"/>
      <c r="RMI12" s="64"/>
      <c r="RMJ12" s="64"/>
      <c r="RMK12" s="64"/>
      <c r="RML12" s="64"/>
      <c r="RMM12" s="64"/>
      <c r="RMN12" s="64"/>
      <c r="RMO12" s="64"/>
      <c r="RMP12" s="64"/>
      <c r="RMQ12" s="64"/>
      <c r="RMR12" s="64"/>
      <c r="RMS12" s="64"/>
      <c r="RMT12" s="64"/>
      <c r="RMU12" s="64"/>
      <c r="RMV12" s="64"/>
      <c r="RMW12" s="64"/>
      <c r="RMX12" s="64"/>
      <c r="RMY12" s="64"/>
      <c r="RMZ12" s="64"/>
      <c r="RNA12" s="64"/>
      <c r="RNB12" s="64"/>
      <c r="RNC12" s="64"/>
      <c r="RND12" s="64"/>
      <c r="RNE12" s="64"/>
      <c r="RNF12" s="64"/>
      <c r="RNG12" s="64"/>
      <c r="RNH12" s="64"/>
      <c r="RNI12" s="64"/>
      <c r="RNJ12" s="64"/>
      <c r="RNK12" s="64"/>
      <c r="RNL12" s="64"/>
      <c r="RNM12" s="64"/>
      <c r="RNN12" s="64"/>
      <c r="RNO12" s="64"/>
      <c r="RNP12" s="64"/>
      <c r="RNQ12" s="64"/>
      <c r="RNR12" s="64"/>
      <c r="RNS12" s="64"/>
      <c r="RNT12" s="64"/>
      <c r="RNU12" s="64"/>
      <c r="RNV12" s="64"/>
      <c r="RNW12" s="64"/>
      <c r="RNX12" s="64"/>
      <c r="RNY12" s="64"/>
      <c r="RNZ12" s="64"/>
      <c r="ROA12" s="64"/>
      <c r="ROB12" s="64"/>
      <c r="ROC12" s="64"/>
      <c r="ROD12" s="64"/>
      <c r="ROE12" s="64"/>
      <c r="ROF12" s="64"/>
      <c r="ROG12" s="64"/>
      <c r="ROH12" s="64"/>
      <c r="ROI12" s="64"/>
      <c r="ROJ12" s="64"/>
      <c r="ROK12" s="64"/>
      <c r="ROL12" s="64"/>
      <c r="ROM12" s="64"/>
      <c r="RON12" s="64"/>
      <c r="ROO12" s="64"/>
      <c r="ROP12" s="64"/>
      <c r="ROQ12" s="64"/>
      <c r="ROR12" s="64"/>
      <c r="ROS12" s="64"/>
      <c r="ROT12" s="64"/>
      <c r="ROU12" s="64"/>
      <c r="ROV12" s="64"/>
      <c r="ROW12" s="64"/>
      <c r="ROX12" s="64"/>
      <c r="ROY12" s="64"/>
      <c r="ROZ12" s="64"/>
      <c r="RPA12" s="64"/>
      <c r="RPB12" s="64"/>
      <c r="RPC12" s="64"/>
      <c r="RPD12" s="64"/>
      <c r="RPE12" s="64"/>
      <c r="RPF12" s="64"/>
      <c r="RPG12" s="64"/>
      <c r="RPH12" s="64"/>
      <c r="RPI12" s="64"/>
      <c r="RPJ12" s="64"/>
      <c r="RPK12" s="64"/>
      <c r="RPL12" s="64"/>
      <c r="RPM12" s="64"/>
      <c r="RPN12" s="64"/>
      <c r="RPO12" s="64"/>
      <c r="RPP12" s="64"/>
      <c r="RPQ12" s="64"/>
      <c r="RPR12" s="64"/>
      <c r="RPS12" s="64"/>
      <c r="RPT12" s="64"/>
      <c r="RPU12" s="64"/>
      <c r="RPV12" s="64"/>
      <c r="RPW12" s="64"/>
      <c r="RPX12" s="64"/>
      <c r="RPY12" s="64"/>
      <c r="RPZ12" s="64"/>
      <c r="RQA12" s="64"/>
      <c r="RQB12" s="64"/>
      <c r="RQC12" s="64"/>
      <c r="RQD12" s="64"/>
      <c r="RQE12" s="64"/>
      <c r="RQF12" s="64"/>
      <c r="RQG12" s="64"/>
      <c r="RQH12" s="64"/>
      <c r="RQI12" s="64"/>
      <c r="RQJ12" s="64"/>
      <c r="RQK12" s="64"/>
      <c r="RQL12" s="64"/>
      <c r="RQM12" s="64"/>
      <c r="RQN12" s="64"/>
      <c r="RQO12" s="64"/>
      <c r="RQP12" s="64"/>
      <c r="RQQ12" s="64"/>
      <c r="RQR12" s="64"/>
      <c r="RQS12" s="64"/>
      <c r="RQT12" s="64"/>
      <c r="RQU12" s="64"/>
      <c r="RQV12" s="64"/>
      <c r="RQW12" s="64"/>
      <c r="RQX12" s="64"/>
      <c r="RQY12" s="64"/>
      <c r="RQZ12" s="64"/>
      <c r="RRA12" s="64"/>
      <c r="RRB12" s="64"/>
      <c r="RRC12" s="64"/>
      <c r="RRD12" s="64"/>
      <c r="RRE12" s="64"/>
      <c r="RRF12" s="64"/>
      <c r="RRG12" s="64"/>
      <c r="RRH12" s="64"/>
      <c r="RRI12" s="64"/>
      <c r="RRJ12" s="64"/>
      <c r="RRK12" s="64"/>
      <c r="RRL12" s="64"/>
      <c r="RRM12" s="64"/>
      <c r="RRN12" s="64"/>
      <c r="RRO12" s="64"/>
      <c r="RRP12" s="64"/>
      <c r="RRQ12" s="64"/>
      <c r="RRR12" s="64"/>
      <c r="RRS12" s="64"/>
      <c r="RRT12" s="64"/>
      <c r="RRU12" s="64"/>
      <c r="RRV12" s="64"/>
      <c r="RRW12" s="64"/>
      <c r="RRX12" s="64"/>
      <c r="RRY12" s="64"/>
      <c r="RRZ12" s="64"/>
      <c r="RSA12" s="64"/>
      <c r="RSB12" s="64"/>
      <c r="RSC12" s="64"/>
      <c r="RSD12" s="64"/>
      <c r="RSE12" s="64"/>
      <c r="RSF12" s="64"/>
      <c r="RSG12" s="64"/>
      <c r="RSH12" s="64"/>
      <c r="RSI12" s="64"/>
      <c r="RSJ12" s="64"/>
      <c r="RSK12" s="64"/>
      <c r="RSL12" s="64"/>
      <c r="RSM12" s="64"/>
      <c r="RSN12" s="64"/>
      <c r="RSO12" s="64"/>
      <c r="RSP12" s="64"/>
      <c r="RSQ12" s="64"/>
      <c r="RSR12" s="64"/>
      <c r="RSS12" s="64"/>
      <c r="RST12" s="64"/>
      <c r="RSU12" s="64"/>
      <c r="RSV12" s="64"/>
      <c r="RSW12" s="64"/>
      <c r="RSX12" s="64"/>
      <c r="RSY12" s="64"/>
      <c r="RSZ12" s="64"/>
      <c r="RTA12" s="64"/>
      <c r="RTB12" s="64"/>
      <c r="RTC12" s="64"/>
      <c r="RTD12" s="64"/>
      <c r="RTE12" s="64"/>
      <c r="RTF12" s="64"/>
      <c r="RTG12" s="64"/>
      <c r="RTH12" s="64"/>
      <c r="RTI12" s="64"/>
      <c r="RTJ12" s="64"/>
      <c r="RTK12" s="64"/>
      <c r="RTL12" s="64"/>
      <c r="RTM12" s="64"/>
      <c r="RTN12" s="64"/>
      <c r="RTO12" s="64"/>
      <c r="RTP12" s="64"/>
      <c r="RTQ12" s="64"/>
      <c r="RTR12" s="64"/>
      <c r="RTS12" s="64"/>
      <c r="RTT12" s="64"/>
      <c r="RTU12" s="64"/>
      <c r="RTV12" s="64"/>
      <c r="RTW12" s="64"/>
      <c r="RTX12" s="64"/>
      <c r="RTY12" s="64"/>
      <c r="RTZ12" s="64"/>
      <c r="RUA12" s="64"/>
      <c r="RUB12" s="64"/>
      <c r="RUC12" s="64"/>
      <c r="RUD12" s="64"/>
      <c r="RUE12" s="64"/>
      <c r="RUF12" s="64"/>
      <c r="RUG12" s="64"/>
      <c r="RUH12" s="64"/>
      <c r="RUI12" s="64"/>
      <c r="RUJ12" s="64"/>
      <c r="RUK12" s="64"/>
      <c r="RUL12" s="64"/>
      <c r="RUM12" s="64"/>
      <c r="RUN12" s="64"/>
      <c r="RUO12" s="64"/>
      <c r="RUP12" s="64"/>
      <c r="RUQ12" s="64"/>
      <c r="RUR12" s="64"/>
      <c r="RUS12" s="64"/>
      <c r="RUT12" s="64"/>
      <c r="RUU12" s="64"/>
      <c r="RUV12" s="64"/>
      <c r="RUW12" s="64"/>
      <c r="RUX12" s="64"/>
      <c r="RUY12" s="64"/>
      <c r="RUZ12" s="64"/>
      <c r="RVA12" s="64"/>
      <c r="RVB12" s="64"/>
      <c r="RVC12" s="64"/>
      <c r="RVD12" s="64"/>
      <c r="RVE12" s="64"/>
      <c r="RVF12" s="64"/>
      <c r="RVG12" s="64"/>
      <c r="RVH12" s="64"/>
      <c r="RVI12" s="64"/>
      <c r="RVJ12" s="64"/>
      <c r="RVK12" s="64"/>
      <c r="RVL12" s="64"/>
      <c r="RVM12" s="64"/>
      <c r="RVN12" s="64"/>
      <c r="RVO12" s="64"/>
      <c r="RVP12" s="64"/>
      <c r="RVQ12" s="64"/>
      <c r="RVR12" s="64"/>
      <c r="RVS12" s="64"/>
      <c r="RVT12" s="64"/>
      <c r="RVU12" s="64"/>
      <c r="RVV12" s="64"/>
      <c r="RVW12" s="64"/>
      <c r="RVX12" s="64"/>
      <c r="RVY12" s="64"/>
      <c r="RVZ12" s="64"/>
      <c r="RWA12" s="64"/>
      <c r="RWB12" s="64"/>
      <c r="RWC12" s="64"/>
      <c r="RWD12" s="64"/>
      <c r="RWE12" s="64"/>
      <c r="RWF12" s="64"/>
      <c r="RWG12" s="64"/>
      <c r="RWH12" s="64"/>
      <c r="RWI12" s="64"/>
      <c r="RWJ12" s="64"/>
      <c r="RWK12" s="64"/>
      <c r="RWL12" s="64"/>
      <c r="RWM12" s="64"/>
      <c r="RWN12" s="64"/>
      <c r="RWO12" s="64"/>
      <c r="RWP12" s="64"/>
      <c r="RWQ12" s="64"/>
      <c r="RWR12" s="64"/>
      <c r="RWS12" s="64"/>
      <c r="RWT12" s="64"/>
      <c r="RWU12" s="64"/>
      <c r="RWV12" s="64"/>
      <c r="RWW12" s="64"/>
      <c r="RWX12" s="64"/>
      <c r="RWY12" s="64"/>
      <c r="RWZ12" s="64"/>
      <c r="RXA12" s="64"/>
      <c r="RXB12" s="64"/>
      <c r="RXC12" s="64"/>
      <c r="RXD12" s="64"/>
      <c r="RXE12" s="64"/>
      <c r="RXF12" s="64"/>
      <c r="RXG12" s="64"/>
      <c r="RXH12" s="64"/>
      <c r="RXI12" s="64"/>
      <c r="RXJ12" s="64"/>
      <c r="RXK12" s="64"/>
      <c r="RXL12" s="64"/>
      <c r="RXM12" s="64"/>
      <c r="RXN12" s="64"/>
      <c r="RXO12" s="64"/>
      <c r="RXP12" s="64"/>
      <c r="RXQ12" s="64"/>
      <c r="RXR12" s="64"/>
      <c r="RXS12" s="64"/>
      <c r="RXT12" s="64"/>
      <c r="RXU12" s="64"/>
      <c r="RXV12" s="64"/>
      <c r="RXW12" s="64"/>
      <c r="RXX12" s="64"/>
      <c r="RXY12" s="64"/>
      <c r="RXZ12" s="64"/>
      <c r="RYA12" s="64"/>
      <c r="RYB12" s="64"/>
      <c r="RYC12" s="64"/>
      <c r="RYD12" s="64"/>
      <c r="RYE12" s="64"/>
      <c r="RYF12" s="64"/>
      <c r="RYG12" s="64"/>
      <c r="RYH12" s="64"/>
      <c r="RYI12" s="64"/>
      <c r="RYJ12" s="64"/>
      <c r="RYK12" s="64"/>
      <c r="RYL12" s="64"/>
      <c r="RYM12" s="64"/>
      <c r="RYN12" s="64"/>
      <c r="RYO12" s="64"/>
      <c r="RYP12" s="64"/>
      <c r="RYQ12" s="64"/>
      <c r="RYR12" s="64"/>
      <c r="RYS12" s="64"/>
      <c r="RYT12" s="64"/>
      <c r="RYU12" s="64"/>
      <c r="RYV12" s="64"/>
      <c r="RYW12" s="64"/>
      <c r="RYX12" s="64"/>
      <c r="RYY12" s="64"/>
      <c r="RYZ12" s="64"/>
      <c r="RZA12" s="64"/>
      <c r="RZB12" s="64"/>
      <c r="RZC12" s="64"/>
      <c r="RZD12" s="64"/>
      <c r="RZE12" s="64"/>
      <c r="RZF12" s="64"/>
      <c r="RZG12" s="64"/>
      <c r="RZH12" s="64"/>
      <c r="RZI12" s="64"/>
      <c r="RZJ12" s="64"/>
      <c r="RZK12" s="64"/>
      <c r="RZL12" s="64"/>
      <c r="RZM12" s="64"/>
      <c r="RZN12" s="64"/>
      <c r="RZO12" s="64"/>
      <c r="RZP12" s="64"/>
      <c r="RZQ12" s="64"/>
      <c r="RZR12" s="64"/>
      <c r="RZS12" s="64"/>
      <c r="RZT12" s="64"/>
      <c r="RZU12" s="64"/>
      <c r="RZV12" s="64"/>
      <c r="RZW12" s="64"/>
      <c r="RZX12" s="64"/>
      <c r="RZY12" s="64"/>
      <c r="RZZ12" s="64"/>
      <c r="SAA12" s="64"/>
      <c r="SAB12" s="64"/>
      <c r="SAC12" s="64"/>
      <c r="SAD12" s="64"/>
      <c r="SAE12" s="64"/>
      <c r="SAF12" s="64"/>
      <c r="SAG12" s="64"/>
      <c r="SAH12" s="64"/>
      <c r="SAI12" s="64"/>
      <c r="SAJ12" s="64"/>
      <c r="SAK12" s="64"/>
      <c r="SAL12" s="64"/>
      <c r="SAM12" s="64"/>
      <c r="SAN12" s="64"/>
      <c r="SAO12" s="64"/>
      <c r="SAP12" s="64"/>
      <c r="SAQ12" s="64"/>
      <c r="SAR12" s="64"/>
      <c r="SAS12" s="64"/>
      <c r="SAT12" s="64"/>
      <c r="SAU12" s="64"/>
      <c r="SAV12" s="64"/>
      <c r="SAW12" s="64"/>
      <c r="SAX12" s="64"/>
      <c r="SAY12" s="64"/>
      <c r="SAZ12" s="64"/>
      <c r="SBA12" s="64"/>
      <c r="SBB12" s="64"/>
      <c r="SBC12" s="64"/>
      <c r="SBD12" s="64"/>
      <c r="SBE12" s="64"/>
      <c r="SBF12" s="64"/>
      <c r="SBG12" s="64"/>
      <c r="SBH12" s="64"/>
      <c r="SBI12" s="64"/>
      <c r="SBJ12" s="64"/>
      <c r="SBK12" s="64"/>
      <c r="SBL12" s="64"/>
      <c r="SBM12" s="64"/>
      <c r="SBN12" s="64"/>
      <c r="SBO12" s="64"/>
      <c r="SBP12" s="64"/>
      <c r="SBQ12" s="64"/>
      <c r="SBR12" s="64"/>
      <c r="SBS12" s="64"/>
      <c r="SBT12" s="64"/>
      <c r="SBU12" s="64"/>
      <c r="SBV12" s="64"/>
      <c r="SBW12" s="64"/>
      <c r="SBX12" s="64"/>
      <c r="SBY12" s="64"/>
      <c r="SBZ12" s="64"/>
      <c r="SCA12" s="64"/>
      <c r="SCB12" s="64"/>
      <c r="SCC12" s="64"/>
      <c r="SCD12" s="64"/>
      <c r="SCE12" s="64"/>
      <c r="SCF12" s="64"/>
      <c r="SCG12" s="64"/>
      <c r="SCH12" s="64"/>
      <c r="SCI12" s="64"/>
      <c r="SCJ12" s="64"/>
      <c r="SCK12" s="64"/>
      <c r="SCL12" s="64"/>
      <c r="SCM12" s="64"/>
      <c r="SCN12" s="64"/>
      <c r="SCO12" s="64"/>
      <c r="SCP12" s="64"/>
      <c r="SCQ12" s="64"/>
      <c r="SCR12" s="64"/>
      <c r="SCS12" s="64"/>
      <c r="SCT12" s="64"/>
      <c r="SCU12" s="64"/>
      <c r="SCV12" s="64"/>
      <c r="SCW12" s="64"/>
      <c r="SCX12" s="64"/>
      <c r="SCY12" s="64"/>
      <c r="SCZ12" s="64"/>
      <c r="SDA12" s="64"/>
      <c r="SDB12" s="64"/>
      <c r="SDC12" s="64"/>
      <c r="SDD12" s="64"/>
      <c r="SDE12" s="64"/>
      <c r="SDF12" s="64"/>
      <c r="SDG12" s="64"/>
      <c r="SDH12" s="64"/>
      <c r="SDI12" s="64"/>
      <c r="SDJ12" s="64"/>
      <c r="SDK12" s="64"/>
      <c r="SDL12" s="64"/>
      <c r="SDM12" s="64"/>
      <c r="SDN12" s="64"/>
      <c r="SDO12" s="64"/>
      <c r="SDP12" s="64"/>
      <c r="SDQ12" s="64"/>
      <c r="SDR12" s="64"/>
      <c r="SDS12" s="64"/>
      <c r="SDT12" s="64"/>
      <c r="SDU12" s="64"/>
      <c r="SDV12" s="64"/>
      <c r="SDW12" s="64"/>
      <c r="SDX12" s="64"/>
      <c r="SDY12" s="64"/>
      <c r="SDZ12" s="64"/>
      <c r="SEA12" s="64"/>
      <c r="SEB12" s="64"/>
      <c r="SEC12" s="64"/>
      <c r="SED12" s="64"/>
      <c r="SEE12" s="64"/>
      <c r="SEF12" s="64"/>
      <c r="SEG12" s="64"/>
      <c r="SEH12" s="64"/>
      <c r="SEI12" s="64"/>
      <c r="SEJ12" s="64"/>
      <c r="SEK12" s="64"/>
      <c r="SEL12" s="64"/>
      <c r="SEM12" s="64"/>
      <c r="SEN12" s="64"/>
      <c r="SEO12" s="64"/>
      <c r="SEP12" s="64"/>
      <c r="SEQ12" s="64"/>
      <c r="SER12" s="64"/>
      <c r="SES12" s="64"/>
      <c r="SET12" s="64"/>
      <c r="SEU12" s="64"/>
      <c r="SEV12" s="64"/>
      <c r="SEW12" s="64"/>
      <c r="SEX12" s="64"/>
      <c r="SEY12" s="64"/>
      <c r="SEZ12" s="64"/>
      <c r="SFA12" s="64"/>
      <c r="SFB12" s="64"/>
      <c r="SFC12" s="64"/>
      <c r="SFD12" s="64"/>
      <c r="SFE12" s="64"/>
      <c r="SFF12" s="64"/>
      <c r="SFG12" s="64"/>
      <c r="SFH12" s="64"/>
      <c r="SFI12" s="64"/>
      <c r="SFJ12" s="64"/>
      <c r="SFK12" s="64"/>
      <c r="SFL12" s="64"/>
      <c r="SFM12" s="64"/>
      <c r="SFN12" s="64"/>
      <c r="SFO12" s="64"/>
      <c r="SFP12" s="64"/>
      <c r="SFQ12" s="64"/>
      <c r="SFR12" s="64"/>
      <c r="SFS12" s="64"/>
      <c r="SFT12" s="64"/>
      <c r="SFU12" s="64"/>
      <c r="SFV12" s="64"/>
      <c r="SFW12" s="64"/>
      <c r="SFX12" s="64"/>
      <c r="SFY12" s="64"/>
      <c r="SFZ12" s="64"/>
      <c r="SGA12" s="64"/>
      <c r="SGB12" s="64"/>
      <c r="SGC12" s="64"/>
      <c r="SGD12" s="64"/>
      <c r="SGE12" s="64"/>
      <c r="SGF12" s="64"/>
      <c r="SGG12" s="64"/>
      <c r="SGH12" s="64"/>
      <c r="SGI12" s="64"/>
      <c r="SGJ12" s="64"/>
      <c r="SGK12" s="64"/>
      <c r="SGL12" s="64"/>
      <c r="SGM12" s="64"/>
      <c r="SGN12" s="64"/>
      <c r="SGO12" s="64"/>
      <c r="SGP12" s="64"/>
      <c r="SGQ12" s="64"/>
      <c r="SGR12" s="64"/>
      <c r="SGS12" s="64"/>
      <c r="SGT12" s="64"/>
      <c r="SGU12" s="64"/>
      <c r="SGV12" s="64"/>
      <c r="SGW12" s="64"/>
      <c r="SGX12" s="64"/>
      <c r="SGY12" s="64"/>
      <c r="SGZ12" s="64"/>
      <c r="SHA12" s="64"/>
      <c r="SHB12" s="64"/>
      <c r="SHC12" s="64"/>
      <c r="SHD12" s="64"/>
      <c r="SHE12" s="64"/>
      <c r="SHF12" s="64"/>
      <c r="SHG12" s="64"/>
      <c r="SHH12" s="64"/>
      <c r="SHI12" s="64"/>
      <c r="SHJ12" s="64"/>
      <c r="SHK12" s="64"/>
      <c r="SHL12" s="64"/>
      <c r="SHM12" s="64"/>
      <c r="SHN12" s="64"/>
      <c r="SHO12" s="64"/>
      <c r="SHP12" s="64"/>
      <c r="SHQ12" s="64"/>
      <c r="SHR12" s="64"/>
      <c r="SHS12" s="64"/>
      <c r="SHT12" s="64"/>
      <c r="SHU12" s="64"/>
      <c r="SHV12" s="64"/>
      <c r="SHW12" s="64"/>
      <c r="SHX12" s="64"/>
      <c r="SHY12" s="64"/>
      <c r="SHZ12" s="64"/>
      <c r="SIA12" s="64"/>
      <c r="SIB12" s="64"/>
      <c r="SIC12" s="64"/>
      <c r="SID12" s="64"/>
      <c r="SIE12" s="64"/>
      <c r="SIF12" s="64"/>
      <c r="SIG12" s="64"/>
      <c r="SIH12" s="64"/>
      <c r="SII12" s="64"/>
      <c r="SIJ12" s="64"/>
      <c r="SIK12" s="64"/>
      <c r="SIL12" s="64"/>
      <c r="SIM12" s="64"/>
      <c r="SIN12" s="64"/>
      <c r="SIO12" s="64"/>
      <c r="SIP12" s="64"/>
      <c r="SIQ12" s="64"/>
      <c r="SIR12" s="64"/>
      <c r="SIS12" s="64"/>
      <c r="SIT12" s="64"/>
      <c r="SIU12" s="64"/>
      <c r="SIV12" s="64"/>
      <c r="SIW12" s="64"/>
      <c r="SIX12" s="64"/>
      <c r="SIY12" s="64"/>
      <c r="SIZ12" s="64"/>
      <c r="SJA12" s="64"/>
      <c r="SJB12" s="64"/>
      <c r="SJC12" s="64"/>
      <c r="SJD12" s="64"/>
      <c r="SJE12" s="64"/>
      <c r="SJF12" s="64"/>
      <c r="SJG12" s="64"/>
      <c r="SJH12" s="64"/>
      <c r="SJI12" s="64"/>
      <c r="SJJ12" s="64"/>
      <c r="SJK12" s="64"/>
      <c r="SJL12" s="64"/>
      <c r="SJM12" s="64"/>
      <c r="SJN12" s="64"/>
      <c r="SJO12" s="64"/>
      <c r="SJP12" s="64"/>
      <c r="SJQ12" s="64"/>
      <c r="SJR12" s="64"/>
      <c r="SJS12" s="64"/>
      <c r="SJT12" s="64"/>
      <c r="SJU12" s="64"/>
      <c r="SJV12" s="64"/>
      <c r="SJW12" s="64"/>
      <c r="SJX12" s="64"/>
      <c r="SJY12" s="64"/>
      <c r="SJZ12" s="64"/>
      <c r="SKA12" s="64"/>
      <c r="SKB12" s="64"/>
      <c r="SKC12" s="64"/>
      <c r="SKD12" s="64"/>
      <c r="SKE12" s="64"/>
      <c r="SKF12" s="64"/>
      <c r="SKG12" s="64"/>
      <c r="SKH12" s="64"/>
      <c r="SKI12" s="64"/>
      <c r="SKJ12" s="64"/>
      <c r="SKK12" s="64"/>
      <c r="SKL12" s="64"/>
      <c r="SKM12" s="64"/>
      <c r="SKN12" s="64"/>
      <c r="SKO12" s="64"/>
      <c r="SKP12" s="64"/>
      <c r="SKQ12" s="64"/>
      <c r="SKR12" s="64"/>
      <c r="SKS12" s="64"/>
      <c r="SKT12" s="64"/>
      <c r="SKU12" s="64"/>
      <c r="SKV12" s="64"/>
      <c r="SKW12" s="64"/>
      <c r="SKX12" s="64"/>
      <c r="SKY12" s="64"/>
      <c r="SKZ12" s="64"/>
      <c r="SLA12" s="64"/>
      <c r="SLB12" s="64"/>
      <c r="SLC12" s="64"/>
      <c r="SLD12" s="64"/>
      <c r="SLE12" s="64"/>
      <c r="SLF12" s="64"/>
      <c r="SLG12" s="64"/>
      <c r="SLH12" s="64"/>
      <c r="SLI12" s="64"/>
      <c r="SLJ12" s="64"/>
      <c r="SLK12" s="64"/>
      <c r="SLL12" s="64"/>
      <c r="SLM12" s="64"/>
      <c r="SLN12" s="64"/>
      <c r="SLO12" s="64"/>
      <c r="SLP12" s="64"/>
      <c r="SLQ12" s="64"/>
      <c r="SLR12" s="64"/>
      <c r="SLS12" s="64"/>
      <c r="SLT12" s="64"/>
      <c r="SLU12" s="64"/>
      <c r="SLV12" s="64"/>
      <c r="SLW12" s="64"/>
      <c r="SLX12" s="64"/>
      <c r="SLY12" s="64"/>
      <c r="SLZ12" s="64"/>
      <c r="SMA12" s="64"/>
      <c r="SMB12" s="64"/>
      <c r="SMC12" s="64"/>
      <c r="SMD12" s="64"/>
      <c r="SME12" s="64"/>
      <c r="SMF12" s="64"/>
      <c r="SMG12" s="64"/>
      <c r="SMH12" s="64"/>
      <c r="SMI12" s="64"/>
      <c r="SMJ12" s="64"/>
      <c r="SMK12" s="64"/>
      <c r="SML12" s="64"/>
      <c r="SMM12" s="64"/>
      <c r="SMN12" s="64"/>
      <c r="SMO12" s="64"/>
      <c r="SMP12" s="64"/>
      <c r="SMQ12" s="64"/>
      <c r="SMR12" s="64"/>
      <c r="SMS12" s="64"/>
      <c r="SMT12" s="64"/>
      <c r="SMU12" s="64"/>
      <c r="SMV12" s="64"/>
      <c r="SMW12" s="64"/>
      <c r="SMX12" s="64"/>
      <c r="SMY12" s="64"/>
      <c r="SMZ12" s="64"/>
      <c r="SNA12" s="64"/>
      <c r="SNB12" s="64"/>
      <c r="SNC12" s="64"/>
      <c r="SND12" s="64"/>
      <c r="SNE12" s="64"/>
      <c r="SNF12" s="64"/>
      <c r="SNG12" s="64"/>
      <c r="SNH12" s="64"/>
      <c r="SNI12" s="64"/>
      <c r="SNJ12" s="64"/>
      <c r="SNK12" s="64"/>
      <c r="SNL12" s="64"/>
      <c r="SNM12" s="64"/>
      <c r="SNN12" s="64"/>
      <c r="SNO12" s="64"/>
      <c r="SNP12" s="64"/>
      <c r="SNQ12" s="64"/>
      <c r="SNR12" s="64"/>
      <c r="SNS12" s="64"/>
      <c r="SNT12" s="64"/>
      <c r="SNU12" s="64"/>
      <c r="SNV12" s="64"/>
      <c r="SNW12" s="64"/>
      <c r="SNX12" s="64"/>
      <c r="SNY12" s="64"/>
      <c r="SNZ12" s="64"/>
      <c r="SOA12" s="64"/>
      <c r="SOB12" s="64"/>
      <c r="SOC12" s="64"/>
      <c r="SOD12" s="64"/>
      <c r="SOE12" s="64"/>
      <c r="SOF12" s="64"/>
      <c r="SOG12" s="64"/>
      <c r="SOH12" s="64"/>
      <c r="SOI12" s="64"/>
      <c r="SOJ12" s="64"/>
      <c r="SOK12" s="64"/>
      <c r="SOL12" s="64"/>
      <c r="SOM12" s="64"/>
      <c r="SON12" s="64"/>
      <c r="SOO12" s="64"/>
      <c r="SOP12" s="64"/>
      <c r="SOQ12" s="64"/>
      <c r="SOR12" s="64"/>
      <c r="SOS12" s="64"/>
      <c r="SOT12" s="64"/>
      <c r="SOU12" s="64"/>
      <c r="SOV12" s="64"/>
      <c r="SOW12" s="64"/>
      <c r="SOX12" s="64"/>
      <c r="SOY12" s="64"/>
      <c r="SOZ12" s="64"/>
      <c r="SPA12" s="64"/>
      <c r="SPB12" s="64"/>
      <c r="SPC12" s="64"/>
      <c r="SPD12" s="64"/>
      <c r="SPE12" s="64"/>
      <c r="SPF12" s="64"/>
      <c r="SPG12" s="64"/>
      <c r="SPH12" s="64"/>
      <c r="SPI12" s="64"/>
      <c r="SPJ12" s="64"/>
      <c r="SPK12" s="64"/>
      <c r="SPL12" s="64"/>
      <c r="SPM12" s="64"/>
      <c r="SPN12" s="64"/>
      <c r="SPO12" s="64"/>
      <c r="SPP12" s="64"/>
      <c r="SPQ12" s="64"/>
      <c r="SPR12" s="64"/>
      <c r="SPS12" s="64"/>
      <c r="SPT12" s="64"/>
      <c r="SPU12" s="64"/>
      <c r="SPV12" s="64"/>
      <c r="SPW12" s="64"/>
      <c r="SPX12" s="64"/>
      <c r="SPY12" s="64"/>
      <c r="SPZ12" s="64"/>
      <c r="SQA12" s="64"/>
      <c r="SQB12" s="64"/>
      <c r="SQC12" s="64"/>
      <c r="SQD12" s="64"/>
      <c r="SQE12" s="64"/>
      <c r="SQF12" s="64"/>
      <c r="SQG12" s="64"/>
      <c r="SQH12" s="64"/>
      <c r="SQI12" s="64"/>
      <c r="SQJ12" s="64"/>
      <c r="SQK12" s="64"/>
      <c r="SQL12" s="64"/>
      <c r="SQM12" s="64"/>
      <c r="SQN12" s="64"/>
      <c r="SQO12" s="64"/>
      <c r="SQP12" s="64"/>
      <c r="SQQ12" s="64"/>
      <c r="SQR12" s="64"/>
      <c r="SQS12" s="64"/>
      <c r="SQT12" s="64"/>
      <c r="SQU12" s="64"/>
      <c r="SQV12" s="64"/>
      <c r="SQW12" s="64"/>
      <c r="SQX12" s="64"/>
      <c r="SQY12" s="64"/>
      <c r="SQZ12" s="64"/>
      <c r="SRA12" s="64"/>
      <c r="SRB12" s="64"/>
      <c r="SRC12" s="64"/>
      <c r="SRD12" s="64"/>
      <c r="SRE12" s="64"/>
      <c r="SRF12" s="64"/>
      <c r="SRG12" s="64"/>
      <c r="SRH12" s="64"/>
      <c r="SRI12" s="64"/>
      <c r="SRJ12" s="64"/>
      <c r="SRK12" s="64"/>
      <c r="SRL12" s="64"/>
      <c r="SRM12" s="64"/>
      <c r="SRN12" s="64"/>
      <c r="SRO12" s="64"/>
      <c r="SRP12" s="64"/>
      <c r="SRQ12" s="64"/>
      <c r="SRR12" s="64"/>
      <c r="SRS12" s="64"/>
      <c r="SRT12" s="64"/>
      <c r="SRU12" s="64"/>
      <c r="SRV12" s="64"/>
      <c r="SRW12" s="64"/>
      <c r="SRX12" s="64"/>
      <c r="SRY12" s="64"/>
      <c r="SRZ12" s="64"/>
      <c r="SSA12" s="64"/>
      <c r="SSB12" s="64"/>
      <c r="SSC12" s="64"/>
      <c r="SSD12" s="64"/>
      <c r="SSE12" s="64"/>
      <c r="SSF12" s="64"/>
      <c r="SSG12" s="64"/>
      <c r="SSH12" s="64"/>
      <c r="SSI12" s="64"/>
      <c r="SSJ12" s="64"/>
      <c r="SSK12" s="64"/>
      <c r="SSL12" s="64"/>
      <c r="SSM12" s="64"/>
      <c r="SSN12" s="64"/>
      <c r="SSO12" s="64"/>
      <c r="SSP12" s="64"/>
      <c r="SSQ12" s="64"/>
      <c r="SSR12" s="64"/>
      <c r="SSS12" s="64"/>
      <c r="SST12" s="64"/>
      <c r="SSU12" s="64"/>
      <c r="SSV12" s="64"/>
      <c r="SSW12" s="64"/>
      <c r="SSX12" s="64"/>
      <c r="SSY12" s="64"/>
      <c r="SSZ12" s="64"/>
      <c r="STA12" s="64"/>
      <c r="STB12" s="64"/>
      <c r="STC12" s="64"/>
      <c r="STD12" s="64"/>
      <c r="STE12" s="64"/>
      <c r="STF12" s="64"/>
      <c r="STG12" s="64"/>
      <c r="STH12" s="64"/>
      <c r="STI12" s="64"/>
      <c r="STJ12" s="64"/>
      <c r="STK12" s="64"/>
      <c r="STL12" s="64"/>
      <c r="STM12" s="64"/>
      <c r="STN12" s="64"/>
      <c r="STO12" s="64"/>
      <c r="STP12" s="64"/>
      <c r="STQ12" s="64"/>
      <c r="STR12" s="64"/>
      <c r="STS12" s="64"/>
      <c r="STT12" s="64"/>
      <c r="STU12" s="64"/>
      <c r="STV12" s="64"/>
      <c r="STW12" s="64"/>
      <c r="STX12" s="64"/>
      <c r="STY12" s="64"/>
      <c r="STZ12" s="64"/>
      <c r="SUA12" s="64"/>
      <c r="SUB12" s="64"/>
      <c r="SUC12" s="64"/>
      <c r="SUD12" s="64"/>
      <c r="SUE12" s="64"/>
      <c r="SUF12" s="64"/>
      <c r="SUG12" s="64"/>
      <c r="SUH12" s="64"/>
      <c r="SUI12" s="64"/>
      <c r="SUJ12" s="64"/>
      <c r="SUK12" s="64"/>
      <c r="SUL12" s="64"/>
      <c r="SUM12" s="64"/>
      <c r="SUN12" s="64"/>
      <c r="SUO12" s="64"/>
      <c r="SUP12" s="64"/>
      <c r="SUQ12" s="64"/>
      <c r="SUR12" s="64"/>
      <c r="SUS12" s="64"/>
      <c r="SUT12" s="64"/>
      <c r="SUU12" s="64"/>
      <c r="SUV12" s="64"/>
      <c r="SUW12" s="64"/>
      <c r="SUX12" s="64"/>
      <c r="SUY12" s="64"/>
      <c r="SUZ12" s="64"/>
      <c r="SVA12" s="64"/>
      <c r="SVB12" s="64"/>
      <c r="SVC12" s="64"/>
      <c r="SVD12" s="64"/>
      <c r="SVE12" s="64"/>
      <c r="SVF12" s="64"/>
      <c r="SVG12" s="64"/>
      <c r="SVH12" s="64"/>
      <c r="SVI12" s="64"/>
      <c r="SVJ12" s="64"/>
      <c r="SVK12" s="64"/>
      <c r="SVL12" s="64"/>
      <c r="SVM12" s="64"/>
      <c r="SVN12" s="64"/>
      <c r="SVO12" s="64"/>
      <c r="SVP12" s="64"/>
      <c r="SVQ12" s="64"/>
      <c r="SVR12" s="64"/>
      <c r="SVS12" s="64"/>
      <c r="SVT12" s="64"/>
      <c r="SVU12" s="64"/>
      <c r="SVV12" s="64"/>
      <c r="SVW12" s="64"/>
      <c r="SVX12" s="64"/>
      <c r="SVY12" s="64"/>
      <c r="SVZ12" s="64"/>
      <c r="SWA12" s="64"/>
      <c r="SWB12" s="64"/>
      <c r="SWC12" s="64"/>
      <c r="SWD12" s="64"/>
      <c r="SWE12" s="64"/>
      <c r="SWF12" s="64"/>
      <c r="SWG12" s="64"/>
      <c r="SWH12" s="64"/>
      <c r="SWI12" s="64"/>
      <c r="SWJ12" s="64"/>
      <c r="SWK12" s="64"/>
      <c r="SWL12" s="64"/>
      <c r="SWM12" s="64"/>
      <c r="SWN12" s="64"/>
      <c r="SWO12" s="64"/>
      <c r="SWP12" s="64"/>
      <c r="SWQ12" s="64"/>
      <c r="SWR12" s="64"/>
      <c r="SWS12" s="64"/>
      <c r="SWT12" s="64"/>
      <c r="SWU12" s="64"/>
      <c r="SWV12" s="64"/>
      <c r="SWW12" s="64"/>
      <c r="SWX12" s="64"/>
      <c r="SWY12" s="64"/>
      <c r="SWZ12" s="64"/>
      <c r="SXA12" s="64"/>
      <c r="SXB12" s="64"/>
      <c r="SXC12" s="64"/>
      <c r="SXD12" s="64"/>
      <c r="SXE12" s="64"/>
      <c r="SXF12" s="64"/>
      <c r="SXG12" s="64"/>
      <c r="SXH12" s="64"/>
      <c r="SXI12" s="64"/>
      <c r="SXJ12" s="64"/>
      <c r="SXK12" s="64"/>
      <c r="SXL12" s="64"/>
      <c r="SXM12" s="64"/>
      <c r="SXN12" s="64"/>
      <c r="SXO12" s="64"/>
      <c r="SXP12" s="64"/>
      <c r="SXQ12" s="64"/>
      <c r="SXR12" s="64"/>
      <c r="SXS12" s="64"/>
      <c r="SXT12" s="64"/>
      <c r="SXU12" s="64"/>
      <c r="SXV12" s="64"/>
      <c r="SXW12" s="64"/>
      <c r="SXX12" s="64"/>
      <c r="SXY12" s="64"/>
      <c r="SXZ12" s="64"/>
      <c r="SYA12" s="64"/>
      <c r="SYB12" s="64"/>
      <c r="SYC12" s="64"/>
      <c r="SYD12" s="64"/>
      <c r="SYE12" s="64"/>
      <c r="SYF12" s="64"/>
      <c r="SYG12" s="64"/>
      <c r="SYH12" s="64"/>
      <c r="SYI12" s="64"/>
      <c r="SYJ12" s="64"/>
      <c r="SYK12" s="64"/>
      <c r="SYL12" s="64"/>
      <c r="SYM12" s="64"/>
      <c r="SYN12" s="64"/>
      <c r="SYO12" s="64"/>
      <c r="SYP12" s="64"/>
      <c r="SYQ12" s="64"/>
      <c r="SYR12" s="64"/>
      <c r="SYS12" s="64"/>
      <c r="SYT12" s="64"/>
      <c r="SYU12" s="64"/>
      <c r="SYV12" s="64"/>
      <c r="SYW12" s="64"/>
      <c r="SYX12" s="64"/>
      <c r="SYY12" s="64"/>
      <c r="SYZ12" s="64"/>
      <c r="SZA12" s="64"/>
      <c r="SZB12" s="64"/>
      <c r="SZC12" s="64"/>
      <c r="SZD12" s="64"/>
      <c r="SZE12" s="64"/>
      <c r="SZF12" s="64"/>
      <c r="SZG12" s="64"/>
      <c r="SZH12" s="64"/>
      <c r="SZI12" s="64"/>
      <c r="SZJ12" s="64"/>
      <c r="SZK12" s="64"/>
      <c r="SZL12" s="64"/>
      <c r="SZM12" s="64"/>
      <c r="SZN12" s="64"/>
      <c r="SZO12" s="64"/>
      <c r="SZP12" s="64"/>
      <c r="SZQ12" s="64"/>
      <c r="SZR12" s="64"/>
      <c r="SZS12" s="64"/>
      <c r="SZT12" s="64"/>
      <c r="SZU12" s="64"/>
      <c r="SZV12" s="64"/>
      <c r="SZW12" s="64"/>
      <c r="SZX12" s="64"/>
      <c r="SZY12" s="64"/>
      <c r="SZZ12" s="64"/>
      <c r="TAA12" s="64"/>
      <c r="TAB12" s="64"/>
      <c r="TAC12" s="64"/>
      <c r="TAD12" s="64"/>
      <c r="TAE12" s="64"/>
      <c r="TAF12" s="64"/>
      <c r="TAG12" s="64"/>
      <c r="TAH12" s="64"/>
      <c r="TAI12" s="64"/>
      <c r="TAJ12" s="64"/>
      <c r="TAK12" s="64"/>
      <c r="TAL12" s="64"/>
      <c r="TAM12" s="64"/>
      <c r="TAN12" s="64"/>
      <c r="TAO12" s="64"/>
      <c r="TAP12" s="64"/>
      <c r="TAQ12" s="64"/>
      <c r="TAR12" s="64"/>
      <c r="TAS12" s="64"/>
      <c r="TAT12" s="64"/>
      <c r="TAU12" s="64"/>
      <c r="TAV12" s="64"/>
      <c r="TAW12" s="64"/>
      <c r="TAX12" s="64"/>
      <c r="TAY12" s="64"/>
      <c r="TAZ12" s="64"/>
      <c r="TBA12" s="64"/>
      <c r="TBB12" s="64"/>
      <c r="TBC12" s="64"/>
      <c r="TBD12" s="64"/>
      <c r="TBE12" s="64"/>
      <c r="TBF12" s="64"/>
      <c r="TBG12" s="64"/>
      <c r="TBH12" s="64"/>
      <c r="TBI12" s="64"/>
      <c r="TBJ12" s="64"/>
      <c r="TBK12" s="64"/>
      <c r="TBL12" s="64"/>
      <c r="TBM12" s="64"/>
      <c r="TBN12" s="64"/>
      <c r="TBO12" s="64"/>
      <c r="TBP12" s="64"/>
      <c r="TBQ12" s="64"/>
      <c r="TBR12" s="64"/>
      <c r="TBS12" s="64"/>
      <c r="TBT12" s="64"/>
      <c r="TBU12" s="64"/>
      <c r="TBV12" s="64"/>
      <c r="TBW12" s="64"/>
      <c r="TBX12" s="64"/>
      <c r="TBY12" s="64"/>
      <c r="TBZ12" s="64"/>
      <c r="TCA12" s="64"/>
      <c r="TCB12" s="64"/>
      <c r="TCC12" s="64"/>
      <c r="TCD12" s="64"/>
      <c r="TCE12" s="64"/>
      <c r="TCF12" s="64"/>
      <c r="TCG12" s="64"/>
      <c r="TCH12" s="64"/>
      <c r="TCI12" s="64"/>
      <c r="TCJ12" s="64"/>
      <c r="TCK12" s="64"/>
      <c r="TCL12" s="64"/>
      <c r="TCM12" s="64"/>
      <c r="TCN12" s="64"/>
      <c r="TCO12" s="64"/>
      <c r="TCP12" s="64"/>
      <c r="TCQ12" s="64"/>
      <c r="TCR12" s="64"/>
      <c r="TCS12" s="64"/>
      <c r="TCT12" s="64"/>
      <c r="TCU12" s="64"/>
      <c r="TCV12" s="64"/>
      <c r="TCW12" s="64"/>
      <c r="TCX12" s="64"/>
      <c r="TCY12" s="64"/>
      <c r="TCZ12" s="64"/>
      <c r="TDA12" s="64"/>
      <c r="TDB12" s="64"/>
      <c r="TDC12" s="64"/>
      <c r="TDD12" s="64"/>
      <c r="TDE12" s="64"/>
      <c r="TDF12" s="64"/>
      <c r="TDG12" s="64"/>
      <c r="TDH12" s="64"/>
      <c r="TDI12" s="64"/>
      <c r="TDJ12" s="64"/>
      <c r="TDK12" s="64"/>
      <c r="TDL12" s="64"/>
      <c r="TDM12" s="64"/>
      <c r="TDN12" s="64"/>
      <c r="TDO12" s="64"/>
      <c r="TDP12" s="64"/>
      <c r="TDQ12" s="64"/>
      <c r="TDR12" s="64"/>
      <c r="TDS12" s="64"/>
      <c r="TDT12" s="64"/>
      <c r="TDU12" s="64"/>
      <c r="TDV12" s="64"/>
      <c r="TDW12" s="64"/>
      <c r="TDX12" s="64"/>
      <c r="TDY12" s="64"/>
      <c r="TDZ12" s="64"/>
      <c r="TEA12" s="64"/>
      <c r="TEB12" s="64"/>
      <c r="TEC12" s="64"/>
      <c r="TED12" s="64"/>
      <c r="TEE12" s="64"/>
      <c r="TEF12" s="64"/>
      <c r="TEG12" s="64"/>
      <c r="TEH12" s="64"/>
      <c r="TEI12" s="64"/>
      <c r="TEJ12" s="64"/>
      <c r="TEK12" s="64"/>
      <c r="TEL12" s="64"/>
      <c r="TEM12" s="64"/>
      <c r="TEN12" s="64"/>
      <c r="TEO12" s="64"/>
      <c r="TEP12" s="64"/>
      <c r="TEQ12" s="64"/>
      <c r="TER12" s="64"/>
      <c r="TES12" s="64"/>
      <c r="TET12" s="64"/>
      <c r="TEU12" s="64"/>
      <c r="TEV12" s="64"/>
      <c r="TEW12" s="64"/>
      <c r="TEX12" s="64"/>
      <c r="TEY12" s="64"/>
      <c r="TEZ12" s="64"/>
      <c r="TFA12" s="64"/>
      <c r="TFB12" s="64"/>
      <c r="TFC12" s="64"/>
      <c r="TFD12" s="64"/>
      <c r="TFE12" s="64"/>
      <c r="TFF12" s="64"/>
      <c r="TFG12" s="64"/>
      <c r="TFH12" s="64"/>
      <c r="TFI12" s="64"/>
      <c r="TFJ12" s="64"/>
      <c r="TFK12" s="64"/>
      <c r="TFL12" s="64"/>
      <c r="TFM12" s="64"/>
      <c r="TFN12" s="64"/>
      <c r="TFO12" s="64"/>
      <c r="TFP12" s="64"/>
      <c r="TFQ12" s="64"/>
      <c r="TFR12" s="64"/>
      <c r="TFS12" s="64"/>
      <c r="TFT12" s="64"/>
      <c r="TFU12" s="64"/>
      <c r="TFV12" s="64"/>
      <c r="TFW12" s="64"/>
      <c r="TFX12" s="64"/>
      <c r="TFY12" s="64"/>
      <c r="TFZ12" s="64"/>
      <c r="TGA12" s="64"/>
      <c r="TGB12" s="64"/>
      <c r="TGC12" s="64"/>
      <c r="TGD12" s="64"/>
      <c r="TGE12" s="64"/>
      <c r="TGF12" s="64"/>
      <c r="TGG12" s="64"/>
      <c r="TGH12" s="64"/>
      <c r="TGI12" s="64"/>
      <c r="TGJ12" s="64"/>
      <c r="TGK12" s="64"/>
      <c r="TGL12" s="64"/>
      <c r="TGM12" s="64"/>
      <c r="TGN12" s="64"/>
      <c r="TGO12" s="64"/>
      <c r="TGP12" s="64"/>
      <c r="TGQ12" s="64"/>
      <c r="TGR12" s="64"/>
      <c r="TGS12" s="64"/>
      <c r="TGT12" s="64"/>
      <c r="TGU12" s="64"/>
      <c r="TGV12" s="64"/>
      <c r="TGW12" s="64"/>
      <c r="TGX12" s="64"/>
      <c r="TGY12" s="64"/>
      <c r="TGZ12" s="64"/>
      <c r="THA12" s="64"/>
      <c r="THB12" s="64"/>
      <c r="THC12" s="64"/>
      <c r="THD12" s="64"/>
      <c r="THE12" s="64"/>
      <c r="THF12" s="64"/>
      <c r="THG12" s="64"/>
      <c r="THH12" s="64"/>
      <c r="THI12" s="64"/>
      <c r="THJ12" s="64"/>
      <c r="THK12" s="64"/>
      <c r="THL12" s="64"/>
      <c r="THM12" s="64"/>
      <c r="THN12" s="64"/>
      <c r="THO12" s="64"/>
      <c r="THP12" s="64"/>
      <c r="THQ12" s="64"/>
      <c r="THR12" s="64"/>
      <c r="THS12" s="64"/>
      <c r="THT12" s="64"/>
      <c r="THU12" s="64"/>
      <c r="THV12" s="64"/>
      <c r="THW12" s="64"/>
      <c r="THX12" s="64"/>
      <c r="THY12" s="64"/>
      <c r="THZ12" s="64"/>
      <c r="TIA12" s="64"/>
      <c r="TIB12" s="64"/>
      <c r="TIC12" s="64"/>
      <c r="TID12" s="64"/>
      <c r="TIE12" s="64"/>
      <c r="TIF12" s="64"/>
      <c r="TIG12" s="64"/>
      <c r="TIH12" s="64"/>
      <c r="TII12" s="64"/>
      <c r="TIJ12" s="64"/>
      <c r="TIK12" s="64"/>
      <c r="TIL12" s="64"/>
      <c r="TIM12" s="64"/>
      <c r="TIN12" s="64"/>
      <c r="TIO12" s="64"/>
      <c r="TIP12" s="64"/>
      <c r="TIQ12" s="64"/>
      <c r="TIR12" s="64"/>
      <c r="TIS12" s="64"/>
      <c r="TIT12" s="64"/>
      <c r="TIU12" s="64"/>
      <c r="TIV12" s="64"/>
      <c r="TIW12" s="64"/>
      <c r="TIX12" s="64"/>
      <c r="TIY12" s="64"/>
      <c r="TIZ12" s="64"/>
      <c r="TJA12" s="64"/>
      <c r="TJB12" s="64"/>
      <c r="TJC12" s="64"/>
      <c r="TJD12" s="64"/>
      <c r="TJE12" s="64"/>
      <c r="TJF12" s="64"/>
      <c r="TJG12" s="64"/>
      <c r="TJH12" s="64"/>
      <c r="TJI12" s="64"/>
      <c r="TJJ12" s="64"/>
      <c r="TJK12" s="64"/>
      <c r="TJL12" s="64"/>
      <c r="TJM12" s="64"/>
      <c r="TJN12" s="64"/>
      <c r="TJO12" s="64"/>
      <c r="TJP12" s="64"/>
      <c r="TJQ12" s="64"/>
      <c r="TJR12" s="64"/>
      <c r="TJS12" s="64"/>
      <c r="TJT12" s="64"/>
      <c r="TJU12" s="64"/>
      <c r="TJV12" s="64"/>
      <c r="TJW12" s="64"/>
      <c r="TJX12" s="64"/>
      <c r="TJY12" s="64"/>
      <c r="TJZ12" s="64"/>
      <c r="TKA12" s="64"/>
      <c r="TKB12" s="64"/>
      <c r="TKC12" s="64"/>
      <c r="TKD12" s="64"/>
      <c r="TKE12" s="64"/>
      <c r="TKF12" s="64"/>
      <c r="TKG12" s="64"/>
      <c r="TKH12" s="64"/>
      <c r="TKI12" s="64"/>
      <c r="TKJ12" s="64"/>
      <c r="TKK12" s="64"/>
      <c r="TKL12" s="64"/>
      <c r="TKM12" s="64"/>
      <c r="TKN12" s="64"/>
      <c r="TKO12" s="64"/>
      <c r="TKP12" s="64"/>
      <c r="TKQ12" s="64"/>
      <c r="TKR12" s="64"/>
      <c r="TKS12" s="64"/>
      <c r="TKT12" s="64"/>
      <c r="TKU12" s="64"/>
      <c r="TKV12" s="64"/>
      <c r="TKW12" s="64"/>
      <c r="TKX12" s="64"/>
      <c r="TKY12" s="64"/>
      <c r="TKZ12" s="64"/>
      <c r="TLA12" s="64"/>
      <c r="TLB12" s="64"/>
      <c r="TLC12" s="64"/>
      <c r="TLD12" s="64"/>
      <c r="TLE12" s="64"/>
      <c r="TLF12" s="64"/>
      <c r="TLG12" s="64"/>
      <c r="TLH12" s="64"/>
      <c r="TLI12" s="64"/>
      <c r="TLJ12" s="64"/>
      <c r="TLK12" s="64"/>
      <c r="TLL12" s="64"/>
      <c r="TLM12" s="64"/>
      <c r="TLN12" s="64"/>
      <c r="TLO12" s="64"/>
      <c r="TLP12" s="64"/>
      <c r="TLQ12" s="64"/>
      <c r="TLR12" s="64"/>
      <c r="TLS12" s="64"/>
      <c r="TLT12" s="64"/>
      <c r="TLU12" s="64"/>
      <c r="TLV12" s="64"/>
      <c r="TLW12" s="64"/>
      <c r="TLX12" s="64"/>
      <c r="TLY12" s="64"/>
      <c r="TLZ12" s="64"/>
      <c r="TMA12" s="64"/>
      <c r="TMB12" s="64"/>
      <c r="TMC12" s="64"/>
      <c r="TMD12" s="64"/>
      <c r="TME12" s="64"/>
      <c r="TMF12" s="64"/>
      <c r="TMG12" s="64"/>
      <c r="TMH12" s="64"/>
      <c r="TMI12" s="64"/>
      <c r="TMJ12" s="64"/>
      <c r="TMK12" s="64"/>
      <c r="TML12" s="64"/>
      <c r="TMM12" s="64"/>
      <c r="TMN12" s="64"/>
      <c r="TMO12" s="64"/>
      <c r="TMP12" s="64"/>
      <c r="TMQ12" s="64"/>
      <c r="TMR12" s="64"/>
      <c r="TMS12" s="64"/>
      <c r="TMT12" s="64"/>
      <c r="TMU12" s="64"/>
      <c r="TMV12" s="64"/>
      <c r="TMW12" s="64"/>
      <c r="TMX12" s="64"/>
      <c r="TMY12" s="64"/>
      <c r="TMZ12" s="64"/>
      <c r="TNA12" s="64"/>
      <c r="TNB12" s="64"/>
      <c r="TNC12" s="64"/>
      <c r="TND12" s="64"/>
      <c r="TNE12" s="64"/>
      <c r="TNF12" s="64"/>
      <c r="TNG12" s="64"/>
      <c r="TNH12" s="64"/>
      <c r="TNI12" s="64"/>
      <c r="TNJ12" s="64"/>
      <c r="TNK12" s="64"/>
      <c r="TNL12" s="64"/>
      <c r="TNM12" s="64"/>
      <c r="TNN12" s="64"/>
      <c r="TNO12" s="64"/>
      <c r="TNP12" s="64"/>
      <c r="TNQ12" s="64"/>
      <c r="TNR12" s="64"/>
      <c r="TNS12" s="64"/>
      <c r="TNT12" s="64"/>
      <c r="TNU12" s="64"/>
      <c r="TNV12" s="64"/>
      <c r="TNW12" s="64"/>
      <c r="TNX12" s="64"/>
      <c r="TNY12" s="64"/>
      <c r="TNZ12" s="64"/>
      <c r="TOA12" s="64"/>
      <c r="TOB12" s="64"/>
      <c r="TOC12" s="64"/>
      <c r="TOD12" s="64"/>
      <c r="TOE12" s="64"/>
      <c r="TOF12" s="64"/>
      <c r="TOG12" s="64"/>
      <c r="TOH12" s="64"/>
      <c r="TOI12" s="64"/>
      <c r="TOJ12" s="64"/>
      <c r="TOK12" s="64"/>
      <c r="TOL12" s="64"/>
      <c r="TOM12" s="64"/>
      <c r="TON12" s="64"/>
      <c r="TOO12" s="64"/>
      <c r="TOP12" s="64"/>
      <c r="TOQ12" s="64"/>
      <c r="TOR12" s="64"/>
      <c r="TOS12" s="64"/>
      <c r="TOT12" s="64"/>
      <c r="TOU12" s="64"/>
      <c r="TOV12" s="64"/>
      <c r="TOW12" s="64"/>
      <c r="TOX12" s="64"/>
      <c r="TOY12" s="64"/>
      <c r="TOZ12" s="64"/>
      <c r="TPA12" s="64"/>
      <c r="TPB12" s="64"/>
      <c r="TPC12" s="64"/>
      <c r="TPD12" s="64"/>
      <c r="TPE12" s="64"/>
      <c r="TPF12" s="64"/>
      <c r="TPG12" s="64"/>
      <c r="TPH12" s="64"/>
      <c r="TPI12" s="64"/>
      <c r="TPJ12" s="64"/>
      <c r="TPK12" s="64"/>
      <c r="TPL12" s="64"/>
      <c r="TPM12" s="64"/>
      <c r="TPN12" s="64"/>
      <c r="TPO12" s="64"/>
      <c r="TPP12" s="64"/>
      <c r="TPQ12" s="64"/>
      <c r="TPR12" s="64"/>
      <c r="TPS12" s="64"/>
      <c r="TPT12" s="64"/>
      <c r="TPU12" s="64"/>
      <c r="TPV12" s="64"/>
      <c r="TPW12" s="64"/>
      <c r="TPX12" s="64"/>
      <c r="TPY12" s="64"/>
      <c r="TPZ12" s="64"/>
      <c r="TQA12" s="64"/>
      <c r="TQB12" s="64"/>
      <c r="TQC12" s="64"/>
      <c r="TQD12" s="64"/>
      <c r="TQE12" s="64"/>
      <c r="TQF12" s="64"/>
      <c r="TQG12" s="64"/>
      <c r="TQH12" s="64"/>
      <c r="TQI12" s="64"/>
      <c r="TQJ12" s="64"/>
      <c r="TQK12" s="64"/>
      <c r="TQL12" s="64"/>
      <c r="TQM12" s="64"/>
      <c r="TQN12" s="64"/>
      <c r="TQO12" s="64"/>
      <c r="TQP12" s="64"/>
      <c r="TQQ12" s="64"/>
      <c r="TQR12" s="64"/>
      <c r="TQS12" s="64"/>
      <c r="TQT12" s="64"/>
      <c r="TQU12" s="64"/>
      <c r="TQV12" s="64"/>
      <c r="TQW12" s="64"/>
      <c r="TQX12" s="64"/>
      <c r="TQY12" s="64"/>
      <c r="TQZ12" s="64"/>
      <c r="TRA12" s="64"/>
      <c r="TRB12" s="64"/>
      <c r="TRC12" s="64"/>
      <c r="TRD12" s="64"/>
      <c r="TRE12" s="64"/>
      <c r="TRF12" s="64"/>
      <c r="TRG12" s="64"/>
      <c r="TRH12" s="64"/>
      <c r="TRI12" s="64"/>
      <c r="TRJ12" s="64"/>
      <c r="TRK12" s="64"/>
      <c r="TRL12" s="64"/>
      <c r="TRM12" s="64"/>
      <c r="TRN12" s="64"/>
      <c r="TRO12" s="64"/>
      <c r="TRP12" s="64"/>
      <c r="TRQ12" s="64"/>
      <c r="TRR12" s="64"/>
      <c r="TRS12" s="64"/>
      <c r="TRT12" s="64"/>
      <c r="TRU12" s="64"/>
      <c r="TRV12" s="64"/>
      <c r="TRW12" s="64"/>
      <c r="TRX12" s="64"/>
      <c r="TRY12" s="64"/>
      <c r="TRZ12" s="64"/>
      <c r="TSA12" s="64"/>
      <c r="TSB12" s="64"/>
      <c r="TSC12" s="64"/>
      <c r="TSD12" s="64"/>
      <c r="TSE12" s="64"/>
      <c r="TSF12" s="64"/>
      <c r="TSG12" s="64"/>
      <c r="TSH12" s="64"/>
      <c r="TSI12" s="64"/>
      <c r="TSJ12" s="64"/>
      <c r="TSK12" s="64"/>
      <c r="TSL12" s="64"/>
      <c r="TSM12" s="64"/>
      <c r="TSN12" s="64"/>
      <c r="TSO12" s="64"/>
      <c r="TSP12" s="64"/>
      <c r="TSQ12" s="64"/>
      <c r="TSR12" s="64"/>
      <c r="TSS12" s="64"/>
      <c r="TST12" s="64"/>
      <c r="TSU12" s="64"/>
      <c r="TSV12" s="64"/>
      <c r="TSW12" s="64"/>
      <c r="TSX12" s="64"/>
      <c r="TSY12" s="64"/>
      <c r="TSZ12" s="64"/>
      <c r="TTA12" s="64"/>
      <c r="TTB12" s="64"/>
      <c r="TTC12" s="64"/>
      <c r="TTD12" s="64"/>
      <c r="TTE12" s="64"/>
      <c r="TTF12" s="64"/>
      <c r="TTG12" s="64"/>
      <c r="TTH12" s="64"/>
      <c r="TTI12" s="64"/>
      <c r="TTJ12" s="64"/>
      <c r="TTK12" s="64"/>
      <c r="TTL12" s="64"/>
      <c r="TTM12" s="64"/>
      <c r="TTN12" s="64"/>
      <c r="TTO12" s="64"/>
      <c r="TTP12" s="64"/>
      <c r="TTQ12" s="64"/>
      <c r="TTR12" s="64"/>
      <c r="TTS12" s="64"/>
      <c r="TTT12" s="64"/>
      <c r="TTU12" s="64"/>
      <c r="TTV12" s="64"/>
      <c r="TTW12" s="64"/>
      <c r="TTX12" s="64"/>
      <c r="TTY12" s="64"/>
      <c r="TTZ12" s="64"/>
      <c r="TUA12" s="64"/>
      <c r="TUB12" s="64"/>
      <c r="TUC12" s="64"/>
      <c r="TUD12" s="64"/>
      <c r="TUE12" s="64"/>
      <c r="TUF12" s="64"/>
      <c r="TUG12" s="64"/>
      <c r="TUH12" s="64"/>
      <c r="TUI12" s="64"/>
      <c r="TUJ12" s="64"/>
      <c r="TUK12" s="64"/>
      <c r="TUL12" s="64"/>
      <c r="TUM12" s="64"/>
      <c r="TUN12" s="64"/>
      <c r="TUO12" s="64"/>
      <c r="TUP12" s="64"/>
      <c r="TUQ12" s="64"/>
      <c r="TUR12" s="64"/>
      <c r="TUS12" s="64"/>
      <c r="TUT12" s="64"/>
      <c r="TUU12" s="64"/>
      <c r="TUV12" s="64"/>
      <c r="TUW12" s="64"/>
      <c r="TUX12" s="64"/>
      <c r="TUY12" s="64"/>
      <c r="TUZ12" s="64"/>
      <c r="TVA12" s="64"/>
      <c r="TVB12" s="64"/>
      <c r="TVC12" s="64"/>
      <c r="TVD12" s="64"/>
      <c r="TVE12" s="64"/>
      <c r="TVF12" s="64"/>
      <c r="TVG12" s="64"/>
      <c r="TVH12" s="64"/>
      <c r="TVI12" s="64"/>
      <c r="TVJ12" s="64"/>
      <c r="TVK12" s="64"/>
      <c r="TVL12" s="64"/>
      <c r="TVM12" s="64"/>
      <c r="TVN12" s="64"/>
      <c r="TVO12" s="64"/>
      <c r="TVP12" s="64"/>
      <c r="TVQ12" s="64"/>
      <c r="TVR12" s="64"/>
      <c r="TVS12" s="64"/>
      <c r="TVT12" s="64"/>
      <c r="TVU12" s="64"/>
      <c r="TVV12" s="64"/>
      <c r="TVW12" s="64"/>
      <c r="TVX12" s="64"/>
      <c r="TVY12" s="64"/>
      <c r="TVZ12" s="64"/>
      <c r="TWA12" s="64"/>
      <c r="TWB12" s="64"/>
      <c r="TWC12" s="64"/>
      <c r="TWD12" s="64"/>
      <c r="TWE12" s="64"/>
      <c r="TWF12" s="64"/>
      <c r="TWG12" s="64"/>
      <c r="TWH12" s="64"/>
      <c r="TWI12" s="64"/>
      <c r="TWJ12" s="64"/>
      <c r="TWK12" s="64"/>
      <c r="TWL12" s="64"/>
      <c r="TWM12" s="64"/>
      <c r="TWN12" s="64"/>
      <c r="TWO12" s="64"/>
      <c r="TWP12" s="64"/>
      <c r="TWQ12" s="64"/>
      <c r="TWR12" s="64"/>
      <c r="TWS12" s="64"/>
      <c r="TWT12" s="64"/>
      <c r="TWU12" s="64"/>
      <c r="TWV12" s="64"/>
      <c r="TWW12" s="64"/>
      <c r="TWX12" s="64"/>
      <c r="TWY12" s="64"/>
      <c r="TWZ12" s="64"/>
      <c r="TXA12" s="64"/>
      <c r="TXB12" s="64"/>
      <c r="TXC12" s="64"/>
      <c r="TXD12" s="64"/>
      <c r="TXE12" s="64"/>
      <c r="TXF12" s="64"/>
      <c r="TXG12" s="64"/>
      <c r="TXH12" s="64"/>
      <c r="TXI12" s="64"/>
      <c r="TXJ12" s="64"/>
      <c r="TXK12" s="64"/>
      <c r="TXL12" s="64"/>
      <c r="TXM12" s="64"/>
      <c r="TXN12" s="64"/>
      <c r="TXO12" s="64"/>
      <c r="TXP12" s="64"/>
      <c r="TXQ12" s="64"/>
      <c r="TXR12" s="64"/>
      <c r="TXS12" s="64"/>
      <c r="TXT12" s="64"/>
      <c r="TXU12" s="64"/>
      <c r="TXV12" s="64"/>
      <c r="TXW12" s="64"/>
      <c r="TXX12" s="64"/>
      <c r="TXY12" s="64"/>
      <c r="TXZ12" s="64"/>
      <c r="TYA12" s="64"/>
      <c r="TYB12" s="64"/>
      <c r="TYC12" s="64"/>
      <c r="TYD12" s="64"/>
      <c r="TYE12" s="64"/>
      <c r="TYF12" s="64"/>
      <c r="TYG12" s="64"/>
      <c r="TYH12" s="64"/>
      <c r="TYI12" s="64"/>
      <c r="TYJ12" s="64"/>
      <c r="TYK12" s="64"/>
      <c r="TYL12" s="64"/>
      <c r="TYM12" s="64"/>
      <c r="TYN12" s="64"/>
      <c r="TYO12" s="64"/>
      <c r="TYP12" s="64"/>
      <c r="TYQ12" s="64"/>
      <c r="TYR12" s="64"/>
      <c r="TYS12" s="64"/>
      <c r="TYT12" s="64"/>
      <c r="TYU12" s="64"/>
      <c r="TYV12" s="64"/>
      <c r="TYW12" s="64"/>
      <c r="TYX12" s="64"/>
      <c r="TYY12" s="64"/>
      <c r="TYZ12" s="64"/>
      <c r="TZA12" s="64"/>
      <c r="TZB12" s="64"/>
      <c r="TZC12" s="64"/>
      <c r="TZD12" s="64"/>
      <c r="TZE12" s="64"/>
      <c r="TZF12" s="64"/>
      <c r="TZG12" s="64"/>
      <c r="TZH12" s="64"/>
      <c r="TZI12" s="64"/>
      <c r="TZJ12" s="64"/>
      <c r="TZK12" s="64"/>
      <c r="TZL12" s="64"/>
      <c r="TZM12" s="64"/>
      <c r="TZN12" s="64"/>
      <c r="TZO12" s="64"/>
      <c r="TZP12" s="64"/>
      <c r="TZQ12" s="64"/>
      <c r="TZR12" s="64"/>
      <c r="TZS12" s="64"/>
      <c r="TZT12" s="64"/>
      <c r="TZU12" s="64"/>
      <c r="TZV12" s="64"/>
      <c r="TZW12" s="64"/>
      <c r="TZX12" s="64"/>
      <c r="TZY12" s="64"/>
      <c r="TZZ12" s="64"/>
      <c r="UAA12" s="64"/>
      <c r="UAB12" s="64"/>
      <c r="UAC12" s="64"/>
      <c r="UAD12" s="64"/>
      <c r="UAE12" s="64"/>
      <c r="UAF12" s="64"/>
      <c r="UAG12" s="64"/>
      <c r="UAH12" s="64"/>
      <c r="UAI12" s="64"/>
      <c r="UAJ12" s="64"/>
      <c r="UAK12" s="64"/>
      <c r="UAL12" s="64"/>
      <c r="UAM12" s="64"/>
      <c r="UAN12" s="64"/>
      <c r="UAO12" s="64"/>
      <c r="UAP12" s="64"/>
      <c r="UAQ12" s="64"/>
      <c r="UAR12" s="64"/>
      <c r="UAS12" s="64"/>
      <c r="UAT12" s="64"/>
      <c r="UAU12" s="64"/>
      <c r="UAV12" s="64"/>
      <c r="UAW12" s="64"/>
      <c r="UAX12" s="64"/>
      <c r="UAY12" s="64"/>
      <c r="UAZ12" s="64"/>
      <c r="UBA12" s="64"/>
      <c r="UBB12" s="64"/>
      <c r="UBC12" s="64"/>
      <c r="UBD12" s="64"/>
      <c r="UBE12" s="64"/>
      <c r="UBF12" s="64"/>
      <c r="UBG12" s="64"/>
      <c r="UBH12" s="64"/>
      <c r="UBI12" s="64"/>
      <c r="UBJ12" s="64"/>
      <c r="UBK12" s="64"/>
      <c r="UBL12" s="64"/>
      <c r="UBM12" s="64"/>
      <c r="UBN12" s="64"/>
      <c r="UBO12" s="64"/>
      <c r="UBP12" s="64"/>
      <c r="UBQ12" s="64"/>
      <c r="UBR12" s="64"/>
      <c r="UBS12" s="64"/>
      <c r="UBT12" s="64"/>
      <c r="UBU12" s="64"/>
      <c r="UBV12" s="64"/>
      <c r="UBW12" s="64"/>
      <c r="UBX12" s="64"/>
      <c r="UBY12" s="64"/>
      <c r="UBZ12" s="64"/>
      <c r="UCA12" s="64"/>
      <c r="UCB12" s="64"/>
      <c r="UCC12" s="64"/>
      <c r="UCD12" s="64"/>
      <c r="UCE12" s="64"/>
      <c r="UCF12" s="64"/>
      <c r="UCG12" s="64"/>
      <c r="UCH12" s="64"/>
      <c r="UCI12" s="64"/>
      <c r="UCJ12" s="64"/>
      <c r="UCK12" s="64"/>
      <c r="UCL12" s="64"/>
      <c r="UCM12" s="64"/>
      <c r="UCN12" s="64"/>
      <c r="UCO12" s="64"/>
      <c r="UCP12" s="64"/>
      <c r="UCQ12" s="64"/>
      <c r="UCR12" s="64"/>
      <c r="UCS12" s="64"/>
      <c r="UCT12" s="64"/>
      <c r="UCU12" s="64"/>
      <c r="UCV12" s="64"/>
      <c r="UCW12" s="64"/>
      <c r="UCX12" s="64"/>
      <c r="UCY12" s="64"/>
      <c r="UCZ12" s="64"/>
      <c r="UDA12" s="64"/>
      <c r="UDB12" s="64"/>
      <c r="UDC12" s="64"/>
      <c r="UDD12" s="64"/>
      <c r="UDE12" s="64"/>
      <c r="UDF12" s="64"/>
      <c r="UDG12" s="64"/>
      <c r="UDH12" s="64"/>
      <c r="UDI12" s="64"/>
      <c r="UDJ12" s="64"/>
      <c r="UDK12" s="64"/>
      <c r="UDL12" s="64"/>
      <c r="UDM12" s="64"/>
      <c r="UDN12" s="64"/>
      <c r="UDO12" s="64"/>
      <c r="UDP12" s="64"/>
      <c r="UDQ12" s="64"/>
      <c r="UDR12" s="64"/>
      <c r="UDS12" s="64"/>
      <c r="UDT12" s="64"/>
      <c r="UDU12" s="64"/>
      <c r="UDV12" s="64"/>
      <c r="UDW12" s="64"/>
      <c r="UDX12" s="64"/>
      <c r="UDY12" s="64"/>
      <c r="UDZ12" s="64"/>
      <c r="UEA12" s="64"/>
      <c r="UEB12" s="64"/>
      <c r="UEC12" s="64"/>
      <c r="UED12" s="64"/>
      <c r="UEE12" s="64"/>
      <c r="UEF12" s="64"/>
      <c r="UEG12" s="64"/>
      <c r="UEH12" s="64"/>
      <c r="UEI12" s="64"/>
      <c r="UEJ12" s="64"/>
      <c r="UEK12" s="64"/>
      <c r="UEL12" s="64"/>
      <c r="UEM12" s="64"/>
      <c r="UEN12" s="64"/>
      <c r="UEO12" s="64"/>
      <c r="UEP12" s="64"/>
      <c r="UEQ12" s="64"/>
      <c r="UER12" s="64"/>
      <c r="UES12" s="64"/>
      <c r="UET12" s="64"/>
      <c r="UEU12" s="64"/>
      <c r="UEV12" s="64"/>
      <c r="UEW12" s="64"/>
      <c r="UEX12" s="64"/>
      <c r="UEY12" s="64"/>
      <c r="UEZ12" s="64"/>
      <c r="UFA12" s="64"/>
      <c r="UFB12" s="64"/>
      <c r="UFC12" s="64"/>
      <c r="UFD12" s="64"/>
      <c r="UFE12" s="64"/>
      <c r="UFF12" s="64"/>
      <c r="UFG12" s="64"/>
      <c r="UFH12" s="64"/>
      <c r="UFI12" s="64"/>
      <c r="UFJ12" s="64"/>
      <c r="UFK12" s="64"/>
      <c r="UFL12" s="64"/>
      <c r="UFM12" s="64"/>
      <c r="UFN12" s="64"/>
      <c r="UFO12" s="64"/>
      <c r="UFP12" s="64"/>
      <c r="UFQ12" s="64"/>
      <c r="UFR12" s="64"/>
      <c r="UFS12" s="64"/>
      <c r="UFT12" s="64"/>
      <c r="UFU12" s="64"/>
      <c r="UFV12" s="64"/>
      <c r="UFW12" s="64"/>
      <c r="UFX12" s="64"/>
      <c r="UFY12" s="64"/>
      <c r="UFZ12" s="64"/>
      <c r="UGA12" s="64"/>
      <c r="UGB12" s="64"/>
      <c r="UGC12" s="64"/>
      <c r="UGD12" s="64"/>
      <c r="UGE12" s="64"/>
      <c r="UGF12" s="64"/>
      <c r="UGG12" s="64"/>
      <c r="UGH12" s="64"/>
      <c r="UGI12" s="64"/>
      <c r="UGJ12" s="64"/>
      <c r="UGK12" s="64"/>
      <c r="UGL12" s="64"/>
      <c r="UGM12" s="64"/>
      <c r="UGN12" s="64"/>
      <c r="UGO12" s="64"/>
      <c r="UGP12" s="64"/>
      <c r="UGQ12" s="64"/>
      <c r="UGR12" s="64"/>
      <c r="UGS12" s="64"/>
      <c r="UGT12" s="64"/>
      <c r="UGU12" s="64"/>
      <c r="UGV12" s="64"/>
      <c r="UGW12" s="64"/>
      <c r="UGX12" s="64"/>
      <c r="UGY12" s="64"/>
      <c r="UGZ12" s="64"/>
      <c r="UHA12" s="64"/>
      <c r="UHB12" s="64"/>
      <c r="UHC12" s="64"/>
      <c r="UHD12" s="64"/>
      <c r="UHE12" s="64"/>
      <c r="UHF12" s="64"/>
      <c r="UHG12" s="64"/>
      <c r="UHH12" s="64"/>
      <c r="UHI12" s="64"/>
      <c r="UHJ12" s="64"/>
      <c r="UHK12" s="64"/>
      <c r="UHL12" s="64"/>
      <c r="UHM12" s="64"/>
      <c r="UHN12" s="64"/>
      <c r="UHO12" s="64"/>
      <c r="UHP12" s="64"/>
      <c r="UHQ12" s="64"/>
      <c r="UHR12" s="64"/>
      <c r="UHS12" s="64"/>
      <c r="UHT12" s="64"/>
      <c r="UHU12" s="64"/>
      <c r="UHV12" s="64"/>
      <c r="UHW12" s="64"/>
      <c r="UHX12" s="64"/>
      <c r="UHY12" s="64"/>
      <c r="UHZ12" s="64"/>
      <c r="UIA12" s="64"/>
      <c r="UIB12" s="64"/>
      <c r="UIC12" s="64"/>
      <c r="UID12" s="64"/>
      <c r="UIE12" s="64"/>
      <c r="UIF12" s="64"/>
      <c r="UIG12" s="64"/>
      <c r="UIH12" s="64"/>
      <c r="UII12" s="64"/>
      <c r="UIJ12" s="64"/>
      <c r="UIK12" s="64"/>
      <c r="UIL12" s="64"/>
      <c r="UIM12" s="64"/>
      <c r="UIN12" s="64"/>
      <c r="UIO12" s="64"/>
      <c r="UIP12" s="64"/>
      <c r="UIQ12" s="64"/>
      <c r="UIR12" s="64"/>
      <c r="UIS12" s="64"/>
      <c r="UIT12" s="64"/>
      <c r="UIU12" s="64"/>
      <c r="UIV12" s="64"/>
      <c r="UIW12" s="64"/>
      <c r="UIX12" s="64"/>
      <c r="UIY12" s="64"/>
      <c r="UIZ12" s="64"/>
      <c r="UJA12" s="64"/>
      <c r="UJB12" s="64"/>
      <c r="UJC12" s="64"/>
      <c r="UJD12" s="64"/>
      <c r="UJE12" s="64"/>
      <c r="UJF12" s="64"/>
      <c r="UJG12" s="64"/>
      <c r="UJH12" s="64"/>
      <c r="UJI12" s="64"/>
      <c r="UJJ12" s="64"/>
      <c r="UJK12" s="64"/>
      <c r="UJL12" s="64"/>
      <c r="UJM12" s="64"/>
      <c r="UJN12" s="64"/>
      <c r="UJO12" s="64"/>
      <c r="UJP12" s="64"/>
      <c r="UJQ12" s="64"/>
      <c r="UJR12" s="64"/>
      <c r="UJS12" s="64"/>
      <c r="UJT12" s="64"/>
      <c r="UJU12" s="64"/>
      <c r="UJV12" s="64"/>
      <c r="UJW12" s="64"/>
      <c r="UJX12" s="64"/>
      <c r="UJY12" s="64"/>
      <c r="UJZ12" s="64"/>
      <c r="UKA12" s="64"/>
      <c r="UKB12" s="64"/>
      <c r="UKC12" s="64"/>
      <c r="UKD12" s="64"/>
      <c r="UKE12" s="64"/>
      <c r="UKF12" s="64"/>
      <c r="UKG12" s="64"/>
      <c r="UKH12" s="64"/>
      <c r="UKI12" s="64"/>
      <c r="UKJ12" s="64"/>
      <c r="UKK12" s="64"/>
      <c r="UKL12" s="64"/>
      <c r="UKM12" s="64"/>
      <c r="UKN12" s="64"/>
      <c r="UKO12" s="64"/>
      <c r="UKP12" s="64"/>
      <c r="UKQ12" s="64"/>
      <c r="UKR12" s="64"/>
      <c r="UKS12" s="64"/>
      <c r="UKT12" s="64"/>
      <c r="UKU12" s="64"/>
      <c r="UKV12" s="64"/>
      <c r="UKW12" s="64"/>
      <c r="UKX12" s="64"/>
      <c r="UKY12" s="64"/>
      <c r="UKZ12" s="64"/>
      <c r="ULA12" s="64"/>
      <c r="ULB12" s="64"/>
      <c r="ULC12" s="64"/>
      <c r="ULD12" s="64"/>
      <c r="ULE12" s="64"/>
      <c r="ULF12" s="64"/>
      <c r="ULG12" s="64"/>
      <c r="ULH12" s="64"/>
      <c r="ULI12" s="64"/>
      <c r="ULJ12" s="64"/>
      <c r="ULK12" s="64"/>
      <c r="ULL12" s="64"/>
      <c r="ULM12" s="64"/>
      <c r="ULN12" s="64"/>
      <c r="ULO12" s="64"/>
      <c r="ULP12" s="64"/>
      <c r="ULQ12" s="64"/>
      <c r="ULR12" s="64"/>
      <c r="ULS12" s="64"/>
      <c r="ULT12" s="64"/>
      <c r="ULU12" s="64"/>
      <c r="ULV12" s="64"/>
      <c r="ULW12" s="64"/>
      <c r="ULX12" s="64"/>
      <c r="ULY12" s="64"/>
      <c r="ULZ12" s="64"/>
      <c r="UMA12" s="64"/>
      <c r="UMB12" s="64"/>
      <c r="UMC12" s="64"/>
      <c r="UMD12" s="64"/>
      <c r="UME12" s="64"/>
      <c r="UMF12" s="64"/>
      <c r="UMG12" s="64"/>
      <c r="UMH12" s="64"/>
      <c r="UMI12" s="64"/>
      <c r="UMJ12" s="64"/>
      <c r="UMK12" s="64"/>
      <c r="UML12" s="64"/>
      <c r="UMM12" s="64"/>
      <c r="UMN12" s="64"/>
      <c r="UMO12" s="64"/>
      <c r="UMP12" s="64"/>
      <c r="UMQ12" s="64"/>
      <c r="UMR12" s="64"/>
      <c r="UMS12" s="64"/>
      <c r="UMT12" s="64"/>
      <c r="UMU12" s="64"/>
      <c r="UMV12" s="64"/>
      <c r="UMW12" s="64"/>
      <c r="UMX12" s="64"/>
      <c r="UMY12" s="64"/>
      <c r="UMZ12" s="64"/>
      <c r="UNA12" s="64"/>
      <c r="UNB12" s="64"/>
      <c r="UNC12" s="64"/>
      <c r="UND12" s="64"/>
      <c r="UNE12" s="64"/>
      <c r="UNF12" s="64"/>
      <c r="UNG12" s="64"/>
      <c r="UNH12" s="64"/>
      <c r="UNI12" s="64"/>
      <c r="UNJ12" s="64"/>
      <c r="UNK12" s="64"/>
      <c r="UNL12" s="64"/>
      <c r="UNM12" s="64"/>
      <c r="UNN12" s="64"/>
      <c r="UNO12" s="64"/>
      <c r="UNP12" s="64"/>
      <c r="UNQ12" s="64"/>
      <c r="UNR12" s="64"/>
      <c r="UNS12" s="64"/>
      <c r="UNT12" s="64"/>
      <c r="UNU12" s="64"/>
      <c r="UNV12" s="64"/>
      <c r="UNW12" s="64"/>
      <c r="UNX12" s="64"/>
      <c r="UNY12" s="64"/>
      <c r="UNZ12" s="64"/>
      <c r="UOA12" s="64"/>
      <c r="UOB12" s="64"/>
      <c r="UOC12" s="64"/>
      <c r="UOD12" s="64"/>
      <c r="UOE12" s="64"/>
      <c r="UOF12" s="64"/>
      <c r="UOG12" s="64"/>
      <c r="UOH12" s="64"/>
      <c r="UOI12" s="64"/>
      <c r="UOJ12" s="64"/>
      <c r="UOK12" s="64"/>
      <c r="UOL12" s="64"/>
      <c r="UOM12" s="64"/>
      <c r="UON12" s="64"/>
      <c r="UOO12" s="64"/>
      <c r="UOP12" s="64"/>
      <c r="UOQ12" s="64"/>
      <c r="UOR12" s="64"/>
      <c r="UOS12" s="64"/>
      <c r="UOT12" s="64"/>
      <c r="UOU12" s="64"/>
      <c r="UOV12" s="64"/>
      <c r="UOW12" s="64"/>
      <c r="UOX12" s="64"/>
      <c r="UOY12" s="64"/>
      <c r="UOZ12" s="64"/>
      <c r="UPA12" s="64"/>
      <c r="UPB12" s="64"/>
      <c r="UPC12" s="64"/>
      <c r="UPD12" s="64"/>
      <c r="UPE12" s="64"/>
      <c r="UPF12" s="64"/>
      <c r="UPG12" s="64"/>
      <c r="UPH12" s="64"/>
      <c r="UPI12" s="64"/>
      <c r="UPJ12" s="64"/>
      <c r="UPK12" s="64"/>
      <c r="UPL12" s="64"/>
      <c r="UPM12" s="64"/>
      <c r="UPN12" s="64"/>
      <c r="UPO12" s="64"/>
      <c r="UPP12" s="64"/>
      <c r="UPQ12" s="64"/>
      <c r="UPR12" s="64"/>
      <c r="UPS12" s="64"/>
      <c r="UPT12" s="64"/>
      <c r="UPU12" s="64"/>
      <c r="UPV12" s="64"/>
      <c r="UPW12" s="64"/>
      <c r="UPX12" s="64"/>
      <c r="UPY12" s="64"/>
      <c r="UPZ12" s="64"/>
      <c r="UQA12" s="64"/>
      <c r="UQB12" s="64"/>
      <c r="UQC12" s="64"/>
      <c r="UQD12" s="64"/>
      <c r="UQE12" s="64"/>
      <c r="UQF12" s="64"/>
      <c r="UQG12" s="64"/>
      <c r="UQH12" s="64"/>
      <c r="UQI12" s="64"/>
      <c r="UQJ12" s="64"/>
      <c r="UQK12" s="64"/>
      <c r="UQL12" s="64"/>
      <c r="UQM12" s="64"/>
      <c r="UQN12" s="64"/>
      <c r="UQO12" s="64"/>
      <c r="UQP12" s="64"/>
      <c r="UQQ12" s="64"/>
      <c r="UQR12" s="64"/>
      <c r="UQS12" s="64"/>
      <c r="UQT12" s="64"/>
      <c r="UQU12" s="64"/>
      <c r="UQV12" s="64"/>
      <c r="UQW12" s="64"/>
      <c r="UQX12" s="64"/>
      <c r="UQY12" s="64"/>
      <c r="UQZ12" s="64"/>
      <c r="URA12" s="64"/>
      <c r="URB12" s="64"/>
      <c r="URC12" s="64"/>
      <c r="URD12" s="64"/>
      <c r="URE12" s="64"/>
      <c r="URF12" s="64"/>
      <c r="URG12" s="64"/>
      <c r="URH12" s="64"/>
      <c r="URI12" s="64"/>
      <c r="URJ12" s="64"/>
      <c r="URK12" s="64"/>
      <c r="URL12" s="64"/>
      <c r="URM12" s="64"/>
      <c r="URN12" s="64"/>
      <c r="URO12" s="64"/>
      <c r="URP12" s="64"/>
      <c r="URQ12" s="64"/>
      <c r="URR12" s="64"/>
      <c r="URS12" s="64"/>
      <c r="URT12" s="64"/>
      <c r="URU12" s="64"/>
      <c r="URV12" s="64"/>
      <c r="URW12" s="64"/>
      <c r="URX12" s="64"/>
      <c r="URY12" s="64"/>
      <c r="URZ12" s="64"/>
      <c r="USA12" s="64"/>
      <c r="USB12" s="64"/>
      <c r="USC12" s="64"/>
      <c r="USD12" s="64"/>
      <c r="USE12" s="64"/>
      <c r="USF12" s="64"/>
      <c r="USG12" s="64"/>
      <c r="USH12" s="64"/>
      <c r="USI12" s="64"/>
      <c r="USJ12" s="64"/>
      <c r="USK12" s="64"/>
      <c r="USL12" s="64"/>
      <c r="USM12" s="64"/>
      <c r="USN12" s="64"/>
      <c r="USO12" s="64"/>
      <c r="USP12" s="64"/>
      <c r="USQ12" s="64"/>
      <c r="USR12" s="64"/>
      <c r="USS12" s="64"/>
      <c r="UST12" s="64"/>
      <c r="USU12" s="64"/>
      <c r="USV12" s="64"/>
      <c r="USW12" s="64"/>
      <c r="USX12" s="64"/>
      <c r="USY12" s="64"/>
      <c r="USZ12" s="64"/>
      <c r="UTA12" s="64"/>
      <c r="UTB12" s="64"/>
      <c r="UTC12" s="64"/>
      <c r="UTD12" s="64"/>
      <c r="UTE12" s="64"/>
      <c r="UTF12" s="64"/>
      <c r="UTG12" s="64"/>
      <c r="UTH12" s="64"/>
      <c r="UTI12" s="64"/>
      <c r="UTJ12" s="64"/>
      <c r="UTK12" s="64"/>
      <c r="UTL12" s="64"/>
      <c r="UTM12" s="64"/>
      <c r="UTN12" s="64"/>
      <c r="UTO12" s="64"/>
      <c r="UTP12" s="64"/>
      <c r="UTQ12" s="64"/>
      <c r="UTR12" s="64"/>
      <c r="UTS12" s="64"/>
      <c r="UTT12" s="64"/>
      <c r="UTU12" s="64"/>
      <c r="UTV12" s="64"/>
      <c r="UTW12" s="64"/>
      <c r="UTX12" s="64"/>
      <c r="UTY12" s="64"/>
      <c r="UTZ12" s="64"/>
      <c r="UUA12" s="64"/>
      <c r="UUB12" s="64"/>
      <c r="UUC12" s="64"/>
      <c r="UUD12" s="64"/>
      <c r="UUE12" s="64"/>
      <c r="UUF12" s="64"/>
      <c r="UUG12" s="64"/>
      <c r="UUH12" s="64"/>
      <c r="UUI12" s="64"/>
      <c r="UUJ12" s="64"/>
      <c r="UUK12" s="64"/>
      <c r="UUL12" s="64"/>
      <c r="UUM12" s="64"/>
      <c r="UUN12" s="64"/>
      <c r="UUO12" s="64"/>
      <c r="UUP12" s="64"/>
      <c r="UUQ12" s="64"/>
      <c r="UUR12" s="64"/>
      <c r="UUS12" s="64"/>
      <c r="UUT12" s="64"/>
      <c r="UUU12" s="64"/>
      <c r="UUV12" s="64"/>
      <c r="UUW12" s="64"/>
      <c r="UUX12" s="64"/>
      <c r="UUY12" s="64"/>
      <c r="UUZ12" s="64"/>
      <c r="UVA12" s="64"/>
      <c r="UVB12" s="64"/>
      <c r="UVC12" s="64"/>
      <c r="UVD12" s="64"/>
      <c r="UVE12" s="64"/>
      <c r="UVF12" s="64"/>
      <c r="UVG12" s="64"/>
      <c r="UVH12" s="64"/>
      <c r="UVI12" s="64"/>
      <c r="UVJ12" s="64"/>
      <c r="UVK12" s="64"/>
      <c r="UVL12" s="64"/>
      <c r="UVM12" s="64"/>
      <c r="UVN12" s="64"/>
      <c r="UVO12" s="64"/>
      <c r="UVP12" s="64"/>
      <c r="UVQ12" s="64"/>
      <c r="UVR12" s="64"/>
      <c r="UVS12" s="64"/>
      <c r="UVT12" s="64"/>
      <c r="UVU12" s="64"/>
      <c r="UVV12" s="64"/>
      <c r="UVW12" s="64"/>
      <c r="UVX12" s="64"/>
      <c r="UVY12" s="64"/>
      <c r="UVZ12" s="64"/>
      <c r="UWA12" s="64"/>
      <c r="UWB12" s="64"/>
      <c r="UWC12" s="64"/>
      <c r="UWD12" s="64"/>
      <c r="UWE12" s="64"/>
      <c r="UWF12" s="64"/>
      <c r="UWG12" s="64"/>
      <c r="UWH12" s="64"/>
      <c r="UWI12" s="64"/>
      <c r="UWJ12" s="64"/>
      <c r="UWK12" s="64"/>
      <c r="UWL12" s="64"/>
      <c r="UWM12" s="64"/>
      <c r="UWN12" s="64"/>
      <c r="UWO12" s="64"/>
      <c r="UWP12" s="64"/>
      <c r="UWQ12" s="64"/>
      <c r="UWR12" s="64"/>
      <c r="UWS12" s="64"/>
      <c r="UWT12" s="64"/>
      <c r="UWU12" s="64"/>
      <c r="UWV12" s="64"/>
      <c r="UWW12" s="64"/>
      <c r="UWX12" s="64"/>
      <c r="UWY12" s="64"/>
      <c r="UWZ12" s="64"/>
      <c r="UXA12" s="64"/>
      <c r="UXB12" s="64"/>
      <c r="UXC12" s="64"/>
      <c r="UXD12" s="64"/>
      <c r="UXE12" s="64"/>
      <c r="UXF12" s="64"/>
      <c r="UXG12" s="64"/>
      <c r="UXH12" s="64"/>
      <c r="UXI12" s="64"/>
      <c r="UXJ12" s="64"/>
      <c r="UXK12" s="64"/>
      <c r="UXL12" s="64"/>
      <c r="UXM12" s="64"/>
      <c r="UXN12" s="64"/>
      <c r="UXO12" s="64"/>
      <c r="UXP12" s="64"/>
      <c r="UXQ12" s="64"/>
      <c r="UXR12" s="64"/>
      <c r="UXS12" s="64"/>
      <c r="UXT12" s="64"/>
      <c r="UXU12" s="64"/>
      <c r="UXV12" s="64"/>
      <c r="UXW12" s="64"/>
      <c r="UXX12" s="64"/>
      <c r="UXY12" s="64"/>
      <c r="UXZ12" s="64"/>
      <c r="UYA12" s="64"/>
      <c r="UYB12" s="64"/>
      <c r="UYC12" s="64"/>
      <c r="UYD12" s="64"/>
      <c r="UYE12" s="64"/>
      <c r="UYF12" s="64"/>
      <c r="UYG12" s="64"/>
      <c r="UYH12" s="64"/>
      <c r="UYI12" s="64"/>
      <c r="UYJ12" s="64"/>
      <c r="UYK12" s="64"/>
      <c r="UYL12" s="64"/>
      <c r="UYM12" s="64"/>
      <c r="UYN12" s="64"/>
      <c r="UYO12" s="64"/>
      <c r="UYP12" s="64"/>
      <c r="UYQ12" s="64"/>
      <c r="UYR12" s="64"/>
      <c r="UYS12" s="64"/>
      <c r="UYT12" s="64"/>
      <c r="UYU12" s="64"/>
      <c r="UYV12" s="64"/>
      <c r="UYW12" s="64"/>
      <c r="UYX12" s="64"/>
      <c r="UYY12" s="64"/>
      <c r="UYZ12" s="64"/>
      <c r="UZA12" s="64"/>
      <c r="UZB12" s="64"/>
      <c r="UZC12" s="64"/>
      <c r="UZD12" s="64"/>
      <c r="UZE12" s="64"/>
      <c r="UZF12" s="64"/>
      <c r="UZG12" s="64"/>
      <c r="UZH12" s="64"/>
      <c r="UZI12" s="64"/>
      <c r="UZJ12" s="64"/>
      <c r="UZK12" s="64"/>
      <c r="UZL12" s="64"/>
      <c r="UZM12" s="64"/>
      <c r="UZN12" s="64"/>
      <c r="UZO12" s="64"/>
      <c r="UZP12" s="64"/>
      <c r="UZQ12" s="64"/>
      <c r="UZR12" s="64"/>
      <c r="UZS12" s="64"/>
      <c r="UZT12" s="64"/>
      <c r="UZU12" s="64"/>
      <c r="UZV12" s="64"/>
      <c r="UZW12" s="64"/>
      <c r="UZX12" s="64"/>
      <c r="UZY12" s="64"/>
      <c r="UZZ12" s="64"/>
      <c r="VAA12" s="64"/>
      <c r="VAB12" s="64"/>
      <c r="VAC12" s="64"/>
      <c r="VAD12" s="64"/>
      <c r="VAE12" s="64"/>
      <c r="VAF12" s="64"/>
      <c r="VAG12" s="64"/>
      <c r="VAH12" s="64"/>
      <c r="VAI12" s="64"/>
      <c r="VAJ12" s="64"/>
      <c r="VAK12" s="64"/>
      <c r="VAL12" s="64"/>
      <c r="VAM12" s="64"/>
      <c r="VAN12" s="64"/>
      <c r="VAO12" s="64"/>
      <c r="VAP12" s="64"/>
      <c r="VAQ12" s="64"/>
      <c r="VAR12" s="64"/>
      <c r="VAS12" s="64"/>
      <c r="VAT12" s="64"/>
      <c r="VAU12" s="64"/>
      <c r="VAV12" s="64"/>
      <c r="VAW12" s="64"/>
      <c r="VAX12" s="64"/>
      <c r="VAY12" s="64"/>
      <c r="VAZ12" s="64"/>
      <c r="VBA12" s="64"/>
      <c r="VBB12" s="64"/>
      <c r="VBC12" s="64"/>
      <c r="VBD12" s="64"/>
      <c r="VBE12" s="64"/>
      <c r="VBF12" s="64"/>
      <c r="VBG12" s="64"/>
      <c r="VBH12" s="64"/>
      <c r="VBI12" s="64"/>
      <c r="VBJ12" s="64"/>
      <c r="VBK12" s="64"/>
      <c r="VBL12" s="64"/>
      <c r="VBM12" s="64"/>
      <c r="VBN12" s="64"/>
      <c r="VBO12" s="64"/>
      <c r="VBP12" s="64"/>
      <c r="VBQ12" s="64"/>
      <c r="VBR12" s="64"/>
      <c r="VBS12" s="64"/>
      <c r="VBT12" s="64"/>
      <c r="VBU12" s="64"/>
      <c r="VBV12" s="64"/>
      <c r="VBW12" s="64"/>
      <c r="VBX12" s="64"/>
      <c r="VBY12" s="64"/>
      <c r="VBZ12" s="64"/>
      <c r="VCA12" s="64"/>
      <c r="VCB12" s="64"/>
      <c r="VCC12" s="64"/>
      <c r="VCD12" s="64"/>
      <c r="VCE12" s="64"/>
      <c r="VCF12" s="64"/>
      <c r="VCG12" s="64"/>
      <c r="VCH12" s="64"/>
      <c r="VCI12" s="64"/>
      <c r="VCJ12" s="64"/>
      <c r="VCK12" s="64"/>
      <c r="VCL12" s="64"/>
      <c r="VCM12" s="64"/>
      <c r="VCN12" s="64"/>
      <c r="VCO12" s="64"/>
      <c r="VCP12" s="64"/>
      <c r="VCQ12" s="64"/>
      <c r="VCR12" s="64"/>
      <c r="VCS12" s="64"/>
      <c r="VCT12" s="64"/>
      <c r="VCU12" s="64"/>
      <c r="VCV12" s="64"/>
      <c r="VCW12" s="64"/>
      <c r="VCX12" s="64"/>
      <c r="VCY12" s="64"/>
      <c r="VCZ12" s="64"/>
      <c r="VDA12" s="64"/>
      <c r="VDB12" s="64"/>
      <c r="VDC12" s="64"/>
      <c r="VDD12" s="64"/>
      <c r="VDE12" s="64"/>
      <c r="VDF12" s="64"/>
      <c r="VDG12" s="64"/>
      <c r="VDH12" s="64"/>
      <c r="VDI12" s="64"/>
      <c r="VDJ12" s="64"/>
      <c r="VDK12" s="64"/>
      <c r="VDL12" s="64"/>
      <c r="VDM12" s="64"/>
      <c r="VDN12" s="64"/>
      <c r="VDO12" s="64"/>
      <c r="VDP12" s="64"/>
      <c r="VDQ12" s="64"/>
      <c r="VDR12" s="64"/>
      <c r="VDS12" s="64"/>
      <c r="VDT12" s="64"/>
      <c r="VDU12" s="64"/>
      <c r="VDV12" s="64"/>
      <c r="VDW12" s="64"/>
      <c r="VDX12" s="64"/>
      <c r="VDY12" s="64"/>
      <c r="VDZ12" s="64"/>
      <c r="VEA12" s="64"/>
      <c r="VEB12" s="64"/>
      <c r="VEC12" s="64"/>
      <c r="VED12" s="64"/>
      <c r="VEE12" s="64"/>
      <c r="VEF12" s="64"/>
      <c r="VEG12" s="64"/>
      <c r="VEH12" s="64"/>
      <c r="VEI12" s="64"/>
      <c r="VEJ12" s="64"/>
      <c r="VEK12" s="64"/>
      <c r="VEL12" s="64"/>
      <c r="VEM12" s="64"/>
      <c r="VEN12" s="64"/>
      <c r="VEO12" s="64"/>
      <c r="VEP12" s="64"/>
      <c r="VEQ12" s="64"/>
      <c r="VER12" s="64"/>
      <c r="VES12" s="64"/>
      <c r="VET12" s="64"/>
      <c r="VEU12" s="64"/>
      <c r="VEV12" s="64"/>
      <c r="VEW12" s="64"/>
      <c r="VEX12" s="64"/>
      <c r="VEY12" s="64"/>
      <c r="VEZ12" s="64"/>
      <c r="VFA12" s="64"/>
      <c r="VFB12" s="64"/>
      <c r="VFC12" s="64"/>
      <c r="VFD12" s="64"/>
      <c r="VFE12" s="64"/>
      <c r="VFF12" s="64"/>
      <c r="VFG12" s="64"/>
      <c r="VFH12" s="64"/>
      <c r="VFI12" s="64"/>
      <c r="VFJ12" s="64"/>
      <c r="VFK12" s="64"/>
      <c r="VFL12" s="64"/>
      <c r="VFM12" s="64"/>
      <c r="VFN12" s="64"/>
      <c r="VFO12" s="64"/>
      <c r="VFP12" s="64"/>
      <c r="VFQ12" s="64"/>
      <c r="VFR12" s="64"/>
      <c r="VFS12" s="64"/>
      <c r="VFT12" s="64"/>
      <c r="VFU12" s="64"/>
      <c r="VFV12" s="64"/>
      <c r="VFW12" s="64"/>
      <c r="VFX12" s="64"/>
      <c r="VFY12" s="64"/>
      <c r="VFZ12" s="64"/>
      <c r="VGA12" s="64"/>
      <c r="VGB12" s="64"/>
      <c r="VGC12" s="64"/>
      <c r="VGD12" s="64"/>
      <c r="VGE12" s="64"/>
      <c r="VGF12" s="64"/>
      <c r="VGG12" s="64"/>
      <c r="VGH12" s="64"/>
      <c r="VGI12" s="64"/>
      <c r="VGJ12" s="64"/>
      <c r="VGK12" s="64"/>
      <c r="VGL12" s="64"/>
      <c r="VGM12" s="64"/>
      <c r="VGN12" s="64"/>
      <c r="VGO12" s="64"/>
      <c r="VGP12" s="64"/>
      <c r="VGQ12" s="64"/>
      <c r="VGR12" s="64"/>
      <c r="VGS12" s="64"/>
      <c r="VGT12" s="64"/>
      <c r="VGU12" s="64"/>
      <c r="VGV12" s="64"/>
      <c r="VGW12" s="64"/>
      <c r="VGX12" s="64"/>
      <c r="VGY12" s="64"/>
      <c r="VGZ12" s="64"/>
      <c r="VHA12" s="64"/>
      <c r="VHB12" s="64"/>
      <c r="VHC12" s="64"/>
      <c r="VHD12" s="64"/>
      <c r="VHE12" s="64"/>
      <c r="VHF12" s="64"/>
      <c r="VHG12" s="64"/>
      <c r="VHH12" s="64"/>
      <c r="VHI12" s="64"/>
      <c r="VHJ12" s="64"/>
      <c r="VHK12" s="64"/>
      <c r="VHL12" s="64"/>
      <c r="VHM12" s="64"/>
      <c r="VHN12" s="64"/>
      <c r="VHO12" s="64"/>
      <c r="VHP12" s="64"/>
      <c r="VHQ12" s="64"/>
      <c r="VHR12" s="64"/>
      <c r="VHS12" s="64"/>
      <c r="VHT12" s="64"/>
      <c r="VHU12" s="64"/>
      <c r="VHV12" s="64"/>
      <c r="VHW12" s="64"/>
      <c r="VHX12" s="64"/>
      <c r="VHY12" s="64"/>
      <c r="VHZ12" s="64"/>
      <c r="VIA12" s="64"/>
      <c r="VIB12" s="64"/>
      <c r="VIC12" s="64"/>
      <c r="VID12" s="64"/>
      <c r="VIE12" s="64"/>
      <c r="VIF12" s="64"/>
      <c r="VIG12" s="64"/>
      <c r="VIH12" s="64"/>
      <c r="VII12" s="64"/>
      <c r="VIJ12" s="64"/>
      <c r="VIK12" s="64"/>
      <c r="VIL12" s="64"/>
      <c r="VIM12" s="64"/>
      <c r="VIN12" s="64"/>
      <c r="VIO12" s="64"/>
      <c r="VIP12" s="64"/>
      <c r="VIQ12" s="64"/>
      <c r="VIR12" s="64"/>
      <c r="VIS12" s="64"/>
      <c r="VIT12" s="64"/>
      <c r="VIU12" s="64"/>
      <c r="VIV12" s="64"/>
      <c r="VIW12" s="64"/>
      <c r="VIX12" s="64"/>
      <c r="VIY12" s="64"/>
      <c r="VIZ12" s="64"/>
      <c r="VJA12" s="64"/>
      <c r="VJB12" s="64"/>
      <c r="VJC12" s="64"/>
      <c r="VJD12" s="64"/>
      <c r="VJE12" s="64"/>
      <c r="VJF12" s="64"/>
      <c r="VJG12" s="64"/>
      <c r="VJH12" s="64"/>
      <c r="VJI12" s="64"/>
      <c r="VJJ12" s="64"/>
      <c r="VJK12" s="64"/>
      <c r="VJL12" s="64"/>
      <c r="VJM12" s="64"/>
      <c r="VJN12" s="64"/>
      <c r="VJO12" s="64"/>
      <c r="VJP12" s="64"/>
      <c r="VJQ12" s="64"/>
      <c r="VJR12" s="64"/>
      <c r="VJS12" s="64"/>
      <c r="VJT12" s="64"/>
      <c r="VJU12" s="64"/>
      <c r="VJV12" s="64"/>
      <c r="VJW12" s="64"/>
      <c r="VJX12" s="64"/>
      <c r="VJY12" s="64"/>
      <c r="VJZ12" s="64"/>
      <c r="VKA12" s="64"/>
      <c r="VKB12" s="64"/>
      <c r="VKC12" s="64"/>
      <c r="VKD12" s="64"/>
      <c r="VKE12" s="64"/>
      <c r="VKF12" s="64"/>
      <c r="VKG12" s="64"/>
      <c r="VKH12" s="64"/>
      <c r="VKI12" s="64"/>
      <c r="VKJ12" s="64"/>
      <c r="VKK12" s="64"/>
      <c r="VKL12" s="64"/>
      <c r="VKM12" s="64"/>
      <c r="VKN12" s="64"/>
      <c r="VKO12" s="64"/>
      <c r="VKP12" s="64"/>
      <c r="VKQ12" s="64"/>
      <c r="VKR12" s="64"/>
      <c r="VKS12" s="64"/>
      <c r="VKT12" s="64"/>
      <c r="VKU12" s="64"/>
      <c r="VKV12" s="64"/>
      <c r="VKW12" s="64"/>
      <c r="VKX12" s="64"/>
      <c r="VKY12" s="64"/>
      <c r="VKZ12" s="64"/>
      <c r="VLA12" s="64"/>
      <c r="VLB12" s="64"/>
      <c r="VLC12" s="64"/>
      <c r="VLD12" s="64"/>
      <c r="VLE12" s="64"/>
      <c r="VLF12" s="64"/>
      <c r="VLG12" s="64"/>
      <c r="VLH12" s="64"/>
      <c r="VLI12" s="64"/>
      <c r="VLJ12" s="64"/>
      <c r="VLK12" s="64"/>
      <c r="VLL12" s="64"/>
      <c r="VLM12" s="64"/>
      <c r="VLN12" s="64"/>
      <c r="VLO12" s="64"/>
      <c r="VLP12" s="64"/>
      <c r="VLQ12" s="64"/>
      <c r="VLR12" s="64"/>
      <c r="VLS12" s="64"/>
      <c r="VLT12" s="64"/>
      <c r="VLU12" s="64"/>
      <c r="VLV12" s="64"/>
      <c r="VLW12" s="64"/>
      <c r="VLX12" s="64"/>
      <c r="VLY12" s="64"/>
      <c r="VLZ12" s="64"/>
      <c r="VMA12" s="64"/>
      <c r="VMB12" s="64"/>
      <c r="VMC12" s="64"/>
      <c r="VMD12" s="64"/>
      <c r="VME12" s="64"/>
      <c r="VMF12" s="64"/>
      <c r="VMG12" s="64"/>
      <c r="VMH12" s="64"/>
      <c r="VMI12" s="64"/>
      <c r="VMJ12" s="64"/>
      <c r="VMK12" s="64"/>
      <c r="VML12" s="64"/>
      <c r="VMM12" s="64"/>
      <c r="VMN12" s="64"/>
      <c r="VMO12" s="64"/>
      <c r="VMP12" s="64"/>
      <c r="VMQ12" s="64"/>
      <c r="VMR12" s="64"/>
      <c r="VMS12" s="64"/>
      <c r="VMT12" s="64"/>
      <c r="VMU12" s="64"/>
      <c r="VMV12" s="64"/>
      <c r="VMW12" s="64"/>
      <c r="VMX12" s="64"/>
      <c r="VMY12" s="64"/>
      <c r="VMZ12" s="64"/>
      <c r="VNA12" s="64"/>
      <c r="VNB12" s="64"/>
      <c r="VNC12" s="64"/>
      <c r="VND12" s="64"/>
      <c r="VNE12" s="64"/>
      <c r="VNF12" s="64"/>
      <c r="VNG12" s="64"/>
      <c r="VNH12" s="64"/>
      <c r="VNI12" s="64"/>
      <c r="VNJ12" s="64"/>
      <c r="VNK12" s="64"/>
      <c r="VNL12" s="64"/>
      <c r="VNM12" s="64"/>
      <c r="VNN12" s="64"/>
      <c r="VNO12" s="64"/>
      <c r="VNP12" s="64"/>
      <c r="VNQ12" s="64"/>
      <c r="VNR12" s="64"/>
      <c r="VNS12" s="64"/>
      <c r="VNT12" s="64"/>
      <c r="VNU12" s="64"/>
      <c r="VNV12" s="64"/>
      <c r="VNW12" s="64"/>
      <c r="VNX12" s="64"/>
      <c r="VNY12" s="64"/>
      <c r="VNZ12" s="64"/>
      <c r="VOA12" s="64"/>
      <c r="VOB12" s="64"/>
      <c r="VOC12" s="64"/>
      <c r="VOD12" s="64"/>
      <c r="VOE12" s="64"/>
      <c r="VOF12" s="64"/>
      <c r="VOG12" s="64"/>
      <c r="VOH12" s="64"/>
      <c r="VOI12" s="64"/>
      <c r="VOJ12" s="64"/>
      <c r="VOK12" s="64"/>
      <c r="VOL12" s="64"/>
      <c r="VOM12" s="64"/>
      <c r="VON12" s="64"/>
      <c r="VOO12" s="64"/>
      <c r="VOP12" s="64"/>
      <c r="VOQ12" s="64"/>
      <c r="VOR12" s="64"/>
      <c r="VOS12" s="64"/>
      <c r="VOT12" s="64"/>
      <c r="VOU12" s="64"/>
      <c r="VOV12" s="64"/>
      <c r="VOW12" s="64"/>
      <c r="VOX12" s="64"/>
      <c r="VOY12" s="64"/>
      <c r="VOZ12" s="64"/>
      <c r="VPA12" s="64"/>
      <c r="VPB12" s="64"/>
      <c r="VPC12" s="64"/>
      <c r="VPD12" s="64"/>
      <c r="VPE12" s="64"/>
      <c r="VPF12" s="64"/>
      <c r="VPG12" s="64"/>
      <c r="VPH12" s="64"/>
      <c r="VPI12" s="64"/>
      <c r="VPJ12" s="64"/>
      <c r="VPK12" s="64"/>
      <c r="VPL12" s="64"/>
      <c r="VPM12" s="64"/>
      <c r="VPN12" s="64"/>
      <c r="VPO12" s="64"/>
      <c r="VPP12" s="64"/>
      <c r="VPQ12" s="64"/>
      <c r="VPR12" s="64"/>
      <c r="VPS12" s="64"/>
      <c r="VPT12" s="64"/>
      <c r="VPU12" s="64"/>
      <c r="VPV12" s="64"/>
      <c r="VPW12" s="64"/>
      <c r="VPX12" s="64"/>
      <c r="VPY12" s="64"/>
      <c r="VPZ12" s="64"/>
      <c r="VQA12" s="64"/>
      <c r="VQB12" s="64"/>
      <c r="VQC12" s="64"/>
      <c r="VQD12" s="64"/>
      <c r="VQE12" s="64"/>
      <c r="VQF12" s="64"/>
      <c r="VQG12" s="64"/>
      <c r="VQH12" s="64"/>
      <c r="VQI12" s="64"/>
      <c r="VQJ12" s="64"/>
      <c r="VQK12" s="64"/>
      <c r="VQL12" s="64"/>
      <c r="VQM12" s="64"/>
      <c r="VQN12" s="64"/>
      <c r="VQO12" s="64"/>
      <c r="VQP12" s="64"/>
      <c r="VQQ12" s="64"/>
      <c r="VQR12" s="64"/>
      <c r="VQS12" s="64"/>
      <c r="VQT12" s="64"/>
      <c r="VQU12" s="64"/>
      <c r="VQV12" s="64"/>
      <c r="VQW12" s="64"/>
      <c r="VQX12" s="64"/>
      <c r="VQY12" s="64"/>
      <c r="VQZ12" s="64"/>
      <c r="VRA12" s="64"/>
      <c r="VRB12" s="64"/>
      <c r="VRC12" s="64"/>
      <c r="VRD12" s="64"/>
      <c r="VRE12" s="64"/>
      <c r="VRF12" s="64"/>
      <c r="VRG12" s="64"/>
      <c r="VRH12" s="64"/>
      <c r="VRI12" s="64"/>
      <c r="VRJ12" s="64"/>
      <c r="VRK12" s="64"/>
      <c r="VRL12" s="64"/>
      <c r="VRM12" s="64"/>
      <c r="VRN12" s="64"/>
      <c r="VRO12" s="64"/>
      <c r="VRP12" s="64"/>
      <c r="VRQ12" s="64"/>
      <c r="VRR12" s="64"/>
      <c r="VRS12" s="64"/>
      <c r="VRT12" s="64"/>
      <c r="VRU12" s="64"/>
      <c r="VRV12" s="64"/>
      <c r="VRW12" s="64"/>
      <c r="VRX12" s="64"/>
      <c r="VRY12" s="64"/>
      <c r="VRZ12" s="64"/>
      <c r="VSA12" s="64"/>
      <c r="VSB12" s="64"/>
      <c r="VSC12" s="64"/>
      <c r="VSD12" s="64"/>
      <c r="VSE12" s="64"/>
      <c r="VSF12" s="64"/>
      <c r="VSG12" s="64"/>
      <c r="VSH12" s="64"/>
      <c r="VSI12" s="64"/>
      <c r="VSJ12" s="64"/>
      <c r="VSK12" s="64"/>
      <c r="VSL12" s="64"/>
      <c r="VSM12" s="64"/>
      <c r="VSN12" s="64"/>
      <c r="VSO12" s="64"/>
      <c r="VSP12" s="64"/>
      <c r="VSQ12" s="64"/>
      <c r="VSR12" s="64"/>
      <c r="VSS12" s="64"/>
      <c r="VST12" s="64"/>
      <c r="VSU12" s="64"/>
      <c r="VSV12" s="64"/>
      <c r="VSW12" s="64"/>
      <c r="VSX12" s="64"/>
      <c r="VSY12" s="64"/>
      <c r="VSZ12" s="64"/>
      <c r="VTA12" s="64"/>
      <c r="VTB12" s="64"/>
      <c r="VTC12" s="64"/>
      <c r="VTD12" s="64"/>
      <c r="VTE12" s="64"/>
      <c r="VTF12" s="64"/>
      <c r="VTG12" s="64"/>
      <c r="VTH12" s="64"/>
      <c r="VTI12" s="64"/>
      <c r="VTJ12" s="64"/>
      <c r="VTK12" s="64"/>
      <c r="VTL12" s="64"/>
      <c r="VTM12" s="64"/>
      <c r="VTN12" s="64"/>
      <c r="VTO12" s="64"/>
      <c r="VTP12" s="64"/>
      <c r="VTQ12" s="64"/>
      <c r="VTR12" s="64"/>
      <c r="VTS12" s="64"/>
      <c r="VTT12" s="64"/>
      <c r="VTU12" s="64"/>
      <c r="VTV12" s="64"/>
      <c r="VTW12" s="64"/>
      <c r="VTX12" s="64"/>
      <c r="VTY12" s="64"/>
      <c r="VTZ12" s="64"/>
      <c r="VUA12" s="64"/>
      <c r="VUB12" s="64"/>
      <c r="VUC12" s="64"/>
      <c r="VUD12" s="64"/>
      <c r="VUE12" s="64"/>
      <c r="VUF12" s="64"/>
      <c r="VUG12" s="64"/>
      <c r="VUH12" s="64"/>
      <c r="VUI12" s="64"/>
      <c r="VUJ12" s="64"/>
      <c r="VUK12" s="64"/>
      <c r="VUL12" s="64"/>
      <c r="VUM12" s="64"/>
      <c r="VUN12" s="64"/>
      <c r="VUO12" s="64"/>
      <c r="VUP12" s="64"/>
      <c r="VUQ12" s="64"/>
      <c r="VUR12" s="64"/>
      <c r="VUS12" s="64"/>
      <c r="VUT12" s="64"/>
      <c r="VUU12" s="64"/>
      <c r="VUV12" s="64"/>
      <c r="VUW12" s="64"/>
      <c r="VUX12" s="64"/>
      <c r="VUY12" s="64"/>
      <c r="VUZ12" s="64"/>
      <c r="VVA12" s="64"/>
      <c r="VVB12" s="64"/>
      <c r="VVC12" s="64"/>
      <c r="VVD12" s="64"/>
      <c r="VVE12" s="64"/>
      <c r="VVF12" s="64"/>
      <c r="VVG12" s="64"/>
      <c r="VVH12" s="64"/>
      <c r="VVI12" s="64"/>
      <c r="VVJ12" s="64"/>
      <c r="VVK12" s="64"/>
      <c r="VVL12" s="64"/>
      <c r="VVM12" s="64"/>
      <c r="VVN12" s="64"/>
      <c r="VVO12" s="64"/>
      <c r="VVP12" s="64"/>
      <c r="VVQ12" s="64"/>
      <c r="VVR12" s="64"/>
      <c r="VVS12" s="64"/>
      <c r="VVT12" s="64"/>
      <c r="VVU12" s="64"/>
      <c r="VVV12" s="64"/>
      <c r="VVW12" s="64"/>
      <c r="VVX12" s="64"/>
      <c r="VVY12" s="64"/>
      <c r="VVZ12" s="64"/>
      <c r="VWA12" s="64"/>
      <c r="VWB12" s="64"/>
      <c r="VWC12" s="64"/>
      <c r="VWD12" s="64"/>
      <c r="VWE12" s="64"/>
      <c r="VWF12" s="64"/>
      <c r="VWG12" s="64"/>
      <c r="VWH12" s="64"/>
      <c r="VWI12" s="64"/>
      <c r="VWJ12" s="64"/>
      <c r="VWK12" s="64"/>
      <c r="VWL12" s="64"/>
      <c r="VWM12" s="64"/>
      <c r="VWN12" s="64"/>
      <c r="VWO12" s="64"/>
      <c r="VWP12" s="64"/>
      <c r="VWQ12" s="64"/>
      <c r="VWR12" s="64"/>
      <c r="VWS12" s="64"/>
      <c r="VWT12" s="64"/>
      <c r="VWU12" s="64"/>
      <c r="VWV12" s="64"/>
      <c r="VWW12" s="64"/>
      <c r="VWX12" s="64"/>
      <c r="VWY12" s="64"/>
      <c r="VWZ12" s="64"/>
      <c r="VXA12" s="64"/>
      <c r="VXB12" s="64"/>
      <c r="VXC12" s="64"/>
      <c r="VXD12" s="64"/>
      <c r="VXE12" s="64"/>
      <c r="VXF12" s="64"/>
      <c r="VXG12" s="64"/>
      <c r="VXH12" s="64"/>
      <c r="VXI12" s="64"/>
      <c r="VXJ12" s="64"/>
      <c r="VXK12" s="64"/>
      <c r="VXL12" s="64"/>
      <c r="VXM12" s="64"/>
      <c r="VXN12" s="64"/>
      <c r="VXO12" s="64"/>
      <c r="VXP12" s="64"/>
      <c r="VXQ12" s="64"/>
      <c r="VXR12" s="64"/>
      <c r="VXS12" s="64"/>
      <c r="VXT12" s="64"/>
      <c r="VXU12" s="64"/>
      <c r="VXV12" s="64"/>
      <c r="VXW12" s="64"/>
      <c r="VXX12" s="64"/>
      <c r="VXY12" s="64"/>
      <c r="VXZ12" s="64"/>
      <c r="VYA12" s="64"/>
      <c r="VYB12" s="64"/>
      <c r="VYC12" s="64"/>
      <c r="VYD12" s="64"/>
      <c r="VYE12" s="64"/>
      <c r="VYF12" s="64"/>
      <c r="VYG12" s="64"/>
      <c r="VYH12" s="64"/>
      <c r="VYI12" s="64"/>
      <c r="VYJ12" s="64"/>
      <c r="VYK12" s="64"/>
      <c r="VYL12" s="64"/>
      <c r="VYM12" s="64"/>
      <c r="VYN12" s="64"/>
      <c r="VYO12" s="64"/>
      <c r="VYP12" s="64"/>
      <c r="VYQ12" s="64"/>
      <c r="VYR12" s="64"/>
      <c r="VYS12" s="64"/>
      <c r="VYT12" s="64"/>
      <c r="VYU12" s="64"/>
      <c r="VYV12" s="64"/>
      <c r="VYW12" s="64"/>
      <c r="VYX12" s="64"/>
      <c r="VYY12" s="64"/>
      <c r="VYZ12" s="64"/>
      <c r="VZA12" s="64"/>
      <c r="VZB12" s="64"/>
      <c r="VZC12" s="64"/>
      <c r="VZD12" s="64"/>
      <c r="VZE12" s="64"/>
      <c r="VZF12" s="64"/>
      <c r="VZG12" s="64"/>
      <c r="VZH12" s="64"/>
      <c r="VZI12" s="64"/>
      <c r="VZJ12" s="64"/>
      <c r="VZK12" s="64"/>
      <c r="VZL12" s="64"/>
      <c r="VZM12" s="64"/>
      <c r="VZN12" s="64"/>
      <c r="VZO12" s="64"/>
      <c r="VZP12" s="64"/>
      <c r="VZQ12" s="64"/>
      <c r="VZR12" s="64"/>
      <c r="VZS12" s="64"/>
      <c r="VZT12" s="64"/>
      <c r="VZU12" s="64"/>
      <c r="VZV12" s="64"/>
      <c r="VZW12" s="64"/>
      <c r="VZX12" s="64"/>
      <c r="VZY12" s="64"/>
      <c r="VZZ12" s="64"/>
      <c r="WAA12" s="64"/>
      <c r="WAB12" s="64"/>
      <c r="WAC12" s="64"/>
      <c r="WAD12" s="64"/>
      <c r="WAE12" s="64"/>
      <c r="WAF12" s="64"/>
      <c r="WAG12" s="64"/>
      <c r="WAH12" s="64"/>
      <c r="WAI12" s="64"/>
      <c r="WAJ12" s="64"/>
      <c r="WAK12" s="64"/>
      <c r="WAL12" s="64"/>
      <c r="WAM12" s="64"/>
      <c r="WAN12" s="64"/>
      <c r="WAO12" s="64"/>
      <c r="WAP12" s="64"/>
      <c r="WAQ12" s="64"/>
      <c r="WAR12" s="64"/>
      <c r="WAS12" s="64"/>
      <c r="WAT12" s="64"/>
      <c r="WAU12" s="64"/>
      <c r="WAV12" s="64"/>
      <c r="WAW12" s="64"/>
      <c r="WAX12" s="64"/>
      <c r="WAY12" s="64"/>
      <c r="WAZ12" s="64"/>
      <c r="WBA12" s="64"/>
      <c r="WBB12" s="64"/>
      <c r="WBC12" s="64"/>
      <c r="WBD12" s="64"/>
      <c r="WBE12" s="64"/>
      <c r="WBF12" s="64"/>
      <c r="WBG12" s="64"/>
      <c r="WBH12" s="64"/>
      <c r="WBI12" s="64"/>
      <c r="WBJ12" s="64"/>
      <c r="WBK12" s="64"/>
      <c r="WBL12" s="64"/>
      <c r="WBM12" s="64"/>
      <c r="WBN12" s="64"/>
      <c r="WBO12" s="64"/>
      <c r="WBP12" s="64"/>
      <c r="WBQ12" s="64"/>
      <c r="WBR12" s="64"/>
      <c r="WBS12" s="64"/>
      <c r="WBT12" s="64"/>
      <c r="WBU12" s="64"/>
      <c r="WBV12" s="64"/>
      <c r="WBW12" s="64"/>
      <c r="WBX12" s="64"/>
      <c r="WBY12" s="64"/>
      <c r="WBZ12" s="64"/>
      <c r="WCA12" s="64"/>
      <c r="WCB12" s="64"/>
      <c r="WCC12" s="64"/>
      <c r="WCD12" s="64"/>
      <c r="WCE12" s="64"/>
      <c r="WCF12" s="64"/>
      <c r="WCG12" s="64"/>
      <c r="WCH12" s="64"/>
      <c r="WCI12" s="64"/>
      <c r="WCJ12" s="64"/>
      <c r="WCK12" s="64"/>
      <c r="WCL12" s="64"/>
      <c r="WCM12" s="64"/>
      <c r="WCN12" s="64"/>
      <c r="WCO12" s="64"/>
      <c r="WCP12" s="64"/>
      <c r="WCQ12" s="64"/>
      <c r="WCR12" s="64"/>
      <c r="WCS12" s="64"/>
      <c r="WCT12" s="64"/>
      <c r="WCU12" s="64"/>
      <c r="WCV12" s="64"/>
      <c r="WCW12" s="64"/>
      <c r="WCX12" s="64"/>
      <c r="WCY12" s="64"/>
      <c r="WCZ12" s="64"/>
      <c r="WDA12" s="64"/>
      <c r="WDB12" s="64"/>
      <c r="WDC12" s="64"/>
      <c r="WDD12" s="64"/>
      <c r="WDE12" s="64"/>
      <c r="WDF12" s="64"/>
      <c r="WDG12" s="64"/>
      <c r="WDH12" s="64"/>
      <c r="WDI12" s="64"/>
      <c r="WDJ12" s="64"/>
      <c r="WDK12" s="64"/>
      <c r="WDL12" s="64"/>
      <c r="WDM12" s="64"/>
      <c r="WDN12" s="64"/>
      <c r="WDO12" s="64"/>
      <c r="WDP12" s="64"/>
      <c r="WDQ12" s="64"/>
      <c r="WDR12" s="64"/>
      <c r="WDS12" s="64"/>
      <c r="WDT12" s="64"/>
      <c r="WDU12" s="64"/>
      <c r="WDV12" s="64"/>
      <c r="WDW12" s="64"/>
      <c r="WDX12" s="64"/>
      <c r="WDY12" s="64"/>
      <c r="WDZ12" s="64"/>
      <c r="WEA12" s="64"/>
      <c r="WEB12" s="64"/>
      <c r="WEC12" s="64"/>
      <c r="WED12" s="64"/>
      <c r="WEE12" s="64"/>
      <c r="WEF12" s="64"/>
      <c r="WEG12" s="64"/>
      <c r="WEH12" s="64"/>
      <c r="WEI12" s="64"/>
      <c r="WEJ12" s="64"/>
      <c r="WEK12" s="64"/>
      <c r="WEL12" s="64"/>
      <c r="WEM12" s="64"/>
      <c r="WEN12" s="64"/>
      <c r="WEO12" s="64"/>
      <c r="WEP12" s="64"/>
      <c r="WEQ12" s="64"/>
      <c r="WER12" s="64"/>
      <c r="WES12" s="64"/>
      <c r="WET12" s="64"/>
      <c r="WEU12" s="64"/>
      <c r="WEV12" s="64"/>
      <c r="WEW12" s="64"/>
      <c r="WEX12" s="64"/>
      <c r="WEY12" s="64"/>
      <c r="WEZ12" s="64"/>
      <c r="WFA12" s="64"/>
      <c r="WFB12" s="64"/>
      <c r="WFC12" s="64"/>
      <c r="WFD12" s="64"/>
      <c r="WFE12" s="64"/>
      <c r="WFF12" s="64"/>
      <c r="WFG12" s="64"/>
      <c r="WFH12" s="64"/>
      <c r="WFI12" s="64"/>
      <c r="WFJ12" s="64"/>
      <c r="WFK12" s="64"/>
      <c r="WFL12" s="64"/>
      <c r="WFM12" s="64"/>
      <c r="WFN12" s="64"/>
      <c r="WFO12" s="64"/>
      <c r="WFP12" s="64"/>
      <c r="WFQ12" s="64"/>
      <c r="WFR12" s="64"/>
      <c r="WFS12" s="64"/>
      <c r="WFT12" s="64"/>
      <c r="WFU12" s="64"/>
      <c r="WFV12" s="64"/>
      <c r="WFW12" s="64"/>
      <c r="WFX12" s="64"/>
      <c r="WFY12" s="64"/>
      <c r="WFZ12" s="64"/>
      <c r="WGA12" s="64"/>
      <c r="WGB12" s="64"/>
      <c r="WGC12" s="64"/>
      <c r="WGD12" s="64"/>
      <c r="WGE12" s="64"/>
      <c r="WGF12" s="64"/>
      <c r="WGG12" s="64"/>
      <c r="WGH12" s="64"/>
      <c r="WGI12" s="64"/>
      <c r="WGJ12" s="64"/>
      <c r="WGK12" s="64"/>
      <c r="WGL12" s="64"/>
      <c r="WGM12" s="64"/>
      <c r="WGN12" s="64"/>
      <c r="WGO12" s="64"/>
      <c r="WGP12" s="64"/>
      <c r="WGQ12" s="64"/>
      <c r="WGR12" s="64"/>
      <c r="WGS12" s="64"/>
      <c r="WGT12" s="64"/>
      <c r="WGU12" s="64"/>
      <c r="WGV12" s="64"/>
      <c r="WGW12" s="64"/>
      <c r="WGX12" s="64"/>
      <c r="WGY12" s="64"/>
      <c r="WGZ12" s="64"/>
      <c r="WHA12" s="64"/>
      <c r="WHB12" s="64"/>
      <c r="WHC12" s="64"/>
      <c r="WHD12" s="64"/>
      <c r="WHE12" s="64"/>
      <c r="WHF12" s="64"/>
      <c r="WHG12" s="64"/>
      <c r="WHH12" s="64"/>
      <c r="WHI12" s="64"/>
      <c r="WHJ12" s="64"/>
      <c r="WHK12" s="64"/>
      <c r="WHL12" s="64"/>
      <c r="WHM12" s="64"/>
      <c r="WHN12" s="64"/>
      <c r="WHO12" s="64"/>
      <c r="WHP12" s="64"/>
      <c r="WHQ12" s="64"/>
      <c r="WHR12" s="64"/>
      <c r="WHS12" s="64"/>
      <c r="WHT12" s="64"/>
      <c r="WHU12" s="64"/>
      <c r="WHV12" s="64"/>
      <c r="WHW12" s="64"/>
      <c r="WHX12" s="64"/>
      <c r="WHY12" s="64"/>
      <c r="WHZ12" s="64"/>
      <c r="WIA12" s="64"/>
      <c r="WIB12" s="64"/>
      <c r="WIC12" s="64"/>
      <c r="WID12" s="64"/>
      <c r="WIE12" s="64"/>
      <c r="WIF12" s="64"/>
      <c r="WIG12" s="64"/>
      <c r="WIH12" s="64"/>
      <c r="WII12" s="64"/>
      <c r="WIJ12" s="64"/>
      <c r="WIK12" s="64"/>
      <c r="WIL12" s="64"/>
      <c r="WIM12" s="64"/>
      <c r="WIN12" s="64"/>
      <c r="WIO12" s="64"/>
      <c r="WIP12" s="64"/>
      <c r="WIQ12" s="64"/>
      <c r="WIR12" s="64"/>
      <c r="WIS12" s="64"/>
      <c r="WIT12" s="64"/>
      <c r="WIU12" s="64"/>
      <c r="WIV12" s="64"/>
      <c r="WIW12" s="64"/>
      <c r="WIX12" s="64"/>
      <c r="WIY12" s="64"/>
      <c r="WIZ12" s="64"/>
      <c r="WJA12" s="64"/>
      <c r="WJB12" s="64"/>
      <c r="WJC12" s="64"/>
      <c r="WJD12" s="64"/>
      <c r="WJE12" s="64"/>
      <c r="WJF12" s="64"/>
      <c r="WJG12" s="64"/>
      <c r="WJH12" s="64"/>
      <c r="WJI12" s="64"/>
      <c r="WJJ12" s="64"/>
      <c r="WJK12" s="64"/>
      <c r="WJL12" s="64"/>
      <c r="WJM12" s="64"/>
      <c r="WJN12" s="64"/>
      <c r="WJO12" s="64"/>
      <c r="WJP12" s="64"/>
      <c r="WJQ12" s="64"/>
      <c r="WJR12" s="64"/>
      <c r="WJS12" s="64"/>
      <c r="WJT12" s="64"/>
      <c r="WJU12" s="64"/>
      <c r="WJV12" s="64"/>
      <c r="WJW12" s="64"/>
      <c r="WJX12" s="64"/>
      <c r="WJY12" s="64"/>
      <c r="WJZ12" s="64"/>
      <c r="WKA12" s="64"/>
      <c r="WKB12" s="64"/>
      <c r="WKC12" s="64"/>
      <c r="WKD12" s="64"/>
      <c r="WKE12" s="64"/>
      <c r="WKF12" s="64"/>
      <c r="WKG12" s="64"/>
      <c r="WKH12" s="64"/>
      <c r="WKI12" s="64"/>
      <c r="WKJ12" s="64"/>
      <c r="WKK12" s="64"/>
      <c r="WKL12" s="64"/>
      <c r="WKM12" s="64"/>
      <c r="WKN12" s="64"/>
      <c r="WKO12" s="64"/>
      <c r="WKP12" s="64"/>
      <c r="WKQ12" s="64"/>
      <c r="WKR12" s="64"/>
      <c r="WKS12" s="64"/>
      <c r="WKT12" s="64"/>
      <c r="WKU12" s="64"/>
      <c r="WKV12" s="64"/>
      <c r="WKW12" s="64"/>
      <c r="WKX12" s="64"/>
      <c r="WKY12" s="64"/>
      <c r="WKZ12" s="64"/>
      <c r="WLA12" s="64"/>
      <c r="WLB12" s="64"/>
      <c r="WLC12" s="64"/>
      <c r="WLD12" s="64"/>
      <c r="WLE12" s="64"/>
      <c r="WLF12" s="64"/>
      <c r="WLG12" s="64"/>
      <c r="WLH12" s="64"/>
      <c r="WLI12" s="64"/>
      <c r="WLJ12" s="64"/>
      <c r="WLK12" s="64"/>
      <c r="WLL12" s="64"/>
      <c r="WLM12" s="64"/>
      <c r="WLN12" s="64"/>
      <c r="WLO12" s="64"/>
      <c r="WLP12" s="64"/>
      <c r="WLQ12" s="64"/>
      <c r="WLR12" s="64"/>
      <c r="WLS12" s="64"/>
      <c r="WLT12" s="64"/>
      <c r="WLU12" s="64"/>
      <c r="WLV12" s="64"/>
      <c r="WLW12" s="64"/>
      <c r="WLX12" s="64"/>
      <c r="WLY12" s="64"/>
      <c r="WLZ12" s="64"/>
      <c r="WMA12" s="64"/>
      <c r="WMB12" s="64"/>
      <c r="WMC12" s="64"/>
      <c r="WMD12" s="64"/>
      <c r="WME12" s="64"/>
      <c r="WMF12" s="64"/>
      <c r="WMG12" s="64"/>
      <c r="WMH12" s="64"/>
      <c r="WMI12" s="64"/>
      <c r="WMJ12" s="64"/>
      <c r="WMK12" s="64"/>
      <c r="WML12" s="64"/>
      <c r="WMM12" s="64"/>
      <c r="WMN12" s="64"/>
      <c r="WMO12" s="64"/>
      <c r="WMP12" s="64"/>
      <c r="WMQ12" s="64"/>
      <c r="WMR12" s="64"/>
      <c r="WMS12" s="64"/>
      <c r="WMT12" s="64"/>
      <c r="WMU12" s="64"/>
      <c r="WMV12" s="64"/>
      <c r="WMW12" s="64"/>
      <c r="WMX12" s="64"/>
      <c r="WMY12" s="64"/>
      <c r="WMZ12" s="64"/>
      <c r="WNA12" s="64"/>
      <c r="WNB12" s="64"/>
      <c r="WNC12" s="64"/>
      <c r="WND12" s="64"/>
      <c r="WNE12" s="64"/>
      <c r="WNF12" s="64"/>
      <c r="WNG12" s="64"/>
      <c r="WNH12" s="64"/>
      <c r="WNI12" s="64"/>
      <c r="WNJ12" s="64"/>
      <c r="WNK12" s="64"/>
      <c r="WNL12" s="64"/>
      <c r="WNM12" s="64"/>
      <c r="WNN12" s="64"/>
      <c r="WNO12" s="64"/>
      <c r="WNP12" s="64"/>
      <c r="WNQ12" s="64"/>
      <c r="WNR12" s="64"/>
      <c r="WNS12" s="64"/>
      <c r="WNT12" s="64"/>
      <c r="WNU12" s="64"/>
      <c r="WNV12" s="64"/>
      <c r="WNW12" s="64"/>
      <c r="WNX12" s="64"/>
      <c r="WNY12" s="64"/>
      <c r="WNZ12" s="64"/>
      <c r="WOA12" s="64"/>
      <c r="WOB12" s="64"/>
      <c r="WOC12" s="64"/>
      <c r="WOD12" s="64"/>
      <c r="WOE12" s="64"/>
      <c r="WOF12" s="64"/>
      <c r="WOG12" s="64"/>
      <c r="WOH12" s="64"/>
      <c r="WOI12" s="64"/>
      <c r="WOJ12" s="64"/>
      <c r="WOK12" s="64"/>
      <c r="WOL12" s="64"/>
      <c r="WOM12" s="64"/>
      <c r="WON12" s="64"/>
      <c r="WOO12" s="64"/>
      <c r="WOP12" s="64"/>
      <c r="WOQ12" s="64"/>
      <c r="WOR12" s="64"/>
      <c r="WOS12" s="64"/>
      <c r="WOT12" s="64"/>
      <c r="WOU12" s="64"/>
      <c r="WOV12" s="64"/>
      <c r="WOW12" s="64"/>
      <c r="WOX12" s="64"/>
      <c r="WOY12" s="64"/>
      <c r="WOZ12" s="64"/>
      <c r="WPA12" s="64"/>
      <c r="WPB12" s="64"/>
      <c r="WPC12" s="64"/>
      <c r="WPD12" s="64"/>
      <c r="WPE12" s="64"/>
      <c r="WPF12" s="64"/>
      <c r="WPG12" s="64"/>
      <c r="WPH12" s="64"/>
      <c r="WPI12" s="64"/>
      <c r="WPJ12" s="64"/>
      <c r="WPK12" s="64"/>
      <c r="WPL12" s="64"/>
      <c r="WPM12" s="64"/>
      <c r="WPN12" s="64"/>
      <c r="WPO12" s="64"/>
      <c r="WPP12" s="64"/>
      <c r="WPQ12" s="64"/>
      <c r="WPR12" s="64"/>
      <c r="WPS12" s="64"/>
      <c r="WPT12" s="64"/>
      <c r="WPU12" s="64"/>
      <c r="WPV12" s="64"/>
      <c r="WPW12" s="64"/>
      <c r="WPX12" s="64"/>
      <c r="WPY12" s="64"/>
      <c r="WPZ12" s="64"/>
      <c r="WQA12" s="64"/>
      <c r="WQB12" s="64"/>
      <c r="WQC12" s="64"/>
      <c r="WQD12" s="64"/>
      <c r="WQE12" s="64"/>
      <c r="WQF12" s="64"/>
      <c r="WQG12" s="64"/>
      <c r="WQH12" s="64"/>
      <c r="WQI12" s="64"/>
      <c r="WQJ12" s="64"/>
      <c r="WQK12" s="64"/>
      <c r="WQL12" s="64"/>
      <c r="WQM12" s="64"/>
      <c r="WQN12" s="64"/>
      <c r="WQO12" s="64"/>
      <c r="WQP12" s="64"/>
      <c r="WQQ12" s="64"/>
      <c r="WQR12" s="64"/>
      <c r="WQS12" s="64"/>
      <c r="WQT12" s="64"/>
      <c r="WQU12" s="64"/>
      <c r="WQV12" s="64"/>
      <c r="WQW12" s="64"/>
      <c r="WQX12" s="64"/>
      <c r="WQY12" s="64"/>
      <c r="WQZ12" s="64"/>
      <c r="WRA12" s="64"/>
      <c r="WRB12" s="64"/>
      <c r="WRC12" s="64"/>
      <c r="WRD12" s="64"/>
      <c r="WRE12" s="64"/>
      <c r="WRF12" s="64"/>
      <c r="WRG12" s="64"/>
      <c r="WRH12" s="64"/>
      <c r="WRI12" s="64"/>
      <c r="WRJ12" s="64"/>
      <c r="WRK12" s="64"/>
      <c r="WRL12" s="64"/>
      <c r="WRM12" s="64"/>
      <c r="WRN12" s="64"/>
      <c r="WRO12" s="64"/>
      <c r="WRP12" s="64"/>
      <c r="WRQ12" s="64"/>
      <c r="WRR12" s="64"/>
      <c r="WRS12" s="64"/>
      <c r="WRT12" s="64"/>
      <c r="WRU12" s="64"/>
      <c r="WRV12" s="64"/>
      <c r="WRW12" s="64"/>
      <c r="WRX12" s="64"/>
      <c r="WRY12" s="64"/>
      <c r="WRZ12" s="64"/>
      <c r="WSA12" s="64"/>
      <c r="WSB12" s="64"/>
      <c r="WSC12" s="64"/>
      <c r="WSD12" s="64"/>
      <c r="WSE12" s="64"/>
      <c r="WSF12" s="64"/>
      <c r="WSG12" s="64"/>
      <c r="WSH12" s="64"/>
      <c r="WSI12" s="64"/>
      <c r="WSJ12" s="64"/>
      <c r="WSK12" s="64"/>
      <c r="WSL12" s="64"/>
      <c r="WSM12" s="64"/>
      <c r="WSN12" s="64"/>
      <c r="WSO12" s="64"/>
      <c r="WSP12" s="64"/>
      <c r="WSQ12" s="64"/>
      <c r="WSR12" s="64"/>
      <c r="WSS12" s="64"/>
      <c r="WST12" s="64"/>
      <c r="WSU12" s="64"/>
      <c r="WSV12" s="64"/>
      <c r="WSW12" s="64"/>
      <c r="WSX12" s="64"/>
      <c r="WSY12" s="64"/>
      <c r="WSZ12" s="64"/>
      <c r="WTA12" s="64"/>
      <c r="WTB12" s="64"/>
      <c r="WTC12" s="64"/>
      <c r="WTD12" s="64"/>
      <c r="WTE12" s="64"/>
      <c r="WTF12" s="64"/>
      <c r="WTG12" s="64"/>
      <c r="WTH12" s="64"/>
      <c r="WTI12" s="64"/>
      <c r="WTJ12" s="64"/>
      <c r="WTK12" s="64"/>
      <c r="WTL12" s="64"/>
      <c r="WTM12" s="64"/>
      <c r="WTN12" s="64"/>
      <c r="WTO12" s="64"/>
      <c r="WTP12" s="64"/>
      <c r="WTQ12" s="64"/>
      <c r="WTR12" s="64"/>
      <c r="WTS12" s="64"/>
      <c r="WTT12" s="64"/>
      <c r="WTU12" s="64"/>
      <c r="WTV12" s="64"/>
      <c r="WTW12" s="64"/>
      <c r="WTX12" s="64"/>
      <c r="WTY12" s="64"/>
      <c r="WTZ12" s="64"/>
      <c r="WUA12" s="64"/>
      <c r="WUB12" s="64"/>
      <c r="WUC12" s="64"/>
      <c r="WUD12" s="64"/>
      <c r="WUE12" s="64"/>
      <c r="WUF12" s="64"/>
      <c r="WUG12" s="64"/>
      <c r="WUH12" s="64"/>
      <c r="WUI12" s="64"/>
      <c r="WUJ12" s="64"/>
      <c r="WUK12" s="64"/>
      <c r="WUL12" s="64"/>
      <c r="WUM12" s="64"/>
      <c r="WUN12" s="64"/>
      <c r="WUO12" s="64"/>
      <c r="WUP12" s="64"/>
      <c r="WUQ12" s="64"/>
      <c r="WUR12" s="64"/>
      <c r="WUS12" s="64"/>
      <c r="WUT12" s="64"/>
      <c r="WUU12" s="64"/>
      <c r="WUV12" s="64"/>
      <c r="WUW12" s="64"/>
      <c r="WUX12" s="64"/>
      <c r="WUY12" s="64"/>
      <c r="WUZ12" s="64"/>
      <c r="WVA12" s="64"/>
      <c r="WVB12" s="64"/>
      <c r="WVC12" s="64"/>
      <c r="WVD12" s="64"/>
      <c r="WVE12" s="64"/>
      <c r="WVF12" s="64"/>
      <c r="WVG12" s="64"/>
      <c r="WVH12" s="64"/>
      <c r="WVI12" s="64"/>
      <c r="WVJ12" s="64"/>
      <c r="WVK12" s="64"/>
      <c r="WVL12" s="64"/>
      <c r="WVM12" s="64"/>
      <c r="WVN12" s="64"/>
      <c r="WVO12" s="64"/>
      <c r="WVP12" s="64"/>
      <c r="WVQ12" s="64"/>
      <c r="WVR12" s="64"/>
      <c r="WVS12" s="64"/>
      <c r="WVT12" s="64"/>
      <c r="WVU12" s="64"/>
      <c r="WVV12" s="64"/>
      <c r="WVW12" s="64"/>
      <c r="WVX12" s="64"/>
      <c r="WVY12" s="64"/>
      <c r="WVZ12" s="64"/>
      <c r="WWA12" s="64"/>
      <c r="WWB12" s="64"/>
      <c r="WWC12" s="64"/>
      <c r="WWD12" s="64"/>
      <c r="WWE12" s="64"/>
      <c r="WWF12" s="64"/>
      <c r="WWG12" s="64"/>
      <c r="WWH12" s="64"/>
      <c r="WWI12" s="64"/>
      <c r="WWJ12" s="64"/>
      <c r="WWK12" s="64"/>
      <c r="WWL12" s="64"/>
      <c r="WWM12" s="64"/>
      <c r="WWN12" s="64"/>
      <c r="WWO12" s="64"/>
      <c r="WWP12" s="64"/>
      <c r="WWQ12" s="64"/>
      <c r="WWR12" s="64"/>
      <c r="WWS12" s="64"/>
      <c r="WWT12" s="64"/>
      <c r="WWU12" s="64"/>
      <c r="WWV12" s="64"/>
      <c r="WWW12" s="64"/>
      <c r="WWX12" s="64"/>
      <c r="WWY12" s="64"/>
      <c r="WWZ12" s="64"/>
      <c r="WXA12" s="64"/>
      <c r="WXB12" s="64"/>
      <c r="WXC12" s="64"/>
      <c r="WXD12" s="64"/>
      <c r="WXE12" s="64"/>
      <c r="WXF12" s="64"/>
      <c r="WXG12" s="64"/>
      <c r="WXH12" s="64"/>
      <c r="WXI12" s="64"/>
      <c r="WXJ12" s="64"/>
      <c r="WXK12" s="64"/>
      <c r="WXL12" s="64"/>
      <c r="WXM12" s="64"/>
      <c r="WXN12" s="64"/>
      <c r="WXO12" s="64"/>
      <c r="WXP12" s="64"/>
      <c r="WXQ12" s="64"/>
      <c r="WXR12" s="64"/>
      <c r="WXS12" s="64"/>
      <c r="WXT12" s="64"/>
      <c r="WXU12" s="64"/>
      <c r="WXV12" s="64"/>
      <c r="WXW12" s="64"/>
      <c r="WXX12" s="64"/>
      <c r="WXY12" s="64"/>
      <c r="WXZ12" s="64"/>
      <c r="WYA12" s="64"/>
      <c r="WYB12" s="64"/>
      <c r="WYC12" s="64"/>
      <c r="WYD12" s="64"/>
      <c r="WYE12" s="64"/>
      <c r="WYF12" s="64"/>
      <c r="WYG12" s="64"/>
      <c r="WYH12" s="64"/>
      <c r="WYI12" s="64"/>
      <c r="WYJ12" s="64"/>
      <c r="WYK12" s="64"/>
      <c r="WYL12" s="64"/>
      <c r="WYM12" s="64"/>
      <c r="WYN12" s="64"/>
      <c r="WYO12" s="64"/>
      <c r="WYP12" s="64"/>
      <c r="WYQ12" s="64"/>
      <c r="WYR12" s="64"/>
      <c r="WYS12" s="64"/>
      <c r="WYT12" s="64"/>
      <c r="WYU12" s="64"/>
      <c r="WYV12" s="64"/>
      <c r="WYW12" s="64"/>
      <c r="WYX12" s="64"/>
      <c r="WYY12" s="64"/>
      <c r="WYZ12" s="64"/>
      <c r="WZA12" s="64"/>
      <c r="WZB12" s="64"/>
      <c r="WZC12" s="64"/>
      <c r="WZD12" s="64"/>
      <c r="WZE12" s="64"/>
      <c r="WZF12" s="64"/>
      <c r="WZG12" s="64"/>
      <c r="WZH12" s="64"/>
      <c r="WZI12" s="64"/>
      <c r="WZJ12" s="64"/>
      <c r="WZK12" s="64"/>
      <c r="WZL12" s="64"/>
      <c r="WZM12" s="64"/>
      <c r="WZN12" s="64"/>
      <c r="WZO12" s="64"/>
      <c r="WZP12" s="64"/>
      <c r="WZQ12" s="64"/>
      <c r="WZR12" s="64"/>
      <c r="WZS12" s="64"/>
      <c r="WZT12" s="64"/>
      <c r="WZU12" s="64"/>
      <c r="WZV12" s="64"/>
      <c r="WZW12" s="64"/>
      <c r="WZX12" s="64"/>
      <c r="WZY12" s="64"/>
      <c r="WZZ12" s="64"/>
      <c r="XAA12" s="64"/>
      <c r="XAB12" s="64"/>
      <c r="XAC12" s="64"/>
      <c r="XAD12" s="64"/>
      <c r="XAE12" s="64"/>
      <c r="XAF12" s="64"/>
      <c r="XAG12" s="64"/>
      <c r="XAH12" s="64"/>
      <c r="XAI12" s="64"/>
      <c r="XAJ12" s="64"/>
      <c r="XAK12" s="64"/>
      <c r="XAL12" s="64"/>
      <c r="XAM12" s="64"/>
      <c r="XAN12" s="64"/>
      <c r="XAO12" s="64"/>
      <c r="XAP12" s="64"/>
      <c r="XAQ12" s="64"/>
      <c r="XAR12" s="64"/>
      <c r="XAS12" s="64"/>
      <c r="XAT12" s="64"/>
      <c r="XAU12" s="64"/>
      <c r="XAV12" s="64"/>
      <c r="XAW12" s="64"/>
      <c r="XAX12" s="64"/>
      <c r="XAY12" s="64"/>
      <c r="XAZ12" s="64"/>
      <c r="XBA12" s="64"/>
      <c r="XBB12" s="64"/>
      <c r="XBC12" s="64"/>
      <c r="XBD12" s="64"/>
      <c r="XBE12" s="64"/>
      <c r="XBF12" s="64"/>
      <c r="XBG12" s="64"/>
      <c r="XBH12" s="64"/>
      <c r="XBI12" s="64"/>
      <c r="XBJ12" s="64"/>
      <c r="XBK12" s="64"/>
      <c r="XBL12" s="64"/>
      <c r="XBM12" s="64"/>
      <c r="XBN12" s="64"/>
      <c r="XBO12" s="64"/>
      <c r="XBP12" s="64"/>
      <c r="XBQ12" s="64"/>
      <c r="XBR12" s="64"/>
      <c r="XBS12" s="64"/>
      <c r="XBT12" s="64"/>
      <c r="XBU12" s="64"/>
      <c r="XBV12" s="64"/>
      <c r="XBW12" s="64"/>
      <c r="XBX12" s="64"/>
      <c r="XBY12" s="64"/>
      <c r="XBZ12" s="64"/>
      <c r="XCA12" s="64"/>
      <c r="XCB12" s="64"/>
      <c r="XCC12" s="64"/>
      <c r="XCD12" s="64"/>
      <c r="XCE12" s="64"/>
      <c r="XCF12" s="64"/>
      <c r="XCG12" s="64"/>
      <c r="XCH12" s="64"/>
      <c r="XCI12" s="64"/>
      <c r="XCJ12" s="64"/>
      <c r="XCK12" s="64"/>
      <c r="XCL12" s="64"/>
      <c r="XCM12" s="64"/>
      <c r="XCN12" s="64"/>
      <c r="XCO12" s="64"/>
      <c r="XCP12" s="64"/>
      <c r="XCQ12" s="64"/>
      <c r="XCR12" s="64"/>
      <c r="XCS12" s="64"/>
      <c r="XCT12" s="64"/>
      <c r="XCU12" s="64"/>
      <c r="XCV12" s="64"/>
      <c r="XCW12" s="64"/>
      <c r="XCX12" s="64"/>
      <c r="XCY12" s="64"/>
      <c r="XCZ12" s="64"/>
      <c r="XDA12" s="64"/>
      <c r="XDB12" s="64"/>
      <c r="XDC12" s="64"/>
      <c r="XDD12" s="64"/>
      <c r="XDE12" s="64"/>
      <c r="XDF12" s="64"/>
      <c r="XDG12" s="64"/>
      <c r="XDH12" s="64"/>
      <c r="XDI12" s="64"/>
      <c r="XDJ12" s="64"/>
      <c r="XDK12" s="64"/>
      <c r="XDL12" s="64"/>
      <c r="XDM12" s="64"/>
      <c r="XDN12" s="64"/>
      <c r="XDO12" s="64"/>
      <c r="XDP12" s="64"/>
      <c r="XDQ12" s="64"/>
      <c r="XDR12" s="64"/>
      <c r="XDS12" s="64"/>
      <c r="XDT12" s="64"/>
      <c r="XDU12" s="64"/>
      <c r="XDV12" s="64"/>
      <c r="XDW12" s="64"/>
      <c r="XDX12" s="64"/>
      <c r="XDY12" s="64"/>
      <c r="XDZ12" s="64"/>
      <c r="XEA12" s="64"/>
      <c r="XEB12" s="64"/>
      <c r="XEC12" s="64"/>
      <c r="XED12" s="64"/>
      <c r="XEE12" s="64"/>
      <c r="XEF12" s="64"/>
      <c r="XEG12" s="64"/>
      <c r="XEH12" s="64"/>
      <c r="XEI12" s="64"/>
      <c r="XEJ12" s="64"/>
      <c r="XEK12" s="64"/>
      <c r="XEL12" s="64"/>
      <c r="XEM12" s="64"/>
      <c r="XEN12" s="64"/>
      <c r="XEO12" s="64"/>
      <c r="XEP12" s="64"/>
      <c r="XEQ12" s="64"/>
      <c r="XER12" s="64"/>
      <c r="XES12" s="64"/>
      <c r="XET12" s="64"/>
      <c r="XEU12" s="64"/>
      <c r="XEV12" s="64"/>
      <c r="XEW12" s="64"/>
      <c r="XEX12" s="64"/>
      <c r="XEY12" s="64"/>
      <c r="XEZ12" s="64"/>
      <c r="XFA12" s="64"/>
      <c r="XFB12" s="64"/>
      <c r="XFC12" s="64"/>
      <c r="XFD12" s="64"/>
    </row>
    <row r="13" spans="1:16384" ht="20">
      <c r="A13" s="34" t="s">
        <v>373</v>
      </c>
      <c r="B13" s="91" t="s">
        <v>2</v>
      </c>
      <c r="C13" s="91" t="s">
        <v>1</v>
      </c>
      <c r="D13" s="91" t="s">
        <v>2</v>
      </c>
      <c r="E13" s="91" t="s">
        <v>2</v>
      </c>
      <c r="F13" s="91" t="s">
        <v>2</v>
      </c>
      <c r="G13" s="91" t="s">
        <v>1</v>
      </c>
      <c r="H13" s="91" t="s">
        <v>2</v>
      </c>
      <c r="I13" s="91" t="s">
        <v>2</v>
      </c>
      <c r="J13" s="91" t="s">
        <v>2</v>
      </c>
      <c r="K13" s="91" t="s">
        <v>1</v>
      </c>
      <c r="L13" s="91" t="s">
        <v>2</v>
      </c>
      <c r="M13" s="91" t="s">
        <v>2</v>
      </c>
      <c r="N13" s="91" t="s">
        <v>1</v>
      </c>
      <c r="O13" s="91" t="s">
        <v>1</v>
      </c>
      <c r="P13" s="91" t="s">
        <v>1</v>
      </c>
      <c r="Q13" s="91" t="s">
        <v>1</v>
      </c>
      <c r="R13" s="91" t="s">
        <v>1</v>
      </c>
      <c r="S13" s="91" t="s">
        <v>1</v>
      </c>
      <c r="T13" s="91" t="s">
        <v>1</v>
      </c>
      <c r="U13" s="91" t="s">
        <v>2</v>
      </c>
      <c r="V13" s="91" t="s">
        <v>2</v>
      </c>
      <c r="W13" s="91" t="s">
        <v>2</v>
      </c>
      <c r="X13" s="91" t="s">
        <v>2</v>
      </c>
      <c r="Y13" s="91" t="s">
        <v>1</v>
      </c>
      <c r="Z13" s="91" t="s">
        <v>1</v>
      </c>
      <c r="AA13" s="91" t="s">
        <v>2</v>
      </c>
      <c r="AB13" s="91" t="s">
        <v>1</v>
      </c>
      <c r="AC13" s="91" t="s">
        <v>2</v>
      </c>
      <c r="AD13" s="91" t="s">
        <v>2</v>
      </c>
      <c r="AE13" s="91" t="s">
        <v>2</v>
      </c>
      <c r="AF13" s="91" t="s">
        <v>2</v>
      </c>
      <c r="AG13" s="91" t="s">
        <v>2</v>
      </c>
      <c r="AH13" s="91" t="s">
        <v>1</v>
      </c>
      <c r="AI13" s="91" t="s">
        <v>2</v>
      </c>
      <c r="AJ13" s="91" t="s">
        <v>2</v>
      </c>
      <c r="AK13" s="91" t="s">
        <v>2</v>
      </c>
      <c r="AL13" s="91" t="s">
        <v>2</v>
      </c>
      <c r="AM13" s="91" t="s">
        <v>1</v>
      </c>
      <c r="AN13" s="91" t="s">
        <v>1</v>
      </c>
      <c r="AO13" s="91" t="s">
        <v>2</v>
      </c>
      <c r="AP13" s="91" t="s">
        <v>2</v>
      </c>
      <c r="AQ13" s="91" t="s">
        <v>2</v>
      </c>
      <c r="AR13" s="91" t="s">
        <v>2</v>
      </c>
      <c r="AS13" s="91" t="s">
        <v>1</v>
      </c>
      <c r="AT13" s="91" t="s">
        <v>1</v>
      </c>
      <c r="AU13" s="91" t="s">
        <v>2</v>
      </c>
      <c r="AV13" s="91" t="s">
        <v>2</v>
      </c>
      <c r="AW13" s="91" t="s">
        <v>1</v>
      </c>
      <c r="AX13" s="91" t="s">
        <v>1</v>
      </c>
      <c r="AY13" s="91" t="s">
        <v>2</v>
      </c>
      <c r="AZ13" s="91" t="s">
        <v>1</v>
      </c>
      <c r="BA13" s="91" t="s">
        <v>1</v>
      </c>
      <c r="BB13" s="91" t="s">
        <v>2</v>
      </c>
      <c r="BC13" s="91" t="s">
        <v>1</v>
      </c>
      <c r="BD13" s="91" t="s">
        <v>2</v>
      </c>
      <c r="BE13" s="91" t="s">
        <v>2</v>
      </c>
      <c r="BF13" s="91" t="s">
        <v>2</v>
      </c>
      <c r="BG13" s="91" t="s">
        <v>2</v>
      </c>
      <c r="BH13" s="91" t="s">
        <v>2</v>
      </c>
      <c r="BI13" s="91" t="s">
        <v>1</v>
      </c>
      <c r="BJ13" s="91" t="s">
        <v>1</v>
      </c>
      <c r="BK13" s="91" t="s">
        <v>1</v>
      </c>
      <c r="BL13" s="91" t="s">
        <v>2</v>
      </c>
      <c r="BM13" s="91" t="s">
        <v>1</v>
      </c>
      <c r="BN13" s="91" t="s">
        <v>1</v>
      </c>
      <c r="BO13" s="91" t="s">
        <v>2</v>
      </c>
      <c r="BP13" s="91" t="s">
        <v>2</v>
      </c>
      <c r="BQ13" s="91" t="s">
        <v>2</v>
      </c>
      <c r="BR13" s="91" t="s">
        <v>2</v>
      </c>
      <c r="BS13" s="91" t="s">
        <v>2</v>
      </c>
      <c r="BT13" s="91" t="s">
        <v>2</v>
      </c>
      <c r="BU13" s="91" t="s">
        <v>1</v>
      </c>
      <c r="BV13" s="91" t="s">
        <v>2</v>
      </c>
      <c r="BW13" s="91" t="s">
        <v>2</v>
      </c>
      <c r="BX13" s="91" t="s">
        <v>1</v>
      </c>
      <c r="BY13" s="91" t="s">
        <v>2</v>
      </c>
      <c r="BZ13" s="91" t="s">
        <v>2</v>
      </c>
      <c r="CA13" s="91" t="s">
        <v>1</v>
      </c>
      <c r="CB13" s="91" t="s">
        <v>2</v>
      </c>
      <c r="CC13" s="91" t="s">
        <v>2</v>
      </c>
      <c r="CD13" s="91" t="s">
        <v>2</v>
      </c>
      <c r="CE13" s="91" t="s">
        <v>2</v>
      </c>
      <c r="CF13" s="91" t="s">
        <v>2</v>
      </c>
      <c r="CG13" s="91" t="s">
        <v>2</v>
      </c>
      <c r="CH13" s="91" t="s">
        <v>2</v>
      </c>
      <c r="CI13" s="91" t="s">
        <v>2</v>
      </c>
      <c r="CJ13" s="91" t="s">
        <v>2</v>
      </c>
      <c r="CK13" s="91" t="s">
        <v>2</v>
      </c>
      <c r="CL13" s="91" t="s">
        <v>2</v>
      </c>
      <c r="CM13" s="91" t="s">
        <v>1</v>
      </c>
      <c r="CN13" s="91" t="s">
        <v>1</v>
      </c>
      <c r="CO13" s="91" t="s">
        <v>2</v>
      </c>
      <c r="CP13" s="91" t="s">
        <v>1</v>
      </c>
      <c r="CQ13" s="91" t="s">
        <v>2</v>
      </c>
      <c r="CR13" s="91" t="s">
        <v>2</v>
      </c>
      <c r="CS13" s="91" t="s">
        <v>2</v>
      </c>
      <c r="CT13" s="91" t="s">
        <v>2</v>
      </c>
      <c r="CU13" s="91" t="s">
        <v>2</v>
      </c>
      <c r="CV13" s="91" t="s">
        <v>2</v>
      </c>
      <c r="CW13" s="91" t="s">
        <v>2</v>
      </c>
      <c r="CX13" s="91" t="s">
        <v>2</v>
      </c>
      <c r="CY13" s="91" t="s">
        <v>1</v>
      </c>
      <c r="CZ13" s="91" t="s">
        <v>1</v>
      </c>
      <c r="DA13" s="99" t="s">
        <v>2</v>
      </c>
      <c r="DB13" s="92" t="s">
        <v>1</v>
      </c>
      <c r="DC13" s="92" t="s">
        <v>1</v>
      </c>
      <c r="DD13" s="92" t="s">
        <v>2</v>
      </c>
      <c r="DE13" s="92" t="s">
        <v>2</v>
      </c>
      <c r="DF13" s="92" t="s">
        <v>1</v>
      </c>
      <c r="DG13" s="92" t="s">
        <v>1</v>
      </c>
      <c r="DH13" s="92" t="s">
        <v>2</v>
      </c>
      <c r="DI13" s="94" t="s">
        <v>1</v>
      </c>
      <c r="DJ13" s="92" t="s">
        <v>2</v>
      </c>
      <c r="DK13" s="92" t="s">
        <v>2</v>
      </c>
      <c r="DL13" s="92" t="s">
        <v>2</v>
      </c>
      <c r="DM13" s="92" t="s">
        <v>2</v>
      </c>
      <c r="DN13" s="92" t="s">
        <v>2</v>
      </c>
      <c r="DO13" s="92" t="s">
        <v>2</v>
      </c>
      <c r="DP13" s="92" t="s">
        <v>2</v>
      </c>
      <c r="DQ13" s="92" t="s">
        <v>2</v>
      </c>
      <c r="DR13" s="92" t="s">
        <v>2</v>
      </c>
      <c r="DS13" s="92" t="s">
        <v>1</v>
      </c>
      <c r="DT13" s="92" t="s">
        <v>2</v>
      </c>
      <c r="DU13" s="92" t="s">
        <v>2</v>
      </c>
      <c r="DV13" s="92" t="s">
        <v>2</v>
      </c>
      <c r="DW13" s="94" t="s">
        <v>1</v>
      </c>
      <c r="DX13" s="92" t="s">
        <v>2</v>
      </c>
      <c r="DY13" s="92" t="s">
        <v>2</v>
      </c>
      <c r="DZ13" s="92" t="s">
        <v>1</v>
      </c>
      <c r="EA13" s="92" t="s">
        <v>1</v>
      </c>
      <c r="EB13" s="92" t="s">
        <v>1</v>
      </c>
      <c r="EC13" s="92" t="s">
        <v>1</v>
      </c>
      <c r="ED13" s="92" t="s">
        <v>2</v>
      </c>
      <c r="EE13" s="92" t="s">
        <v>2</v>
      </c>
      <c r="EF13" s="94" t="s">
        <v>1</v>
      </c>
      <c r="EG13" s="92" t="s">
        <v>2</v>
      </c>
      <c r="EH13" s="92" t="s">
        <v>2</v>
      </c>
      <c r="EI13" s="92" t="s">
        <v>2</v>
      </c>
      <c r="EJ13" s="92" t="s">
        <v>2</v>
      </c>
      <c r="EK13" s="92" t="s">
        <v>2</v>
      </c>
      <c r="EL13" s="92" t="s">
        <v>1</v>
      </c>
      <c r="EM13" s="92" t="s">
        <v>1</v>
      </c>
      <c r="EN13" s="92" t="s">
        <v>1</v>
      </c>
      <c r="EO13" s="92" t="s">
        <v>2</v>
      </c>
      <c r="EP13" s="92" t="s">
        <v>2</v>
      </c>
      <c r="EQ13" s="92" t="s">
        <v>1</v>
      </c>
      <c r="ER13" s="92" t="s">
        <v>2</v>
      </c>
      <c r="ES13" s="92" t="s">
        <v>2</v>
      </c>
      <c r="ET13" s="92" t="s">
        <v>1</v>
      </c>
      <c r="EU13" s="92" t="s">
        <v>1</v>
      </c>
      <c r="EV13" s="92" t="s">
        <v>1</v>
      </c>
      <c r="EW13" s="92" t="s">
        <v>2</v>
      </c>
      <c r="EX13" s="92" t="s">
        <v>1</v>
      </c>
      <c r="EY13" s="92" t="s">
        <v>1</v>
      </c>
      <c r="EZ13" s="92" t="s">
        <v>2</v>
      </c>
      <c r="FA13" s="92" t="s">
        <v>2</v>
      </c>
      <c r="FB13" s="92" t="s">
        <v>2</v>
      </c>
      <c r="FC13" s="92" t="s">
        <v>1</v>
      </c>
      <c r="FD13" s="94" t="s">
        <v>1</v>
      </c>
      <c r="FE13" s="94" t="s">
        <v>1</v>
      </c>
      <c r="FF13" s="92" t="s">
        <v>2</v>
      </c>
      <c r="FG13" s="92" t="s">
        <v>2</v>
      </c>
      <c r="FH13" s="92" t="s">
        <v>2</v>
      </c>
      <c r="FI13" s="92" t="s">
        <v>2</v>
      </c>
      <c r="FJ13" s="92" t="s">
        <v>2</v>
      </c>
      <c r="FK13" s="92" t="s">
        <v>2</v>
      </c>
      <c r="FL13" s="92" t="s">
        <v>1</v>
      </c>
      <c r="FM13" s="92" t="s">
        <v>1</v>
      </c>
      <c r="FN13" s="92" t="s">
        <v>2</v>
      </c>
      <c r="FO13" s="92" t="s">
        <v>1</v>
      </c>
      <c r="FP13" s="92" t="s">
        <v>1</v>
      </c>
      <c r="FQ13" s="92" t="s">
        <v>1</v>
      </c>
      <c r="FR13" s="104" t="s">
        <v>2</v>
      </c>
      <c r="FS13" s="92" t="s">
        <v>2</v>
      </c>
      <c r="FT13" s="92" t="s">
        <v>2</v>
      </c>
      <c r="FU13" s="92" t="s">
        <v>2</v>
      </c>
      <c r="FV13" s="92" t="s">
        <v>2</v>
      </c>
      <c r="FW13" s="92" t="s">
        <v>1</v>
      </c>
      <c r="FX13" s="92" t="s">
        <v>2</v>
      </c>
      <c r="FY13" s="92" t="s">
        <v>1</v>
      </c>
      <c r="FZ13" s="92" t="s">
        <v>2</v>
      </c>
      <c r="GA13" s="92" t="s">
        <v>1</v>
      </c>
      <c r="GB13" s="92" t="s">
        <v>2</v>
      </c>
      <c r="GC13" s="94" t="s">
        <v>1</v>
      </c>
      <c r="GD13" s="92" t="s">
        <v>2</v>
      </c>
      <c r="GE13" s="92" t="s">
        <v>2</v>
      </c>
      <c r="GF13" s="92" t="s">
        <v>1</v>
      </c>
      <c r="GG13" s="92" t="s">
        <v>1</v>
      </c>
      <c r="GH13" s="92" t="s">
        <v>1</v>
      </c>
      <c r="GI13" s="92" t="s">
        <v>1</v>
      </c>
      <c r="GJ13" s="92" t="s">
        <v>2</v>
      </c>
      <c r="GK13" s="92" t="s">
        <v>2</v>
      </c>
      <c r="GL13" s="92" t="s">
        <v>2</v>
      </c>
      <c r="GM13" s="92" t="s">
        <v>2</v>
      </c>
      <c r="GN13" s="92" t="s">
        <v>2</v>
      </c>
      <c r="GO13" s="92" t="s">
        <v>2</v>
      </c>
      <c r="GP13" s="92" t="s">
        <v>2</v>
      </c>
      <c r="GQ13" s="92" t="s">
        <v>2</v>
      </c>
      <c r="GR13" s="92" t="s">
        <v>2</v>
      </c>
      <c r="GS13" s="92" t="s">
        <v>1</v>
      </c>
      <c r="GT13" s="92" t="s">
        <v>1</v>
      </c>
      <c r="GU13" s="92" t="s">
        <v>1</v>
      </c>
      <c r="GV13" s="92" t="s">
        <v>2</v>
      </c>
      <c r="GW13" s="92" t="s">
        <v>2</v>
      </c>
      <c r="GX13" s="92" t="s">
        <v>2</v>
      </c>
      <c r="GY13" s="92" t="s">
        <v>1</v>
      </c>
      <c r="GZ13" s="92" t="s">
        <v>2</v>
      </c>
      <c r="HA13" s="92" t="s">
        <v>2</v>
      </c>
      <c r="HB13" s="92" t="s">
        <v>2</v>
      </c>
      <c r="HC13" s="92" t="s">
        <v>1</v>
      </c>
      <c r="HD13" s="92" t="s">
        <v>2</v>
      </c>
      <c r="HE13" s="92" t="s">
        <v>2</v>
      </c>
      <c r="HF13" s="92" t="s">
        <v>2</v>
      </c>
      <c r="HG13" s="92" t="s">
        <v>1</v>
      </c>
      <c r="HH13" s="92" t="s">
        <v>1</v>
      </c>
      <c r="HI13" s="92" t="s">
        <v>2</v>
      </c>
      <c r="HJ13" s="92" t="s">
        <v>2</v>
      </c>
      <c r="HK13" s="92" t="s">
        <v>1</v>
      </c>
      <c r="HL13" s="92" t="s">
        <v>1</v>
      </c>
      <c r="HM13" s="92" t="s">
        <v>2</v>
      </c>
      <c r="HN13" s="92" t="s">
        <v>2</v>
      </c>
      <c r="HO13" s="92" t="s">
        <v>2</v>
      </c>
      <c r="HP13" s="92" t="s">
        <v>2</v>
      </c>
      <c r="HQ13" s="92" t="s">
        <v>1</v>
      </c>
      <c r="HR13" s="92" t="s">
        <v>1</v>
      </c>
      <c r="HS13" s="92" t="s">
        <v>1</v>
      </c>
      <c r="HT13" s="92" t="s">
        <v>1</v>
      </c>
      <c r="HU13" s="92" t="s">
        <v>2</v>
      </c>
      <c r="HV13" s="92" t="s">
        <v>1</v>
      </c>
      <c r="HW13" s="92" t="s">
        <v>1</v>
      </c>
      <c r="HX13" s="92" t="s">
        <v>1</v>
      </c>
      <c r="HY13" s="92" t="s">
        <v>1</v>
      </c>
      <c r="HZ13" s="92" t="s">
        <v>2</v>
      </c>
      <c r="IA13" s="92" t="s">
        <v>2</v>
      </c>
      <c r="IB13" s="92" t="s">
        <v>1</v>
      </c>
      <c r="IC13" s="92" t="s">
        <v>2</v>
      </c>
      <c r="ID13" s="92" t="s">
        <v>2</v>
      </c>
      <c r="IE13" s="92" t="s">
        <v>2</v>
      </c>
      <c r="IF13" s="94" t="s">
        <v>1</v>
      </c>
      <c r="IG13" s="92" t="s">
        <v>2</v>
      </c>
      <c r="IH13" s="92" t="s">
        <v>414</v>
      </c>
      <c r="II13" s="92" t="s">
        <v>414</v>
      </c>
      <c r="IJ13" s="92" t="s">
        <v>2</v>
      </c>
      <c r="IK13" s="92" t="s">
        <v>1</v>
      </c>
      <c r="IL13" s="92" t="s">
        <v>2</v>
      </c>
      <c r="IM13" s="92" t="s">
        <v>2</v>
      </c>
      <c r="IN13" s="92" t="s">
        <v>1</v>
      </c>
      <c r="IO13" s="92" t="s">
        <v>2</v>
      </c>
      <c r="IP13" s="92" t="s">
        <v>1</v>
      </c>
      <c r="IQ13" s="92" t="s">
        <v>1</v>
      </c>
      <c r="IR13" s="92" t="s">
        <v>2</v>
      </c>
      <c r="IS13" s="92" t="s">
        <v>1</v>
      </c>
      <c r="IT13" s="92" t="s">
        <v>2</v>
      </c>
      <c r="IU13" s="92" t="s">
        <v>1</v>
      </c>
      <c r="IV13" s="92" t="s">
        <v>2</v>
      </c>
      <c r="IW13" s="92" t="s">
        <v>2</v>
      </c>
      <c r="IX13" s="92" t="s">
        <v>2</v>
      </c>
      <c r="IY13" s="92" t="s">
        <v>1</v>
      </c>
      <c r="IZ13" s="92" t="s">
        <v>2</v>
      </c>
    </row>
    <row r="14" spans="1:16384" ht="20">
      <c r="A14" s="34" t="s">
        <v>374</v>
      </c>
      <c r="B14" s="91">
        <v>174.7</v>
      </c>
      <c r="C14" s="91">
        <v>120.0090615</v>
      </c>
      <c r="D14" s="91">
        <v>330.96535399999999</v>
      </c>
      <c r="E14" s="91">
        <v>134.75656029999999</v>
      </c>
      <c r="F14" s="91">
        <v>400.05070849999998</v>
      </c>
      <c r="G14" s="91">
        <v>271.67181909999999</v>
      </c>
      <c r="H14" s="91">
        <v>397.4258337</v>
      </c>
      <c r="I14" s="91">
        <v>143.85029370000001</v>
      </c>
      <c r="J14" s="91">
        <v>419.28939279999997</v>
      </c>
      <c r="K14" s="91">
        <v>136.5773379</v>
      </c>
      <c r="L14" s="91">
        <v>131.8880954</v>
      </c>
      <c r="M14" s="91">
        <v>164.46241649999999</v>
      </c>
      <c r="N14" s="91">
        <v>185.25043919999999</v>
      </c>
      <c r="O14" s="91">
        <v>352.03806070000002</v>
      </c>
      <c r="P14" s="91">
        <v>268.90457700000002</v>
      </c>
      <c r="Q14" s="91">
        <v>121.9138014</v>
      </c>
      <c r="R14" s="91">
        <v>214.61012679999999</v>
      </c>
      <c r="S14" s="91">
        <v>137.86062960000001</v>
      </c>
      <c r="T14" s="91">
        <v>120.4819767</v>
      </c>
      <c r="U14" s="91">
        <v>161.8013249</v>
      </c>
      <c r="V14" s="91">
        <v>121.1693393</v>
      </c>
      <c r="W14" s="91">
        <v>183.2334716</v>
      </c>
      <c r="X14" s="91">
        <v>333.44888370000001</v>
      </c>
      <c r="Y14" s="91">
        <v>214.83253719999999</v>
      </c>
      <c r="Z14" s="91">
        <v>242.88437450000001</v>
      </c>
      <c r="AA14" s="91">
        <v>141.50254340000001</v>
      </c>
      <c r="AB14" s="91">
        <v>142.6491834</v>
      </c>
      <c r="AC14" s="91">
        <v>134.97852309999999</v>
      </c>
      <c r="AD14" s="91">
        <v>208.60391799999999</v>
      </c>
      <c r="AE14" s="91">
        <v>218.7232314</v>
      </c>
      <c r="AF14" s="91">
        <v>124.91054579999999</v>
      </c>
      <c r="AG14" s="91">
        <v>120.0072736</v>
      </c>
      <c r="AH14" s="91">
        <v>130.83106799999999</v>
      </c>
      <c r="AI14" s="91">
        <v>278.66940190000003</v>
      </c>
      <c r="AJ14" s="91">
        <v>208.30596209999999</v>
      </c>
      <c r="AK14" s="91">
        <v>123.5860248</v>
      </c>
      <c r="AL14" s="91">
        <v>326.82896360000001</v>
      </c>
      <c r="AM14" s="91">
        <v>265.95669479999998</v>
      </c>
      <c r="AN14" s="91">
        <v>264.54244779999999</v>
      </c>
      <c r="AO14" s="91">
        <v>130.3369539</v>
      </c>
      <c r="AP14" s="91">
        <v>356.49044550000002</v>
      </c>
      <c r="AQ14" s="91">
        <v>120.44732980000001</v>
      </c>
      <c r="AR14" s="91">
        <v>145.3378209</v>
      </c>
      <c r="AS14" s="91">
        <v>134.8917567</v>
      </c>
      <c r="AT14" s="91">
        <v>234.30605560000001</v>
      </c>
      <c r="AU14" s="91">
        <v>166.24916870000001</v>
      </c>
      <c r="AV14" s="91">
        <v>189.13023010000001</v>
      </c>
      <c r="AW14" s="91">
        <v>155.47692240000001</v>
      </c>
      <c r="AX14" s="91">
        <v>201.98804530000001</v>
      </c>
      <c r="AY14" s="91">
        <v>201.33120740000001</v>
      </c>
      <c r="AZ14" s="91">
        <v>226.1297395</v>
      </c>
      <c r="BA14" s="91">
        <v>156.60504789999999</v>
      </c>
      <c r="BB14" s="91">
        <v>121.70374990000001</v>
      </c>
      <c r="BC14" s="91">
        <v>244.03172760000001</v>
      </c>
      <c r="BD14" s="91">
        <v>230.96653620000001</v>
      </c>
      <c r="BE14" s="91">
        <v>141.69903299999999</v>
      </c>
      <c r="BF14" s="91">
        <v>333.57733159999998</v>
      </c>
      <c r="BG14" s="91">
        <v>181.0368058</v>
      </c>
      <c r="BH14" s="91">
        <v>394.94251650000001</v>
      </c>
      <c r="BI14" s="91">
        <v>124.5559511</v>
      </c>
      <c r="BJ14" s="91">
        <v>270.26950890000001</v>
      </c>
      <c r="BK14" s="91">
        <v>195.04643340000001</v>
      </c>
      <c r="BL14" s="91">
        <v>187.57907520000001</v>
      </c>
      <c r="BM14" s="91">
        <v>121.5880817</v>
      </c>
      <c r="BN14" s="91">
        <v>291.3538843</v>
      </c>
      <c r="BO14" s="91">
        <v>176.15983460000001</v>
      </c>
      <c r="BP14" s="91">
        <v>122.8785074</v>
      </c>
      <c r="BQ14" s="91">
        <v>124.6613109</v>
      </c>
      <c r="BR14" s="91">
        <v>144.74671789999999</v>
      </c>
      <c r="BS14" s="91">
        <v>134.33529669999999</v>
      </c>
      <c r="BT14" s="91">
        <v>139.347373</v>
      </c>
      <c r="BU14" s="91">
        <v>120.51048179999999</v>
      </c>
      <c r="BV14" s="91">
        <v>130.29923500000001</v>
      </c>
      <c r="BW14" s="91">
        <v>131.19239930000001</v>
      </c>
      <c r="BX14" s="91">
        <v>319.70497360000002</v>
      </c>
      <c r="BY14" s="91">
        <v>124.27220920000001</v>
      </c>
      <c r="BZ14" s="91">
        <v>208.97406659999999</v>
      </c>
      <c r="CA14" s="91">
        <v>249.2229471</v>
      </c>
      <c r="CB14" s="91">
        <v>413.86999409999999</v>
      </c>
      <c r="CC14" s="91">
        <v>179.89107379999999</v>
      </c>
      <c r="CD14" s="91">
        <v>274.0244816</v>
      </c>
      <c r="CE14" s="91">
        <v>291.88867540000001</v>
      </c>
      <c r="CF14" s="91">
        <v>308.21832060000003</v>
      </c>
      <c r="CG14" s="91">
        <v>368.76044769999999</v>
      </c>
      <c r="CH14" s="91">
        <v>225.5231143</v>
      </c>
      <c r="CI14" s="95">
        <v>122</v>
      </c>
      <c r="CJ14" s="95">
        <v>246</v>
      </c>
      <c r="CK14" s="95">
        <v>383</v>
      </c>
      <c r="CL14" s="95">
        <v>217</v>
      </c>
      <c r="CM14" s="95">
        <v>261</v>
      </c>
      <c r="CN14" s="95">
        <v>150</v>
      </c>
      <c r="CO14" s="95">
        <v>123</v>
      </c>
      <c r="CP14" s="95">
        <v>135</v>
      </c>
      <c r="CQ14" s="95">
        <v>175</v>
      </c>
      <c r="CR14" s="95">
        <v>177</v>
      </c>
      <c r="CS14" s="95">
        <v>373</v>
      </c>
      <c r="CT14" s="95">
        <v>122</v>
      </c>
      <c r="CU14" s="95">
        <v>239</v>
      </c>
      <c r="CV14" s="95">
        <v>154</v>
      </c>
      <c r="CW14" s="95">
        <v>138</v>
      </c>
      <c r="CX14" s="95">
        <v>201</v>
      </c>
      <c r="CY14" s="95">
        <v>299</v>
      </c>
      <c r="CZ14" s="95">
        <v>150</v>
      </c>
      <c r="DA14" s="100">
        <v>0</v>
      </c>
      <c r="DB14" s="92">
        <v>350</v>
      </c>
      <c r="DC14" s="92">
        <v>225</v>
      </c>
      <c r="DD14" s="92">
        <v>500</v>
      </c>
      <c r="DE14" s="92">
        <v>430</v>
      </c>
      <c r="DF14" s="92">
        <v>450</v>
      </c>
      <c r="DG14" s="92">
        <v>1000</v>
      </c>
      <c r="DH14" s="92">
        <v>150</v>
      </c>
      <c r="DI14" s="92">
        <v>370</v>
      </c>
      <c r="DJ14" s="92">
        <v>400</v>
      </c>
      <c r="DK14" s="92">
        <v>125</v>
      </c>
      <c r="DL14" s="92">
        <v>250</v>
      </c>
      <c r="DM14" s="92">
        <v>1000</v>
      </c>
      <c r="DN14" s="92">
        <v>100</v>
      </c>
      <c r="DO14" s="92">
        <v>300</v>
      </c>
      <c r="DP14" s="92">
        <v>150</v>
      </c>
      <c r="DQ14" s="92">
        <v>200</v>
      </c>
      <c r="DR14" s="92">
        <v>135</v>
      </c>
      <c r="DS14" s="92">
        <v>190</v>
      </c>
      <c r="DT14" s="92">
        <v>185</v>
      </c>
      <c r="DU14" s="92">
        <v>225</v>
      </c>
      <c r="DV14" s="92">
        <v>190</v>
      </c>
      <c r="DW14" s="92">
        <v>450</v>
      </c>
      <c r="DX14" s="92">
        <v>500</v>
      </c>
      <c r="DY14" s="92">
        <v>750</v>
      </c>
      <c r="DZ14" s="92">
        <v>345</v>
      </c>
      <c r="EA14" s="92">
        <v>500</v>
      </c>
      <c r="EB14" s="92">
        <v>1000</v>
      </c>
      <c r="EC14" s="92">
        <v>400</v>
      </c>
      <c r="ED14" s="92">
        <v>180</v>
      </c>
      <c r="EE14" s="92">
        <v>160</v>
      </c>
      <c r="EF14" s="92">
        <v>235</v>
      </c>
      <c r="EG14" s="92">
        <v>350</v>
      </c>
      <c r="EH14" s="92">
        <v>125</v>
      </c>
      <c r="EI14" s="92">
        <v>230</v>
      </c>
      <c r="EJ14" s="92">
        <v>300</v>
      </c>
      <c r="EK14" s="92">
        <v>195</v>
      </c>
      <c r="EL14" s="92">
        <v>500</v>
      </c>
      <c r="EM14" s="92">
        <v>300</v>
      </c>
      <c r="EN14" s="92">
        <v>600</v>
      </c>
      <c r="EO14" s="92">
        <v>600</v>
      </c>
      <c r="EP14" s="92">
        <v>400</v>
      </c>
      <c r="EQ14" s="92">
        <v>390</v>
      </c>
      <c r="ER14" s="92">
        <v>250</v>
      </c>
      <c r="ES14" s="92">
        <v>180</v>
      </c>
      <c r="ET14" s="92">
        <v>175</v>
      </c>
      <c r="EU14" s="92">
        <v>345</v>
      </c>
      <c r="EV14" s="92">
        <v>480</v>
      </c>
      <c r="EW14" s="92">
        <v>148.35</v>
      </c>
      <c r="EX14" s="92">
        <v>265</v>
      </c>
      <c r="EY14" s="92">
        <v>226.2</v>
      </c>
      <c r="EZ14" s="92">
        <v>210</v>
      </c>
      <c r="FA14" s="92">
        <v>240</v>
      </c>
      <c r="FB14" s="92">
        <v>100</v>
      </c>
      <c r="FC14" s="92">
        <v>550</v>
      </c>
      <c r="FD14" s="92">
        <v>260</v>
      </c>
      <c r="FE14" s="92">
        <v>120</v>
      </c>
      <c r="FF14" s="92">
        <v>95</v>
      </c>
      <c r="FG14" s="92">
        <v>245</v>
      </c>
      <c r="FH14" s="92">
        <v>145</v>
      </c>
      <c r="FI14" s="92">
        <v>180</v>
      </c>
      <c r="FJ14" s="92">
        <v>240</v>
      </c>
      <c r="FK14" s="92">
        <v>156</v>
      </c>
      <c r="FL14" s="92">
        <v>140</v>
      </c>
      <c r="FM14" s="92">
        <v>290</v>
      </c>
      <c r="FN14" s="92">
        <v>350</v>
      </c>
      <c r="FO14" s="92">
        <v>226.2</v>
      </c>
      <c r="FP14" s="92">
        <v>312</v>
      </c>
      <c r="FQ14" s="92">
        <v>430</v>
      </c>
      <c r="FR14" s="104">
        <v>190</v>
      </c>
      <c r="FS14" s="92">
        <v>145</v>
      </c>
      <c r="FT14" s="92">
        <v>160</v>
      </c>
      <c r="FU14" s="92">
        <v>175</v>
      </c>
      <c r="FV14" s="92">
        <v>215</v>
      </c>
      <c r="FW14" s="92">
        <v>350</v>
      </c>
      <c r="FX14" s="92">
        <v>180</v>
      </c>
      <c r="FY14" s="92">
        <v>420</v>
      </c>
      <c r="FZ14" s="92">
        <v>135</v>
      </c>
      <c r="GA14" s="92">
        <v>270</v>
      </c>
      <c r="GB14" s="92">
        <v>235</v>
      </c>
      <c r="GC14" s="92">
        <v>350</v>
      </c>
      <c r="GD14" s="92">
        <v>200</v>
      </c>
      <c r="GE14" s="92">
        <v>190</v>
      </c>
      <c r="GF14" s="92">
        <v>350</v>
      </c>
      <c r="GG14" s="92">
        <v>245</v>
      </c>
      <c r="GH14" s="92">
        <v>267.5</v>
      </c>
      <c r="GI14" s="92">
        <v>700</v>
      </c>
      <c r="GJ14" s="92">
        <v>290</v>
      </c>
      <c r="GK14" s="92">
        <v>156.35</v>
      </c>
      <c r="GL14" s="92">
        <v>250</v>
      </c>
      <c r="GM14" s="92">
        <v>190</v>
      </c>
      <c r="GN14" s="92">
        <v>226.2</v>
      </c>
      <c r="GO14" s="92">
        <v>370</v>
      </c>
      <c r="GP14" s="92">
        <v>235.75</v>
      </c>
      <c r="GQ14" s="92">
        <v>330.7</v>
      </c>
      <c r="GR14" s="92">
        <v>160</v>
      </c>
      <c r="GS14" s="92">
        <v>412.8</v>
      </c>
      <c r="GT14" s="92">
        <v>523</v>
      </c>
      <c r="GU14" s="92">
        <v>650</v>
      </c>
      <c r="GV14" s="92">
        <v>212</v>
      </c>
      <c r="GW14" s="92">
        <v>345</v>
      </c>
      <c r="GX14" s="92">
        <v>545</v>
      </c>
      <c r="GY14" s="92">
        <v>267</v>
      </c>
      <c r="GZ14" s="92">
        <v>159</v>
      </c>
      <c r="HA14" s="92">
        <v>235</v>
      </c>
      <c r="HB14" s="92">
        <v>145</v>
      </c>
      <c r="HC14" s="92">
        <v>200</v>
      </c>
      <c r="HD14" s="92">
        <v>220</v>
      </c>
      <c r="HE14" s="92">
        <v>226.2</v>
      </c>
      <c r="HF14" s="92">
        <v>140</v>
      </c>
      <c r="HG14" s="92">
        <v>340</v>
      </c>
      <c r="HH14" s="92">
        <v>0</v>
      </c>
      <c r="HI14" s="92">
        <v>290</v>
      </c>
      <c r="HJ14" s="92">
        <v>190</v>
      </c>
      <c r="HK14" s="92">
        <v>850</v>
      </c>
      <c r="HL14" s="92">
        <v>950</v>
      </c>
      <c r="HM14" s="92">
        <v>625.75</v>
      </c>
      <c r="HN14" s="96">
        <v>1400</v>
      </c>
      <c r="HO14" s="92">
        <v>425</v>
      </c>
      <c r="HP14" s="92">
        <v>380</v>
      </c>
      <c r="HQ14" s="92">
        <v>725.8</v>
      </c>
      <c r="HR14" s="92">
        <v>390</v>
      </c>
      <c r="HS14" s="92">
        <v>312.45</v>
      </c>
      <c r="HT14" s="92">
        <v>485</v>
      </c>
      <c r="HU14" s="92">
        <v>532</v>
      </c>
      <c r="HV14" s="92">
        <v>213</v>
      </c>
      <c r="HW14" s="92">
        <v>534</v>
      </c>
      <c r="HX14" s="92">
        <v>267.35000000000002</v>
      </c>
      <c r="HY14" s="92">
        <v>289</v>
      </c>
      <c r="HZ14" s="92">
        <v>445</v>
      </c>
      <c r="IA14" s="92">
        <v>356</v>
      </c>
      <c r="IB14" s="92">
        <v>612</v>
      </c>
      <c r="IC14" s="92">
        <v>160</v>
      </c>
      <c r="ID14" s="92">
        <v>520</v>
      </c>
      <c r="IE14" s="92">
        <v>330</v>
      </c>
      <c r="IF14" s="92">
        <v>225</v>
      </c>
      <c r="IG14" s="92">
        <v>165</v>
      </c>
      <c r="IH14" s="92">
        <v>220</v>
      </c>
      <c r="II14" s="92">
        <v>112.13</v>
      </c>
      <c r="IJ14" s="92">
        <v>508</v>
      </c>
      <c r="IK14" s="92">
        <v>435</v>
      </c>
      <c r="IL14" s="92">
        <v>122.4</v>
      </c>
      <c r="IM14" s="92">
        <v>198</v>
      </c>
      <c r="IN14" s="92">
        <v>346</v>
      </c>
      <c r="IO14" s="92">
        <v>168.45</v>
      </c>
      <c r="IP14" s="92">
        <v>278</v>
      </c>
      <c r="IQ14" s="92">
        <v>419.55</v>
      </c>
      <c r="IR14" s="92">
        <v>265</v>
      </c>
      <c r="IS14" s="92">
        <v>615</v>
      </c>
      <c r="IT14" s="92">
        <v>136</v>
      </c>
      <c r="IU14" s="92">
        <v>322.67</v>
      </c>
      <c r="IV14" s="92">
        <v>215.86</v>
      </c>
      <c r="IW14" s="92">
        <v>325</v>
      </c>
      <c r="IX14" s="92">
        <v>245.3</v>
      </c>
      <c r="IY14" s="92">
        <v>370</v>
      </c>
      <c r="IZ14" s="92">
        <v>157.65</v>
      </c>
    </row>
    <row r="16" spans="1:16384" ht="20">
      <c r="A16" s="29" t="s">
        <v>380</v>
      </c>
    </row>
    <row r="17" spans="1:16384" ht="20">
      <c r="A17" s="22" t="s">
        <v>381</v>
      </c>
      <c r="B17">
        <v>275.07163323782237</v>
      </c>
      <c r="C17">
        <v>302.82637954239573</v>
      </c>
      <c r="D17">
        <v>373.42461490586589</v>
      </c>
      <c r="E17">
        <v>273.18257702230989</v>
      </c>
      <c r="F17">
        <v>183.34606569900686</v>
      </c>
      <c r="G17">
        <v>275.07163323782237</v>
      </c>
      <c r="H17">
        <v>130.04605797886751</v>
      </c>
      <c r="I17">
        <v>203.06286487858529</v>
      </c>
      <c r="J17">
        <v>234.15395622621872</v>
      </c>
      <c r="K17">
        <v>306.42209643784309</v>
      </c>
      <c r="L17">
        <v>337.23653395784544</v>
      </c>
      <c r="M17">
        <v>180.49636500376036</v>
      </c>
      <c r="N17">
        <v>243.81984422621068</v>
      </c>
      <c r="O17">
        <v>324.39738679882856</v>
      </c>
      <c r="P17">
        <v>185.58614290133002</v>
      </c>
      <c r="Q17">
        <v>217.18146718146718</v>
      </c>
      <c r="R17">
        <v>363.17780580075663</v>
      </c>
      <c r="S17">
        <v>340.3128988041783</v>
      </c>
      <c r="T17">
        <v>273.18257702230989</v>
      </c>
      <c r="U17">
        <v>277.46733978187984</v>
      </c>
      <c r="V17">
        <v>109.48572123718866</v>
      </c>
      <c r="W17">
        <v>218.83833318136229</v>
      </c>
      <c r="X17">
        <v>245.99405514366731</v>
      </c>
      <c r="Y17">
        <v>271.90332326283988</v>
      </c>
      <c r="Z17">
        <v>154.72225206833565</v>
      </c>
      <c r="AA17">
        <v>282.06534513829035</v>
      </c>
      <c r="AB17">
        <v>357.51526888127518</v>
      </c>
      <c r="AC17">
        <v>373.42461490586589</v>
      </c>
      <c r="AD17">
        <v>168.38166510757716</v>
      </c>
      <c r="AE17">
        <v>357.51526888127518</v>
      </c>
      <c r="AF17">
        <v>345.85454894802575</v>
      </c>
      <c r="AG17">
        <v>306.82689849143441</v>
      </c>
      <c r="AH17">
        <v>330.47229999541008</v>
      </c>
      <c r="AI17">
        <v>148.63748967795212</v>
      </c>
      <c r="AJ17">
        <v>167.24738675958187</v>
      </c>
      <c r="AK17">
        <v>222.27024357114195</v>
      </c>
      <c r="AL17">
        <v>309.97072498708457</v>
      </c>
      <c r="AM17">
        <v>157.45965096444036</v>
      </c>
      <c r="AN17">
        <v>167.79305523188066</v>
      </c>
      <c r="AO17">
        <v>152.09446756374237</v>
      </c>
      <c r="AP17">
        <v>112.16350947158526</v>
      </c>
      <c r="AQ17">
        <v>179.19362867098062</v>
      </c>
      <c r="AR17">
        <v>167.24738675958187</v>
      </c>
      <c r="AS17">
        <v>228.73117733019888</v>
      </c>
      <c r="AT17">
        <v>217.18146718146718</v>
      </c>
      <c r="AU17">
        <v>321.22780405103953</v>
      </c>
      <c r="AV17">
        <v>256.8401526772019</v>
      </c>
      <c r="AW17">
        <v>283.40877779964575</v>
      </c>
      <c r="AX17" t="e">
        <v>#N/A</v>
      </c>
      <c r="AY17">
        <v>194.03869994071042</v>
      </c>
      <c r="AZ17">
        <v>256.8401526772019</v>
      </c>
      <c r="BA17">
        <v>345.1085654028663</v>
      </c>
      <c r="BB17">
        <v>280.5267669290111</v>
      </c>
      <c r="BC17">
        <v>206.38060022357899</v>
      </c>
      <c r="BD17">
        <v>209.63750181976997</v>
      </c>
      <c r="BE17">
        <v>333.67318565205306</v>
      </c>
      <c r="BF17">
        <v>315.07089095046388</v>
      </c>
      <c r="BG17">
        <v>216.83481403403104</v>
      </c>
      <c r="BH17">
        <v>270.59530968129889</v>
      </c>
      <c r="BI17">
        <v>106.47579893819966</v>
      </c>
      <c r="BJ17">
        <v>130.04605797886751</v>
      </c>
      <c r="BK17">
        <v>201.42677297524128</v>
      </c>
      <c r="BL17">
        <v>201.42677297524128</v>
      </c>
      <c r="BM17">
        <v>184.04907975460119</v>
      </c>
      <c r="BN17">
        <v>279.45971122496508</v>
      </c>
      <c r="BO17">
        <v>270.97211245342669</v>
      </c>
      <c r="BP17">
        <v>188.97141807301645</v>
      </c>
      <c r="BQ17">
        <v>270.59530968129889</v>
      </c>
      <c r="BR17">
        <v>192.32310281272538</v>
      </c>
      <c r="BS17">
        <v>188.40276324052755</v>
      </c>
      <c r="BT17">
        <v>179.2471619199363</v>
      </c>
      <c r="BU17">
        <v>224.03385400460513</v>
      </c>
      <c r="BV17">
        <v>282.06534513829035</v>
      </c>
      <c r="BW17">
        <v>340.3128988041783</v>
      </c>
      <c r="BX17">
        <v>228.73117733019888</v>
      </c>
      <c r="BY17" t="e">
        <v>#N/A</v>
      </c>
      <c r="BZ17">
        <v>239.44926668662072</v>
      </c>
      <c r="CA17">
        <v>208.21283979178719</v>
      </c>
      <c r="CB17">
        <v>283.40877779964575</v>
      </c>
      <c r="CC17" t="e">
        <v>#N/A</v>
      </c>
      <c r="CD17" t="e">
        <v>#N/A</v>
      </c>
      <c r="CE17">
        <v>363.17780580075663</v>
      </c>
      <c r="CF17">
        <v>109.48572123718866</v>
      </c>
      <c r="CG17">
        <v>168.38166510757716</v>
      </c>
      <c r="CH17">
        <v>189.83336848766083</v>
      </c>
      <c r="CI17">
        <v>575.07987220447285</v>
      </c>
      <c r="CJ17">
        <v>287.4595759971254</v>
      </c>
      <c r="CK17">
        <v>256.8401526772019</v>
      </c>
      <c r="CL17">
        <v>174.28771997772989</v>
      </c>
      <c r="CM17">
        <v>323.81380706093995</v>
      </c>
      <c r="CN17">
        <v>257.71350848306963</v>
      </c>
      <c r="CO17">
        <v>353.30487266303544</v>
      </c>
      <c r="CP17">
        <v>152.53267800775376</v>
      </c>
      <c r="CQ17">
        <v>208.84699057287889</v>
      </c>
      <c r="CR17">
        <v>106.47579893819966</v>
      </c>
      <c r="CS17">
        <v>121.8026796589525</v>
      </c>
      <c r="CT17">
        <v>244.72315692872436</v>
      </c>
      <c r="CU17">
        <v>222.83432886633034</v>
      </c>
      <c r="CV17">
        <v>85.811334247065133</v>
      </c>
      <c r="CW17">
        <v>180.49636500376036</v>
      </c>
      <c r="CX17">
        <v>158.17570684768995</v>
      </c>
      <c r="CY17">
        <v>252.48097625977491</v>
      </c>
      <c r="CZ17">
        <v>256.8401526772019</v>
      </c>
      <c r="DA17" s="97">
        <v>130.04605797886751</v>
      </c>
      <c r="DB17">
        <v>257.71350848306963</v>
      </c>
      <c r="DC17">
        <v>227.92022792022794</v>
      </c>
      <c r="DD17">
        <v>223.81100404103199</v>
      </c>
      <c r="DE17">
        <v>273.18257702230989</v>
      </c>
      <c r="DF17">
        <v>349.90523399912524</v>
      </c>
      <c r="DG17">
        <v>277.91716524491449</v>
      </c>
      <c r="DH17">
        <v>256.8401526772019</v>
      </c>
      <c r="DI17">
        <v>261.50437656630226</v>
      </c>
      <c r="DJ17">
        <v>281.18409747715378</v>
      </c>
      <c r="DK17">
        <v>228.41190279804579</v>
      </c>
      <c r="DL17">
        <v>228.41190279804579</v>
      </c>
      <c r="DM17">
        <v>332.13396069748137</v>
      </c>
      <c r="DN17">
        <v>234.26061493411419</v>
      </c>
      <c r="DO17">
        <v>237.0760619031939</v>
      </c>
      <c r="DP17">
        <v>217.18146718146718</v>
      </c>
      <c r="DQ17">
        <v>302.82637954239573</v>
      </c>
      <c r="DR17">
        <v>245.99405514366731</v>
      </c>
      <c r="DS17">
        <v>328.61706983112731</v>
      </c>
      <c r="DT17" t="e">
        <v>#N/A</v>
      </c>
      <c r="DU17">
        <v>575.07987220447285</v>
      </c>
      <c r="DV17">
        <v>233.44789572660662</v>
      </c>
      <c r="DW17">
        <v>194.03869994071042</v>
      </c>
      <c r="DX17">
        <v>192.32310281272538</v>
      </c>
      <c r="DY17">
        <v>204.85389933707</v>
      </c>
      <c r="DZ17">
        <v>191.16905185460533</v>
      </c>
      <c r="EA17">
        <v>148.63748967795212</v>
      </c>
      <c r="EB17">
        <v>240.120060030015</v>
      </c>
      <c r="EC17">
        <v>109.48572123718866</v>
      </c>
      <c r="ED17">
        <v>167.89478593414793</v>
      </c>
      <c r="EE17">
        <v>167.79305523188066</v>
      </c>
      <c r="EF17">
        <v>154.72225206833565</v>
      </c>
      <c r="EG17">
        <v>168.38166510757716</v>
      </c>
      <c r="EH17">
        <v>203.06286487858529</v>
      </c>
      <c r="EI17">
        <v>167.24738675958187</v>
      </c>
      <c r="EJ17">
        <v>188.40276324052755</v>
      </c>
      <c r="EK17">
        <v>218.83833318136229</v>
      </c>
      <c r="EL17">
        <v>183.54236769654329</v>
      </c>
      <c r="EM17">
        <v>162.87381803375109</v>
      </c>
      <c r="EN17">
        <v>183.34606569900686</v>
      </c>
      <c r="EO17">
        <v>85.811334247065133</v>
      </c>
      <c r="EP17">
        <v>106.47579893819966</v>
      </c>
      <c r="EQ17">
        <v>363.17780580075663</v>
      </c>
      <c r="ER17">
        <v>191.51482909961427</v>
      </c>
      <c r="ES17">
        <v>240.51309460181719</v>
      </c>
      <c r="ET17">
        <v>230.06134969325151</v>
      </c>
      <c r="EU17">
        <v>189.83336848766083</v>
      </c>
      <c r="EV17">
        <v>234.47422411827918</v>
      </c>
      <c r="EW17">
        <v>309.97072498708457</v>
      </c>
      <c r="EX17">
        <v>575.07987220447285</v>
      </c>
      <c r="EY17">
        <v>222.83432886633034</v>
      </c>
      <c r="EZ17">
        <v>189.83336848766083</v>
      </c>
      <c r="FA17">
        <v>331.1562873700671</v>
      </c>
      <c r="FB17">
        <v>174.28771997772989</v>
      </c>
      <c r="FC17">
        <v>114.29297098228459</v>
      </c>
      <c r="FD17">
        <v>228.73117733019888</v>
      </c>
      <c r="FE17">
        <v>222.27024357114195</v>
      </c>
      <c r="FF17">
        <v>279.45971122496508</v>
      </c>
      <c r="FG17">
        <v>121.8026796589525</v>
      </c>
      <c r="FH17">
        <v>172.23232226581189</v>
      </c>
      <c r="FI17">
        <v>112.16350947158526</v>
      </c>
      <c r="FJ17">
        <v>330.47229999541008</v>
      </c>
      <c r="FK17">
        <v>239.44926668662072</v>
      </c>
      <c r="FL17">
        <v>209.63750181976997</v>
      </c>
      <c r="FM17">
        <v>345.85454894802575</v>
      </c>
      <c r="FN17">
        <v>188.97141807301645</v>
      </c>
      <c r="FO17">
        <v>208.84699057287889</v>
      </c>
      <c r="FP17" t="e">
        <v>#N/A</v>
      </c>
      <c r="FQ17">
        <v>323.46466597780676</v>
      </c>
      <c r="FR17" s="1">
        <v>252.48097625977491</v>
      </c>
      <c r="FS17">
        <v>321.22780405103953</v>
      </c>
      <c r="FT17">
        <v>223.36663150710427</v>
      </c>
      <c r="FU17">
        <v>425.70803523916516</v>
      </c>
      <c r="FV17">
        <v>277.46733978187984</v>
      </c>
      <c r="FW17">
        <v>202.61143628995947</v>
      </c>
      <c r="FX17">
        <v>202.61143628995947</v>
      </c>
      <c r="FY17">
        <v>224.3549794341269</v>
      </c>
      <c r="FZ17">
        <v>261.28610828857597</v>
      </c>
      <c r="GA17">
        <v>306.82689849143441</v>
      </c>
      <c r="GB17">
        <v>285.38586547227396</v>
      </c>
      <c r="GC17">
        <v>192.22041273994176</v>
      </c>
      <c r="GD17">
        <v>283.40877779964575</v>
      </c>
      <c r="GE17">
        <v>270.13844595355124</v>
      </c>
      <c r="GF17">
        <v>279.0265075182142</v>
      </c>
      <c r="GG17" t="e">
        <v>#N/A</v>
      </c>
      <c r="GH17">
        <v>280.5267669290111</v>
      </c>
      <c r="GI17">
        <v>287.4595759971254</v>
      </c>
      <c r="GJ17">
        <v>323.81380706093995</v>
      </c>
      <c r="GK17">
        <v>295.67574226931134</v>
      </c>
      <c r="GL17" t="e">
        <v>#N/A</v>
      </c>
      <c r="GM17">
        <v>209.85135529000291</v>
      </c>
      <c r="GN17">
        <v>234.15395622621872</v>
      </c>
      <c r="GO17">
        <v>210.59405071806722</v>
      </c>
      <c r="GP17">
        <v>201.42677297524128</v>
      </c>
      <c r="GQ17">
        <v>373.42461490586589</v>
      </c>
      <c r="GR17">
        <v>216.83481403403104</v>
      </c>
      <c r="GS17">
        <v>125.1890876845235</v>
      </c>
      <c r="GT17">
        <v>270.97211245342669</v>
      </c>
      <c r="GU17">
        <v>179.19362867098062</v>
      </c>
      <c r="GV17">
        <v>134.22568557633156</v>
      </c>
      <c r="GW17">
        <v>306.42209643784309</v>
      </c>
      <c r="GX17">
        <v>99.341860176331807</v>
      </c>
      <c r="GY17">
        <v>203.83319650086344</v>
      </c>
      <c r="GZ17">
        <v>454.63155900738775</v>
      </c>
      <c r="HA17">
        <v>280.37383177570092</v>
      </c>
      <c r="HB17" t="e">
        <v>#N/A</v>
      </c>
      <c r="HC17">
        <v>224.03385400460513</v>
      </c>
      <c r="HD17">
        <v>397.50455473968975</v>
      </c>
      <c r="HE17">
        <v>351.97497066875246</v>
      </c>
      <c r="HF17">
        <v>270.27027027027032</v>
      </c>
      <c r="HG17">
        <v>154.41034549314804</v>
      </c>
      <c r="HH17">
        <v>169.85138004246286</v>
      </c>
      <c r="HI17">
        <v>345.1085654028663</v>
      </c>
      <c r="HJ17" t="e">
        <v>#N/A</v>
      </c>
      <c r="HK17">
        <v>271.90332326283988</v>
      </c>
      <c r="HL17">
        <v>137.94689044717782</v>
      </c>
      <c r="HM17">
        <v>152.53267800775376</v>
      </c>
      <c r="HN17">
        <v>243.81984422621068</v>
      </c>
      <c r="HO17">
        <v>233.88773388773387</v>
      </c>
      <c r="HP17">
        <v>158.17570684768995</v>
      </c>
      <c r="HQ17">
        <v>157.45965096444036</v>
      </c>
      <c r="HR17">
        <v>152.09446756374237</v>
      </c>
      <c r="HS17">
        <v>206.38060022357899</v>
      </c>
      <c r="HT17">
        <v>185.58614290133002</v>
      </c>
      <c r="HU17">
        <v>130.04605797886751</v>
      </c>
      <c r="HV17">
        <v>179.2471619199363</v>
      </c>
      <c r="HW17">
        <v>184.04907975460119</v>
      </c>
      <c r="HX17">
        <v>279.94867607605272</v>
      </c>
      <c r="HY17">
        <v>220.9470034062663</v>
      </c>
      <c r="HZ17">
        <v>244.72315692872436</v>
      </c>
      <c r="IA17">
        <v>270.59530968129889</v>
      </c>
      <c r="IB17">
        <v>185.8544140423335</v>
      </c>
      <c r="IC17">
        <v>275.07163323782237</v>
      </c>
      <c r="ID17">
        <v>185.80645161290323</v>
      </c>
      <c r="IE17">
        <v>264.61832481899376</v>
      </c>
      <c r="IF17">
        <v>264.61832481899376</v>
      </c>
      <c r="IG17">
        <v>308.23237296117134</v>
      </c>
      <c r="IH17">
        <v>219.40516821062897</v>
      </c>
      <c r="II17">
        <v>311.47257310953449</v>
      </c>
      <c r="IJ17">
        <v>180.49636500376036</v>
      </c>
      <c r="IK17">
        <v>199.81683456831234</v>
      </c>
      <c r="IL17">
        <v>357.08971879184645</v>
      </c>
      <c r="IM17">
        <v>324.39738679882856</v>
      </c>
      <c r="IN17">
        <v>282.06534513829035</v>
      </c>
      <c r="IO17">
        <v>208.21283979178719</v>
      </c>
      <c r="IP17">
        <v>265.60424966799468</v>
      </c>
      <c r="IQ17">
        <v>337.23653395784544</v>
      </c>
      <c r="IR17" t="e">
        <v>#N/A</v>
      </c>
      <c r="IS17">
        <v>315.07089095046388</v>
      </c>
      <c r="IT17">
        <v>340.3128988041783</v>
      </c>
      <c r="IU17">
        <v>357.51526888127518</v>
      </c>
      <c r="IV17">
        <v>353.30487266303544</v>
      </c>
      <c r="IW17">
        <v>347.47357753004201</v>
      </c>
      <c r="IX17">
        <v>333.67318565205306</v>
      </c>
      <c r="IY17">
        <v>329.68542515682952</v>
      </c>
      <c r="IZ17">
        <v>293.61389772449223</v>
      </c>
    </row>
    <row r="18" spans="1:16384" ht="20">
      <c r="A18" s="22"/>
    </row>
    <row r="19" spans="1:16384" ht="20">
      <c r="A19" s="22"/>
      <c r="B19" t="s">
        <v>382</v>
      </c>
      <c r="C19" t="s">
        <v>382</v>
      </c>
      <c r="D19" t="s">
        <v>382</v>
      </c>
      <c r="E19" t="s">
        <v>382</v>
      </c>
      <c r="F19" t="s">
        <v>382</v>
      </c>
      <c r="G19" t="s">
        <v>382</v>
      </c>
      <c r="H19" t="s">
        <v>382</v>
      </c>
      <c r="I19" t="s">
        <v>382</v>
      </c>
      <c r="J19" t="s">
        <v>382</v>
      </c>
      <c r="K19" t="s">
        <v>382</v>
      </c>
      <c r="L19" t="s">
        <v>382</v>
      </c>
      <c r="M19" t="s">
        <v>382</v>
      </c>
      <c r="N19" t="s">
        <v>382</v>
      </c>
      <c r="O19" t="s">
        <v>382</v>
      </c>
      <c r="P19" t="s">
        <v>382</v>
      </c>
      <c r="Q19" t="s">
        <v>382</v>
      </c>
      <c r="R19" t="s">
        <v>382</v>
      </c>
      <c r="S19" t="s">
        <v>382</v>
      </c>
      <c r="T19" t="s">
        <v>382</v>
      </c>
      <c r="U19" t="s">
        <v>382</v>
      </c>
      <c r="V19" t="s">
        <v>382</v>
      </c>
      <c r="W19" t="s">
        <v>382</v>
      </c>
      <c r="X19" t="s">
        <v>382</v>
      </c>
      <c r="Y19" t="s">
        <v>382</v>
      </c>
      <c r="Z19" t="s">
        <v>382</v>
      </c>
      <c r="AA19" t="s">
        <v>382</v>
      </c>
      <c r="AB19" t="s">
        <v>382</v>
      </c>
      <c r="AC19" t="s">
        <v>382</v>
      </c>
      <c r="AD19" t="s">
        <v>382</v>
      </c>
      <c r="AE19" t="s">
        <v>382</v>
      </c>
      <c r="AF19" t="s">
        <v>382</v>
      </c>
      <c r="AG19" t="s">
        <v>382</v>
      </c>
      <c r="AH19" t="s">
        <v>382</v>
      </c>
      <c r="AI19" t="s">
        <v>382</v>
      </c>
      <c r="AJ19" t="s">
        <v>382</v>
      </c>
      <c r="AK19" t="s">
        <v>382</v>
      </c>
      <c r="AL19" t="s">
        <v>382</v>
      </c>
      <c r="AM19" t="s">
        <v>382</v>
      </c>
      <c r="AN19" t="s">
        <v>382</v>
      </c>
      <c r="AO19" t="s">
        <v>382</v>
      </c>
      <c r="AP19" t="s">
        <v>382</v>
      </c>
      <c r="AQ19" t="s">
        <v>382</v>
      </c>
      <c r="AR19" t="s">
        <v>382</v>
      </c>
      <c r="AS19" t="s">
        <v>382</v>
      </c>
      <c r="AT19" t="s">
        <v>382</v>
      </c>
      <c r="AU19" t="s">
        <v>382</v>
      </c>
      <c r="AV19" t="s">
        <v>382</v>
      </c>
      <c r="AW19" t="s">
        <v>382</v>
      </c>
      <c r="AX19" t="s">
        <v>382</v>
      </c>
      <c r="AY19" t="s">
        <v>382</v>
      </c>
      <c r="AZ19" t="s">
        <v>382</v>
      </c>
      <c r="BA19" t="s">
        <v>382</v>
      </c>
      <c r="BB19" t="s">
        <v>382</v>
      </c>
      <c r="BC19" t="s">
        <v>382</v>
      </c>
      <c r="BD19" t="s">
        <v>382</v>
      </c>
      <c r="BE19" t="s">
        <v>382</v>
      </c>
      <c r="BF19" t="s">
        <v>382</v>
      </c>
      <c r="BG19" t="s">
        <v>382</v>
      </c>
      <c r="BH19" t="s">
        <v>382</v>
      </c>
      <c r="BI19" t="s">
        <v>382</v>
      </c>
      <c r="BJ19" t="s">
        <v>382</v>
      </c>
      <c r="BK19" t="s">
        <v>382</v>
      </c>
      <c r="BL19" t="s">
        <v>382</v>
      </c>
      <c r="BM19" t="s">
        <v>382</v>
      </c>
      <c r="BN19" t="s">
        <v>382</v>
      </c>
      <c r="BO19" t="s">
        <v>382</v>
      </c>
      <c r="BP19" t="s">
        <v>382</v>
      </c>
      <c r="BQ19" t="s">
        <v>382</v>
      </c>
      <c r="BR19" t="s">
        <v>382</v>
      </c>
      <c r="BS19" t="s">
        <v>382</v>
      </c>
      <c r="BT19" t="s">
        <v>382</v>
      </c>
      <c r="BU19" t="s">
        <v>382</v>
      </c>
      <c r="BV19" t="s">
        <v>382</v>
      </c>
      <c r="BW19" t="s">
        <v>382</v>
      </c>
      <c r="BX19" t="s">
        <v>382</v>
      </c>
      <c r="BY19" t="s">
        <v>382</v>
      </c>
      <c r="BZ19" t="s">
        <v>382</v>
      </c>
      <c r="CA19" t="s">
        <v>382</v>
      </c>
      <c r="CB19" t="s">
        <v>382</v>
      </c>
      <c r="CC19" t="s">
        <v>382</v>
      </c>
      <c r="CD19" t="s">
        <v>382</v>
      </c>
      <c r="CE19" t="s">
        <v>382</v>
      </c>
      <c r="CF19" t="s">
        <v>382</v>
      </c>
      <c r="CG19" t="s">
        <v>382</v>
      </c>
      <c r="CH19" t="s">
        <v>382</v>
      </c>
      <c r="CI19" t="s">
        <v>382</v>
      </c>
      <c r="CJ19" t="s">
        <v>382</v>
      </c>
      <c r="CK19" t="s">
        <v>382</v>
      </c>
      <c r="CL19" t="s">
        <v>382</v>
      </c>
      <c r="CM19" t="s">
        <v>382</v>
      </c>
      <c r="CN19" t="s">
        <v>382</v>
      </c>
      <c r="CO19" t="s">
        <v>382</v>
      </c>
      <c r="CP19" t="s">
        <v>382</v>
      </c>
      <c r="CQ19" t="s">
        <v>382</v>
      </c>
      <c r="CR19" t="s">
        <v>382</v>
      </c>
      <c r="CS19" t="s">
        <v>382</v>
      </c>
      <c r="CT19" t="s">
        <v>382</v>
      </c>
      <c r="CU19" t="s">
        <v>382</v>
      </c>
      <c r="CV19" t="s">
        <v>382</v>
      </c>
      <c r="CW19" t="s">
        <v>382</v>
      </c>
      <c r="CX19" t="s">
        <v>382</v>
      </c>
      <c r="CY19" t="s">
        <v>382</v>
      </c>
      <c r="CZ19" t="s">
        <v>382</v>
      </c>
      <c r="DA19" s="97" t="s">
        <v>382</v>
      </c>
      <c r="DB19" t="s">
        <v>382</v>
      </c>
      <c r="DC19" t="s">
        <v>382</v>
      </c>
      <c r="DD19" t="s">
        <v>382</v>
      </c>
      <c r="DE19" t="s">
        <v>382</v>
      </c>
      <c r="DF19" t="s">
        <v>382</v>
      </c>
      <c r="DG19" t="s">
        <v>382</v>
      </c>
      <c r="DH19" t="s">
        <v>382</v>
      </c>
      <c r="DI19" t="s">
        <v>382</v>
      </c>
      <c r="DJ19" t="s">
        <v>382</v>
      </c>
      <c r="DK19" t="s">
        <v>382</v>
      </c>
      <c r="DL19" t="s">
        <v>382</v>
      </c>
      <c r="DM19" t="s">
        <v>382</v>
      </c>
      <c r="DN19" t="s">
        <v>382</v>
      </c>
      <c r="DO19" t="s">
        <v>382</v>
      </c>
      <c r="DP19" t="s">
        <v>382</v>
      </c>
      <c r="DQ19" t="s">
        <v>382</v>
      </c>
      <c r="DR19" t="s">
        <v>382</v>
      </c>
      <c r="DS19" t="s">
        <v>382</v>
      </c>
      <c r="DT19" t="s">
        <v>382</v>
      </c>
      <c r="DU19" t="s">
        <v>382</v>
      </c>
      <c r="DV19" t="s">
        <v>382</v>
      </c>
      <c r="DW19" t="s">
        <v>382</v>
      </c>
      <c r="DX19" t="s">
        <v>382</v>
      </c>
      <c r="DY19" t="s">
        <v>382</v>
      </c>
      <c r="DZ19" t="s">
        <v>382</v>
      </c>
      <c r="EA19" t="s">
        <v>382</v>
      </c>
      <c r="EB19" t="s">
        <v>382</v>
      </c>
      <c r="EC19" t="s">
        <v>382</v>
      </c>
      <c r="ED19" t="s">
        <v>382</v>
      </c>
      <c r="EE19" t="s">
        <v>382</v>
      </c>
      <c r="EF19" t="s">
        <v>382</v>
      </c>
      <c r="EG19" t="s">
        <v>382</v>
      </c>
      <c r="EH19" t="s">
        <v>382</v>
      </c>
      <c r="EI19" t="s">
        <v>382</v>
      </c>
      <c r="EJ19" t="s">
        <v>382</v>
      </c>
      <c r="EK19" t="s">
        <v>382</v>
      </c>
      <c r="EL19" t="s">
        <v>382</v>
      </c>
      <c r="EM19" t="s">
        <v>382</v>
      </c>
      <c r="EN19" t="s">
        <v>382</v>
      </c>
      <c r="EO19" t="s">
        <v>382</v>
      </c>
      <c r="EP19" t="s">
        <v>382</v>
      </c>
      <c r="EQ19" t="s">
        <v>382</v>
      </c>
      <c r="ER19" t="s">
        <v>382</v>
      </c>
      <c r="ES19" t="s">
        <v>382</v>
      </c>
      <c r="ET19" t="s">
        <v>382</v>
      </c>
      <c r="EU19" t="s">
        <v>382</v>
      </c>
      <c r="EV19" t="s">
        <v>382</v>
      </c>
      <c r="EW19" t="s">
        <v>382</v>
      </c>
      <c r="EX19" t="s">
        <v>382</v>
      </c>
      <c r="EY19" t="s">
        <v>382</v>
      </c>
      <c r="EZ19" t="s">
        <v>382</v>
      </c>
      <c r="FA19" t="s">
        <v>382</v>
      </c>
      <c r="FB19" t="s">
        <v>382</v>
      </c>
      <c r="FC19" t="s">
        <v>382</v>
      </c>
      <c r="FD19" t="s">
        <v>382</v>
      </c>
      <c r="FE19" t="s">
        <v>382</v>
      </c>
      <c r="FF19" t="s">
        <v>382</v>
      </c>
      <c r="FG19" t="s">
        <v>382</v>
      </c>
      <c r="FH19" t="s">
        <v>382</v>
      </c>
      <c r="FI19" t="s">
        <v>382</v>
      </c>
      <c r="FJ19" t="s">
        <v>382</v>
      </c>
      <c r="FK19" t="s">
        <v>382</v>
      </c>
      <c r="FL19" t="s">
        <v>382</v>
      </c>
      <c r="FM19" t="s">
        <v>382</v>
      </c>
      <c r="FN19" t="s">
        <v>382</v>
      </c>
      <c r="FO19" t="s">
        <v>382</v>
      </c>
      <c r="FP19" t="s">
        <v>382</v>
      </c>
      <c r="FQ19" t="s">
        <v>382</v>
      </c>
      <c r="FR19" s="1" t="s">
        <v>382</v>
      </c>
      <c r="FS19" t="s">
        <v>382</v>
      </c>
      <c r="FT19" t="s">
        <v>382</v>
      </c>
      <c r="FU19" t="s">
        <v>382</v>
      </c>
      <c r="FV19" t="s">
        <v>382</v>
      </c>
      <c r="FW19" t="s">
        <v>382</v>
      </c>
      <c r="FX19" t="s">
        <v>382</v>
      </c>
      <c r="FY19" t="s">
        <v>382</v>
      </c>
      <c r="FZ19" t="s">
        <v>382</v>
      </c>
      <c r="GA19" t="s">
        <v>382</v>
      </c>
      <c r="GB19" t="s">
        <v>382</v>
      </c>
      <c r="GC19" t="s">
        <v>382</v>
      </c>
      <c r="GD19" t="s">
        <v>382</v>
      </c>
      <c r="GE19" t="s">
        <v>382</v>
      </c>
      <c r="GF19" t="s">
        <v>382</v>
      </c>
      <c r="GG19" t="s">
        <v>382</v>
      </c>
      <c r="GH19" t="s">
        <v>382</v>
      </c>
      <c r="GI19" t="s">
        <v>382</v>
      </c>
      <c r="GJ19" t="s">
        <v>382</v>
      </c>
      <c r="GK19" t="s">
        <v>382</v>
      </c>
      <c r="GL19" t="s">
        <v>382</v>
      </c>
      <c r="GM19" t="s">
        <v>382</v>
      </c>
      <c r="GN19" t="s">
        <v>382</v>
      </c>
      <c r="GO19" t="s">
        <v>382</v>
      </c>
      <c r="GP19" t="s">
        <v>382</v>
      </c>
      <c r="GQ19" t="s">
        <v>382</v>
      </c>
      <c r="GR19" t="s">
        <v>382</v>
      </c>
      <c r="GS19" t="s">
        <v>382</v>
      </c>
      <c r="GT19" t="s">
        <v>382</v>
      </c>
      <c r="GU19" t="s">
        <v>382</v>
      </c>
      <c r="GV19" t="s">
        <v>382</v>
      </c>
      <c r="GW19" t="s">
        <v>382</v>
      </c>
      <c r="GX19" t="s">
        <v>382</v>
      </c>
      <c r="GY19" t="s">
        <v>382</v>
      </c>
      <c r="GZ19" t="s">
        <v>382</v>
      </c>
      <c r="HA19" t="s">
        <v>382</v>
      </c>
      <c r="HB19" t="s">
        <v>382</v>
      </c>
      <c r="HC19" t="s">
        <v>382</v>
      </c>
      <c r="HD19" t="s">
        <v>382</v>
      </c>
      <c r="HE19" t="s">
        <v>382</v>
      </c>
      <c r="HF19" t="s">
        <v>382</v>
      </c>
      <c r="HG19" t="s">
        <v>382</v>
      </c>
      <c r="HH19" t="s">
        <v>382</v>
      </c>
      <c r="HI19" t="s">
        <v>382</v>
      </c>
      <c r="HJ19" t="s">
        <v>382</v>
      </c>
      <c r="HK19" t="s">
        <v>382</v>
      </c>
      <c r="HL19" t="s">
        <v>382</v>
      </c>
      <c r="HM19" t="s">
        <v>382</v>
      </c>
      <c r="HN19" t="s">
        <v>382</v>
      </c>
      <c r="HO19" t="s">
        <v>382</v>
      </c>
      <c r="HP19" t="s">
        <v>382</v>
      </c>
      <c r="HQ19" t="s">
        <v>382</v>
      </c>
      <c r="HR19" t="s">
        <v>382</v>
      </c>
      <c r="HS19" t="s">
        <v>382</v>
      </c>
      <c r="HT19" t="s">
        <v>382</v>
      </c>
      <c r="HU19" t="s">
        <v>382</v>
      </c>
      <c r="HV19" t="s">
        <v>382</v>
      </c>
      <c r="HW19" t="s">
        <v>382</v>
      </c>
      <c r="HX19" t="s">
        <v>382</v>
      </c>
      <c r="HY19" t="s">
        <v>382</v>
      </c>
      <c r="HZ19" t="s">
        <v>382</v>
      </c>
      <c r="IA19" t="s">
        <v>382</v>
      </c>
      <c r="IB19" t="s">
        <v>382</v>
      </c>
      <c r="IC19" t="s">
        <v>382</v>
      </c>
      <c r="ID19" t="s">
        <v>382</v>
      </c>
      <c r="IE19" t="s">
        <v>382</v>
      </c>
      <c r="IF19" t="s">
        <v>382</v>
      </c>
      <c r="IG19" t="s">
        <v>382</v>
      </c>
      <c r="IH19" t="s">
        <v>382</v>
      </c>
      <c r="II19" t="s">
        <v>382</v>
      </c>
      <c r="IJ19" t="s">
        <v>382</v>
      </c>
      <c r="IK19" t="s">
        <v>382</v>
      </c>
      <c r="IL19" t="s">
        <v>382</v>
      </c>
      <c r="IM19" t="s">
        <v>382</v>
      </c>
      <c r="IN19" t="s">
        <v>382</v>
      </c>
      <c r="IO19" t="s">
        <v>382</v>
      </c>
      <c r="IP19" t="s">
        <v>382</v>
      </c>
      <c r="IQ19" t="s">
        <v>382</v>
      </c>
      <c r="IR19" t="s">
        <v>382</v>
      </c>
      <c r="IS19" t="s">
        <v>382</v>
      </c>
      <c r="IT19" t="s">
        <v>382</v>
      </c>
      <c r="IU19" t="s">
        <v>382</v>
      </c>
      <c r="IV19" t="s">
        <v>382</v>
      </c>
      <c r="IW19" t="s">
        <v>382</v>
      </c>
      <c r="IX19" t="s">
        <v>382</v>
      </c>
      <c r="IY19" t="s">
        <v>382</v>
      </c>
      <c r="IZ19" t="s">
        <v>382</v>
      </c>
    </row>
    <row r="20" spans="1:16384" ht="20">
      <c r="A20" s="22" t="s">
        <v>406</v>
      </c>
      <c r="B20">
        <v>112263</v>
      </c>
      <c r="C20">
        <v>29939.311262943331</v>
      </c>
      <c r="D20">
        <v>126340.94</v>
      </c>
      <c r="E20">
        <v>49771.198822178179</v>
      </c>
      <c r="F20">
        <v>69119.730363999988</v>
      </c>
      <c r="G20">
        <v>68247.022071599989</v>
      </c>
      <c r="H20">
        <v>54252.579915435999</v>
      </c>
      <c r="I20">
        <v>24367.859914799992</v>
      </c>
      <c r="J20">
        <v>95676.173114408361</v>
      </c>
      <c r="K20">
        <v>34438.442735299992</v>
      </c>
      <c r="L20">
        <v>36330.9762452</v>
      </c>
      <c r="M20">
        <v>34877.526970883991</v>
      </c>
      <c r="N20">
        <v>43023.425731643438</v>
      </c>
      <c r="O20">
        <v>106482.36972750002</v>
      </c>
      <c r="P20">
        <v>48788.652222659206</v>
      </c>
      <c r="Q20">
        <v>21258.008705200016</v>
      </c>
      <c r="R20">
        <v>77171.582599812537</v>
      </c>
      <c r="S20">
        <v>38690.074693599992</v>
      </c>
      <c r="T20">
        <v>29477.641097046377</v>
      </c>
      <c r="U20">
        <v>45234.649203698922</v>
      </c>
      <c r="V20">
        <v>22926.722844791992</v>
      </c>
      <c r="W20">
        <v>34784.530280400009</v>
      </c>
      <c r="X20">
        <v>76026.025390200011</v>
      </c>
      <c r="Y20">
        <v>51797.650118400008</v>
      </c>
      <c r="Z20">
        <v>35966.006251276005</v>
      </c>
      <c r="AA20">
        <v>33140.01978219999</v>
      </c>
      <c r="AB20">
        <v>42333.207657199993</v>
      </c>
      <c r="AC20">
        <v>79683.062341473022</v>
      </c>
      <c r="AD20">
        <v>43178.822576765815</v>
      </c>
      <c r="AE20">
        <v>81540.454696851069</v>
      </c>
      <c r="AF20">
        <v>40511.356236376916</v>
      </c>
      <c r="AG20">
        <v>29351.432995199997</v>
      </c>
      <c r="AH20">
        <v>104675.97797013371</v>
      </c>
      <c r="AI20">
        <v>37886.140883100001</v>
      </c>
      <c r="AJ20">
        <v>46021.041006288135</v>
      </c>
      <c r="AK20">
        <v>35462.486605965823</v>
      </c>
      <c r="AL20">
        <v>93752.978715999998</v>
      </c>
      <c r="AM20">
        <v>39788.684209224448</v>
      </c>
      <c r="AN20">
        <v>40343.931230400005</v>
      </c>
      <c r="AO20">
        <v>22308.188876364016</v>
      </c>
      <c r="AP20">
        <v>50119.454748923999</v>
      </c>
      <c r="AQ20">
        <v>44525.979476443274</v>
      </c>
      <c r="AR20">
        <v>23950.530103884026</v>
      </c>
      <c r="AS20">
        <v>25302.612284300005</v>
      </c>
      <c r="AT20">
        <v>45759.520120800007</v>
      </c>
      <c r="AU20">
        <v>45675.432321400018</v>
      </c>
      <c r="AV20">
        <v>61609.378641376985</v>
      </c>
      <c r="AW20">
        <v>37225.845961600018</v>
      </c>
      <c r="AX20" t="e">
        <v>#N/A</v>
      </c>
      <c r="AY20">
        <v>34501.585442999989</v>
      </c>
      <c r="AZ20">
        <v>87629.940488677137</v>
      </c>
      <c r="BA20">
        <v>50830.542311457219</v>
      </c>
      <c r="BB20">
        <v>27342.353721900014</v>
      </c>
      <c r="BC20">
        <v>45463.767613199991</v>
      </c>
      <c r="BD20">
        <v>45181.818703050405</v>
      </c>
      <c r="BE20">
        <v>39177.877022000015</v>
      </c>
      <c r="BF20">
        <v>97700.036785600008</v>
      </c>
      <c r="BG20">
        <v>33990.186858600006</v>
      </c>
      <c r="BH20">
        <v>100417.02197150001</v>
      </c>
      <c r="BI20">
        <v>10716.686767700012</v>
      </c>
      <c r="BJ20">
        <v>32208.905665900005</v>
      </c>
      <c r="BK20">
        <v>35705.004107038592</v>
      </c>
      <c r="BL20">
        <v>40881.280268077055</v>
      </c>
      <c r="BM20">
        <v>17979.795114500012</v>
      </c>
      <c r="BN20">
        <v>74747.087604</v>
      </c>
      <c r="BO20">
        <v>41126.915176600014</v>
      </c>
      <c r="BP20">
        <v>29299.312951785032</v>
      </c>
      <c r="BQ20">
        <v>27170.8152539</v>
      </c>
      <c r="BR20">
        <v>23226.916554699987</v>
      </c>
      <c r="BS20">
        <v>20777.771076299992</v>
      </c>
      <c r="BT20">
        <v>21234.264500818186</v>
      </c>
      <c r="BU20">
        <v>26215.931688090699</v>
      </c>
      <c r="BV20">
        <v>56104.114505633072</v>
      </c>
      <c r="BW20">
        <v>36416.208161300005</v>
      </c>
      <c r="BX20">
        <v>67624.838954400009</v>
      </c>
      <c r="BY20" t="e">
        <v>#N/A</v>
      </c>
      <c r="BZ20">
        <v>44297.775983999993</v>
      </c>
      <c r="CA20">
        <v>46987.995943900009</v>
      </c>
      <c r="CB20">
        <v>113330.20000000001</v>
      </c>
      <c r="CC20" t="e">
        <v>#N/A</v>
      </c>
      <c r="CD20" t="e">
        <v>#N/A</v>
      </c>
      <c r="CE20">
        <v>97365.877845600015</v>
      </c>
      <c r="CF20">
        <v>31220.015266000002</v>
      </c>
      <c r="CG20">
        <v>58196.915661299994</v>
      </c>
      <c r="CH20">
        <v>38213.391717000006</v>
      </c>
      <c r="CI20">
        <v>56217.599999999977</v>
      </c>
      <c r="CJ20">
        <v>67101.602921901067</v>
      </c>
      <c r="CK20">
        <v>92160.200000000012</v>
      </c>
      <c r="CL20">
        <v>47601.262339641347</v>
      </c>
      <c r="CM20">
        <v>76658.39999999998</v>
      </c>
      <c r="CN20">
        <v>75899.209585257689</v>
      </c>
      <c r="CO20">
        <v>47067.459749731832</v>
      </c>
      <c r="CP20">
        <v>41161.778680960007</v>
      </c>
      <c r="CQ20">
        <v>31475.400000000009</v>
      </c>
      <c r="CR20">
        <v>28584.272036224007</v>
      </c>
      <c r="CS20">
        <v>42529.2</v>
      </c>
      <c r="CT20">
        <v>27840.137587907506</v>
      </c>
      <c r="CU20">
        <v>47855.8</v>
      </c>
      <c r="CV20">
        <v>18231.124416000006</v>
      </c>
      <c r="CW20">
        <v>20561.600000000006</v>
      </c>
      <c r="CX20">
        <v>56662.842686131204</v>
      </c>
      <c r="CY20">
        <v>69646.188806368504</v>
      </c>
      <c r="CZ20">
        <v>90824.039470695992</v>
      </c>
      <c r="DA20" s="97">
        <v>0</v>
      </c>
      <c r="DB20">
        <v>84004.800000000017</v>
      </c>
      <c r="DC20">
        <v>45736.800000000003</v>
      </c>
      <c r="DD20">
        <v>104540.80000000002</v>
      </c>
      <c r="DE20">
        <v>111945.44</v>
      </c>
      <c r="DF20">
        <v>122769.5</v>
      </c>
      <c r="DG20">
        <v>112331.45999999999</v>
      </c>
      <c r="DH20">
        <v>32279.199999999997</v>
      </c>
      <c r="DI20">
        <v>110126.45999999999</v>
      </c>
      <c r="DJ20">
        <v>113098.92000000001</v>
      </c>
      <c r="DK20">
        <v>44143.887320461305</v>
      </c>
      <c r="DL20">
        <v>104934.34116608</v>
      </c>
      <c r="DM20">
        <v>120472.73999999999</v>
      </c>
      <c r="DN20">
        <v>49568.644826079224</v>
      </c>
      <c r="DO20">
        <v>67554.065268162551</v>
      </c>
      <c r="DP20">
        <v>40255.086813865579</v>
      </c>
      <c r="DQ20">
        <v>115976.28</v>
      </c>
      <c r="DR20">
        <v>27207.60000000002</v>
      </c>
      <c r="DS20">
        <v>63722.151084369296</v>
      </c>
      <c r="DT20" t="e">
        <v>#N/A</v>
      </c>
      <c r="DU20">
        <v>152710.7405935362</v>
      </c>
      <c r="DV20">
        <v>106100.27999999998</v>
      </c>
      <c r="DW20">
        <v>82992</v>
      </c>
      <c r="DX20">
        <v>99075.422943395839</v>
      </c>
      <c r="DY20">
        <v>101776.35</v>
      </c>
      <c r="DZ20">
        <v>61555.199999999997</v>
      </c>
      <c r="EA20">
        <v>93780.599999999991</v>
      </c>
      <c r="EB20">
        <v>107208.85</v>
      </c>
      <c r="EC20">
        <v>41315.999999999985</v>
      </c>
      <c r="ED20">
        <v>96405.12000000001</v>
      </c>
      <c r="EE20">
        <v>96448.8</v>
      </c>
      <c r="EF20">
        <v>32893.348928000007</v>
      </c>
      <c r="EG20">
        <v>55026.400000000009</v>
      </c>
      <c r="EH20">
        <v>20522.400000000009</v>
      </c>
      <c r="EI20">
        <v>96684</v>
      </c>
      <c r="EJ20">
        <v>52088.400000000009</v>
      </c>
      <c r="EK20">
        <v>37361.400000000009</v>
      </c>
      <c r="EL20">
        <v>98859.51999999999</v>
      </c>
      <c r="EM20">
        <v>45181.358559232001</v>
      </c>
      <c r="EN20">
        <v>98936.8</v>
      </c>
      <c r="EO20">
        <v>84628.3</v>
      </c>
      <c r="EP20">
        <v>86401.371199999994</v>
      </c>
      <c r="EQ20">
        <v>124943</v>
      </c>
      <c r="ER20">
        <v>93518.121686694416</v>
      </c>
      <c r="ES20">
        <v>37499.600000000006</v>
      </c>
      <c r="ET20">
        <v>34788.600000000006</v>
      </c>
      <c r="EU20">
        <v>70752.349927954521</v>
      </c>
      <c r="EV20">
        <v>106236.45000000001</v>
      </c>
      <c r="EW20">
        <v>110655.41640781055</v>
      </c>
      <c r="EX20">
        <v>143669.36865209791</v>
      </c>
      <c r="EY20">
        <v>46261.694963691509</v>
      </c>
      <c r="EZ20">
        <v>99613.2</v>
      </c>
      <c r="FA20">
        <v>120323.44</v>
      </c>
      <c r="FB20">
        <v>14852.88956006401</v>
      </c>
      <c r="FC20">
        <v>89120.400000000009</v>
      </c>
      <c r="FD20">
        <v>70261.958383992838</v>
      </c>
      <c r="FE20">
        <v>21318.800000000003</v>
      </c>
      <c r="FF20">
        <v>112739.19999999998</v>
      </c>
      <c r="FG20">
        <v>26913.199999999997</v>
      </c>
      <c r="FH20">
        <v>97405.92</v>
      </c>
      <c r="FI20">
        <v>19954.705023999995</v>
      </c>
      <c r="FJ20">
        <v>71363.599999999991</v>
      </c>
      <c r="FK20">
        <v>106965.6</v>
      </c>
      <c r="FL20">
        <v>96959.688885568001</v>
      </c>
      <c r="FM20">
        <v>95438.028488557582</v>
      </c>
      <c r="FN20">
        <v>99415.89</v>
      </c>
      <c r="FO20">
        <v>42176.2</v>
      </c>
      <c r="FP20" t="e">
        <v>#N/A</v>
      </c>
      <c r="FQ20">
        <v>119099.16</v>
      </c>
      <c r="FR20" s="1">
        <v>108826.66184</v>
      </c>
      <c r="FS20">
        <v>38833.199999999997</v>
      </c>
      <c r="FT20">
        <v>98950.693728322556</v>
      </c>
      <c r="FU20">
        <v>92251.191622157276</v>
      </c>
      <c r="FV20">
        <v>112448.22</v>
      </c>
      <c r="FW20">
        <v>85607.366183321603</v>
      </c>
      <c r="FX20">
        <v>101573.08</v>
      </c>
      <c r="FY20">
        <v>104831.99999999999</v>
      </c>
      <c r="FZ20">
        <v>101801.18618567679</v>
      </c>
      <c r="GA20">
        <v>75399.199999999983</v>
      </c>
      <c r="GB20">
        <v>113624.94</v>
      </c>
      <c r="GC20">
        <v>88677.438366720016</v>
      </c>
      <c r="GD20">
        <v>85426.009465921481</v>
      </c>
      <c r="GE20">
        <v>111524.63</v>
      </c>
      <c r="GF20">
        <v>101963.72010213599</v>
      </c>
      <c r="GG20" t="e">
        <v>#N/A</v>
      </c>
      <c r="GH20">
        <v>68311.10000000002</v>
      </c>
      <c r="GI20">
        <v>113895.36000000002</v>
      </c>
      <c r="GJ20">
        <v>119021.4</v>
      </c>
      <c r="GK20">
        <v>44923.223366913138</v>
      </c>
      <c r="GL20" t="e">
        <v>#N/A</v>
      </c>
      <c r="GM20">
        <v>82941.316869455855</v>
      </c>
      <c r="GN20">
        <v>47422.999999999985</v>
      </c>
      <c r="GO20">
        <v>102733.79</v>
      </c>
      <c r="GP20">
        <v>101494.90000000001</v>
      </c>
      <c r="GQ20">
        <v>126340.94</v>
      </c>
      <c r="GR20">
        <v>29425.199999999997</v>
      </c>
      <c r="GS20">
        <v>90736.38</v>
      </c>
      <c r="GT20">
        <v>111302.41</v>
      </c>
      <c r="GU20">
        <v>98423.999999999985</v>
      </c>
      <c r="GV20">
        <v>91990.349999999991</v>
      </c>
      <c r="GW20">
        <v>116650.79000000001</v>
      </c>
      <c r="GX20">
        <v>86977</v>
      </c>
      <c r="GY20">
        <v>50687.582369791999</v>
      </c>
      <c r="GZ20">
        <v>72830.301229938326</v>
      </c>
      <c r="HA20">
        <v>59178.60000000002</v>
      </c>
      <c r="HB20" t="e">
        <v>#N/A</v>
      </c>
      <c r="HC20">
        <v>39510.000000000015</v>
      </c>
      <c r="HD20">
        <v>77848.799999999988</v>
      </c>
      <c r="HE20">
        <v>71033.599999999977</v>
      </c>
      <c r="HF20">
        <v>110491.585536</v>
      </c>
      <c r="HG20">
        <v>73181.057666560009</v>
      </c>
      <c r="HH20">
        <v>96713</v>
      </c>
      <c r="HI20">
        <v>122355.98000000001</v>
      </c>
      <c r="HJ20" t="e">
        <v>#N/A</v>
      </c>
      <c r="HK20">
        <v>111465.60000000001</v>
      </c>
      <c r="HL20">
        <v>92037.72</v>
      </c>
      <c r="HM20">
        <v>94405.59</v>
      </c>
      <c r="HN20">
        <v>107433.19999999998</v>
      </c>
      <c r="HO20">
        <v>105964.56000000001</v>
      </c>
      <c r="HP20">
        <v>95430.21</v>
      </c>
      <c r="HQ20">
        <v>95157.08</v>
      </c>
      <c r="HR20">
        <v>73985.157672319998</v>
      </c>
      <c r="HS20">
        <v>59626.35</v>
      </c>
      <c r="HT20">
        <v>97071.076960000006</v>
      </c>
      <c r="HU20">
        <v>91523.15</v>
      </c>
      <c r="HV20">
        <v>33948.000000000015</v>
      </c>
      <c r="HW20">
        <v>99197.000000000015</v>
      </c>
      <c r="HX20">
        <v>68026.000000000015</v>
      </c>
      <c r="HY20">
        <v>58476.600000000006</v>
      </c>
      <c r="HZ20">
        <v>107606.45000000001</v>
      </c>
      <c r="IA20">
        <v>111402.68</v>
      </c>
      <c r="IB20">
        <v>99026.4</v>
      </c>
      <c r="IC20">
        <v>112263</v>
      </c>
      <c r="ID20">
        <v>99045</v>
      </c>
      <c r="IE20">
        <v>110528.85</v>
      </c>
      <c r="IF20">
        <v>57347.162986709547</v>
      </c>
      <c r="IG20">
        <v>116984.31</v>
      </c>
      <c r="IH20">
        <v>43657.425960337423</v>
      </c>
      <c r="II20">
        <v>117361.92000000001</v>
      </c>
      <c r="IJ20">
        <v>98445.9</v>
      </c>
      <c r="IK20">
        <v>101066.00000000001</v>
      </c>
      <c r="IL20">
        <v>36952.743768824934</v>
      </c>
      <c r="IM20">
        <v>119258.75</v>
      </c>
      <c r="IN20">
        <v>91012.799999999988</v>
      </c>
      <c r="IO20">
        <v>73586.580608685064</v>
      </c>
      <c r="IP20">
        <v>67457.600000000006</v>
      </c>
      <c r="IQ20">
        <v>121173</v>
      </c>
      <c r="IR20" t="e">
        <v>#N/A</v>
      </c>
      <c r="IS20">
        <v>118032.32000000001</v>
      </c>
      <c r="IT20">
        <v>38321.420778426153</v>
      </c>
      <c r="IU20">
        <v>106780.66</v>
      </c>
      <c r="IV20">
        <v>123471.66</v>
      </c>
      <c r="IW20">
        <v>122569.07999999999</v>
      </c>
      <c r="IX20">
        <v>120500.51999999999</v>
      </c>
      <c r="IY20">
        <v>114818.9664705199</v>
      </c>
      <c r="IZ20">
        <v>39175.500000000015</v>
      </c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  <c r="KU20" s="64"/>
      <c r="KV20" s="64"/>
      <c r="KW20" s="64"/>
      <c r="KX20" s="64"/>
      <c r="KY20" s="64"/>
      <c r="KZ20" s="64"/>
      <c r="LA20" s="64"/>
      <c r="LB20" s="64"/>
      <c r="LC20" s="64"/>
      <c r="LD20" s="64"/>
      <c r="LE20" s="64"/>
      <c r="LF20" s="64"/>
      <c r="LG20" s="64"/>
      <c r="LH20" s="64"/>
      <c r="LI20" s="64"/>
      <c r="LJ20" s="64"/>
      <c r="LK20" s="64"/>
      <c r="LL20" s="64"/>
      <c r="LM20" s="64"/>
      <c r="LN20" s="64"/>
      <c r="LO20" s="64"/>
      <c r="LP20" s="64"/>
      <c r="LQ20" s="64"/>
      <c r="LR20" s="64"/>
      <c r="LS20" s="64"/>
      <c r="LT20" s="64"/>
      <c r="LU20" s="64"/>
      <c r="LV20" s="64"/>
      <c r="LW20" s="64"/>
      <c r="LX20" s="64"/>
      <c r="LY20" s="64"/>
      <c r="LZ20" s="64"/>
      <c r="MA20" s="64"/>
      <c r="MB20" s="64"/>
      <c r="MC20" s="64"/>
      <c r="MD20" s="64"/>
      <c r="ME20" s="64"/>
      <c r="MF20" s="64"/>
      <c r="MG20" s="64"/>
      <c r="MH20" s="64"/>
      <c r="MI20" s="64"/>
      <c r="MJ20" s="64"/>
      <c r="MK20" s="64"/>
      <c r="ML20" s="64"/>
      <c r="MM20" s="64"/>
      <c r="MN20" s="64"/>
      <c r="MO20" s="64"/>
      <c r="MP20" s="64"/>
      <c r="MQ20" s="64"/>
      <c r="MR20" s="64"/>
      <c r="MS20" s="64"/>
      <c r="MT20" s="64"/>
      <c r="MU20" s="64"/>
      <c r="MV20" s="64"/>
      <c r="MW20" s="64"/>
      <c r="MX20" s="64"/>
      <c r="MY20" s="64"/>
      <c r="MZ20" s="64"/>
      <c r="NA20" s="64"/>
      <c r="NB20" s="64"/>
      <c r="NC20" s="64"/>
      <c r="ND20" s="64"/>
      <c r="NE20" s="64"/>
      <c r="NF20" s="64"/>
      <c r="NG20" s="64"/>
      <c r="NH20" s="64"/>
      <c r="NI20" s="64"/>
      <c r="NJ20" s="64"/>
      <c r="NK20" s="64"/>
      <c r="NL20" s="64"/>
      <c r="NM20" s="64"/>
      <c r="NN20" s="64"/>
      <c r="NO20" s="64"/>
      <c r="NP20" s="64"/>
      <c r="NQ20" s="64"/>
      <c r="NR20" s="64"/>
      <c r="NS20" s="64"/>
      <c r="NT20" s="64"/>
      <c r="NU20" s="64"/>
      <c r="NV20" s="64"/>
      <c r="NW20" s="64"/>
      <c r="NX20" s="64"/>
      <c r="NY20" s="64"/>
      <c r="NZ20" s="64"/>
      <c r="OA20" s="64"/>
      <c r="OB20" s="64"/>
      <c r="OC20" s="64"/>
      <c r="OD20" s="64"/>
      <c r="OE20" s="64"/>
      <c r="OF20" s="64"/>
      <c r="OG20" s="64"/>
      <c r="OH20" s="64"/>
      <c r="OI20" s="64"/>
      <c r="OJ20" s="64"/>
      <c r="OK20" s="64"/>
      <c r="OL20" s="64"/>
      <c r="OM20" s="64"/>
      <c r="ON20" s="64"/>
      <c r="OO20" s="64"/>
      <c r="OP20" s="64"/>
      <c r="OQ20" s="64"/>
      <c r="OR20" s="64"/>
      <c r="OS20" s="64"/>
      <c r="OT20" s="64"/>
      <c r="OU20" s="64"/>
      <c r="OV20" s="64"/>
      <c r="OW20" s="64"/>
      <c r="OX20" s="64"/>
      <c r="OY20" s="64"/>
      <c r="OZ20" s="64"/>
      <c r="PA20" s="64"/>
      <c r="PB20" s="64"/>
      <c r="PC20" s="64"/>
      <c r="PD20" s="64"/>
      <c r="PE20" s="64"/>
      <c r="PF20" s="64"/>
      <c r="PG20" s="64"/>
      <c r="PH20" s="64"/>
      <c r="PI20" s="64"/>
      <c r="PJ20" s="64"/>
      <c r="PK20" s="64"/>
      <c r="PL20" s="64"/>
      <c r="PM20" s="64"/>
      <c r="PN20" s="64"/>
      <c r="PO20" s="64"/>
      <c r="PP20" s="64"/>
      <c r="PQ20" s="64"/>
      <c r="PR20" s="64"/>
      <c r="PS20" s="64"/>
      <c r="PT20" s="64"/>
      <c r="PU20" s="64"/>
      <c r="PV20" s="64"/>
      <c r="PW20" s="64"/>
      <c r="PX20" s="64"/>
      <c r="PY20" s="64"/>
      <c r="PZ20" s="64"/>
      <c r="QA20" s="64"/>
      <c r="QB20" s="64"/>
      <c r="QC20" s="64"/>
      <c r="QD20" s="64"/>
      <c r="QE20" s="64"/>
      <c r="QF20" s="64"/>
      <c r="QG20" s="64"/>
      <c r="QH20" s="64"/>
      <c r="QI20" s="64"/>
      <c r="QJ20" s="64"/>
      <c r="QK20" s="64"/>
      <c r="QL20" s="64"/>
      <c r="QM20" s="64"/>
      <c r="QN20" s="64"/>
      <c r="QO20" s="64"/>
      <c r="QP20" s="64"/>
      <c r="QQ20" s="64"/>
      <c r="QR20" s="64"/>
      <c r="QS20" s="64"/>
      <c r="QT20" s="64"/>
      <c r="QU20" s="64"/>
      <c r="QV20" s="64"/>
      <c r="QW20" s="64"/>
      <c r="QX20" s="64"/>
      <c r="QY20" s="64"/>
      <c r="QZ20" s="64"/>
      <c r="RA20" s="64"/>
      <c r="RB20" s="64"/>
      <c r="RC20" s="64"/>
      <c r="RD20" s="64"/>
      <c r="RE20" s="64"/>
      <c r="RF20" s="64"/>
      <c r="RG20" s="64"/>
      <c r="RH20" s="64"/>
      <c r="RI20" s="64"/>
      <c r="RJ20" s="64"/>
      <c r="RK20" s="64"/>
      <c r="RL20" s="64"/>
      <c r="RM20" s="64"/>
      <c r="RN20" s="64"/>
      <c r="RO20" s="64"/>
      <c r="RP20" s="64"/>
      <c r="RQ20" s="64"/>
      <c r="RR20" s="64"/>
      <c r="RS20" s="64"/>
      <c r="RT20" s="64"/>
      <c r="RU20" s="64"/>
      <c r="RV20" s="64"/>
      <c r="RW20" s="64"/>
      <c r="RX20" s="64"/>
      <c r="RY20" s="64"/>
      <c r="RZ20" s="64"/>
      <c r="SA20" s="64"/>
      <c r="SB20" s="64"/>
      <c r="SC20" s="64"/>
      <c r="SD20" s="64"/>
      <c r="SE20" s="64"/>
      <c r="SF20" s="64"/>
      <c r="SG20" s="64"/>
      <c r="SH20" s="64"/>
      <c r="SI20" s="64"/>
      <c r="SJ20" s="64"/>
      <c r="SK20" s="64"/>
      <c r="SL20" s="64"/>
      <c r="SM20" s="64"/>
      <c r="SN20" s="64"/>
      <c r="SO20" s="64"/>
      <c r="SP20" s="64"/>
      <c r="SQ20" s="64"/>
      <c r="SR20" s="64"/>
      <c r="SS20" s="64"/>
      <c r="ST20" s="64"/>
      <c r="SU20" s="64"/>
      <c r="SV20" s="64"/>
      <c r="SW20" s="64"/>
      <c r="SX20" s="64"/>
      <c r="SY20" s="64"/>
      <c r="SZ20" s="64"/>
      <c r="TA20" s="64"/>
      <c r="TB20" s="64"/>
      <c r="TC20" s="64"/>
      <c r="TD20" s="64"/>
      <c r="TE20" s="64"/>
      <c r="TF20" s="64"/>
      <c r="TG20" s="64"/>
      <c r="TH20" s="64"/>
      <c r="TI20" s="64"/>
      <c r="TJ20" s="64"/>
      <c r="TK20" s="64"/>
      <c r="TL20" s="64"/>
      <c r="TM20" s="64"/>
      <c r="TN20" s="64"/>
      <c r="TO20" s="64"/>
      <c r="TP20" s="64"/>
      <c r="TQ20" s="64"/>
      <c r="TR20" s="64"/>
      <c r="TS20" s="64"/>
      <c r="TT20" s="64"/>
      <c r="TU20" s="64"/>
      <c r="TV20" s="64"/>
      <c r="TW20" s="64"/>
      <c r="TX20" s="64"/>
      <c r="TY20" s="64"/>
      <c r="TZ20" s="64"/>
      <c r="UA20" s="64"/>
      <c r="UB20" s="64"/>
      <c r="UC20" s="64"/>
      <c r="UD20" s="64"/>
      <c r="UE20" s="64"/>
      <c r="UF20" s="64"/>
      <c r="UG20" s="64"/>
      <c r="UH20" s="64"/>
      <c r="UI20" s="64"/>
      <c r="UJ20" s="64"/>
      <c r="UK20" s="64"/>
      <c r="UL20" s="64"/>
      <c r="UM20" s="64"/>
      <c r="UN20" s="64"/>
      <c r="UO20" s="64"/>
      <c r="UP20" s="64"/>
      <c r="UQ20" s="64"/>
      <c r="UR20" s="64"/>
      <c r="US20" s="64"/>
      <c r="UT20" s="64"/>
      <c r="UU20" s="64"/>
      <c r="UV20" s="64"/>
      <c r="UW20" s="64"/>
      <c r="UX20" s="64"/>
      <c r="UY20" s="64"/>
      <c r="UZ20" s="64"/>
      <c r="VA20" s="64"/>
      <c r="VB20" s="64"/>
      <c r="VC20" s="64"/>
      <c r="VD20" s="64"/>
      <c r="VE20" s="64"/>
      <c r="VF20" s="64"/>
      <c r="VG20" s="64"/>
      <c r="VH20" s="64"/>
      <c r="VI20" s="64"/>
      <c r="VJ20" s="64"/>
      <c r="VK20" s="64"/>
      <c r="VL20" s="64"/>
      <c r="VM20" s="64"/>
      <c r="VN20" s="64"/>
      <c r="VO20" s="64"/>
      <c r="VP20" s="64"/>
      <c r="VQ20" s="64"/>
      <c r="VR20" s="64"/>
      <c r="VS20" s="64"/>
      <c r="VT20" s="64"/>
      <c r="VU20" s="64"/>
      <c r="VV20" s="64"/>
      <c r="VW20" s="64"/>
      <c r="VX20" s="64"/>
      <c r="VY20" s="64"/>
      <c r="VZ20" s="64"/>
      <c r="WA20" s="64"/>
      <c r="WB20" s="64"/>
      <c r="WC20" s="64"/>
      <c r="WD20" s="64"/>
      <c r="WE20" s="64"/>
      <c r="WF20" s="64"/>
      <c r="WG20" s="64"/>
      <c r="WH20" s="64"/>
      <c r="WI20" s="64"/>
      <c r="WJ20" s="64"/>
      <c r="WK20" s="64"/>
      <c r="WL20" s="64"/>
      <c r="WM20" s="64"/>
      <c r="WN20" s="64"/>
      <c r="WO20" s="64"/>
      <c r="WP20" s="64"/>
      <c r="WQ20" s="64"/>
      <c r="WR20" s="64"/>
      <c r="WS20" s="64"/>
      <c r="WT20" s="64"/>
      <c r="WU20" s="64"/>
      <c r="WV20" s="64"/>
      <c r="WW20" s="64"/>
      <c r="WX20" s="64"/>
      <c r="WY20" s="64"/>
      <c r="WZ20" s="64"/>
      <c r="XA20" s="64"/>
      <c r="XB20" s="64"/>
      <c r="XC20" s="64"/>
      <c r="XD20" s="64"/>
      <c r="XE20" s="64"/>
      <c r="XF20" s="64"/>
      <c r="XG20" s="64"/>
      <c r="XH20" s="64"/>
      <c r="XI20" s="64"/>
      <c r="XJ20" s="64"/>
      <c r="XK20" s="64"/>
      <c r="XL20" s="64"/>
      <c r="XM20" s="64"/>
      <c r="XN20" s="64"/>
      <c r="XO20" s="64"/>
      <c r="XP20" s="64"/>
      <c r="XQ20" s="64"/>
      <c r="XR20" s="64"/>
      <c r="XS20" s="64"/>
      <c r="XT20" s="64"/>
      <c r="XU20" s="64"/>
      <c r="XV20" s="64"/>
      <c r="XW20" s="64"/>
      <c r="XX20" s="64"/>
      <c r="XY20" s="64"/>
      <c r="XZ20" s="64"/>
      <c r="YA20" s="64"/>
      <c r="YB20" s="64"/>
      <c r="YC20" s="64"/>
      <c r="YD20" s="64"/>
      <c r="YE20" s="64"/>
      <c r="YF20" s="64"/>
      <c r="YG20" s="64"/>
      <c r="YH20" s="64"/>
      <c r="YI20" s="64"/>
      <c r="YJ20" s="64"/>
      <c r="YK20" s="64"/>
      <c r="YL20" s="64"/>
      <c r="YM20" s="64"/>
      <c r="YN20" s="64"/>
      <c r="YO20" s="64"/>
      <c r="YP20" s="64"/>
      <c r="YQ20" s="64"/>
      <c r="YR20" s="64"/>
      <c r="YS20" s="64"/>
      <c r="YT20" s="64"/>
      <c r="YU20" s="64"/>
      <c r="YV20" s="64"/>
      <c r="YW20" s="64"/>
      <c r="YX20" s="64"/>
      <c r="YY20" s="64"/>
      <c r="YZ20" s="64"/>
      <c r="ZA20" s="64"/>
      <c r="ZB20" s="64"/>
      <c r="ZC20" s="64"/>
      <c r="ZD20" s="64"/>
      <c r="ZE20" s="64"/>
      <c r="ZF20" s="64"/>
      <c r="ZG20" s="64"/>
      <c r="ZH20" s="64"/>
      <c r="ZI20" s="64"/>
      <c r="ZJ20" s="64"/>
      <c r="ZK20" s="64"/>
      <c r="ZL20" s="64"/>
      <c r="ZM20" s="64"/>
      <c r="ZN20" s="64"/>
      <c r="ZO20" s="64"/>
      <c r="ZP20" s="64"/>
      <c r="ZQ20" s="64"/>
      <c r="ZR20" s="64"/>
      <c r="ZS20" s="64"/>
      <c r="ZT20" s="64"/>
      <c r="ZU20" s="64"/>
      <c r="ZV20" s="64"/>
      <c r="ZW20" s="64"/>
      <c r="ZX20" s="64"/>
      <c r="ZY20" s="64"/>
      <c r="ZZ20" s="64"/>
      <c r="AAA20" s="64"/>
      <c r="AAB20" s="64"/>
      <c r="AAC20" s="64"/>
      <c r="AAD20" s="64"/>
      <c r="AAE20" s="64"/>
      <c r="AAF20" s="64"/>
      <c r="AAG20" s="64"/>
      <c r="AAH20" s="64"/>
      <c r="AAI20" s="64"/>
      <c r="AAJ20" s="64"/>
      <c r="AAK20" s="64"/>
      <c r="AAL20" s="64"/>
      <c r="AAM20" s="64"/>
      <c r="AAN20" s="64"/>
      <c r="AAO20" s="64"/>
      <c r="AAP20" s="64"/>
      <c r="AAQ20" s="64"/>
      <c r="AAR20" s="64"/>
      <c r="AAS20" s="64"/>
      <c r="AAT20" s="64"/>
      <c r="AAU20" s="64"/>
      <c r="AAV20" s="64"/>
      <c r="AAW20" s="64"/>
      <c r="AAX20" s="64"/>
      <c r="AAY20" s="64"/>
      <c r="AAZ20" s="64"/>
      <c r="ABA20" s="64"/>
      <c r="ABB20" s="64"/>
      <c r="ABC20" s="64"/>
      <c r="ABD20" s="64"/>
      <c r="ABE20" s="64"/>
      <c r="ABF20" s="64"/>
      <c r="ABG20" s="64"/>
      <c r="ABH20" s="64"/>
      <c r="ABI20" s="64"/>
      <c r="ABJ20" s="64"/>
      <c r="ABK20" s="64"/>
      <c r="ABL20" s="64"/>
      <c r="ABM20" s="64"/>
      <c r="ABN20" s="64"/>
      <c r="ABO20" s="64"/>
      <c r="ABP20" s="64"/>
      <c r="ABQ20" s="64"/>
      <c r="ABR20" s="64"/>
      <c r="ABS20" s="64"/>
      <c r="ABT20" s="64"/>
      <c r="ABU20" s="64"/>
      <c r="ABV20" s="64"/>
      <c r="ABW20" s="64"/>
      <c r="ABX20" s="64"/>
      <c r="ABY20" s="64"/>
      <c r="ABZ20" s="64"/>
      <c r="ACA20" s="64"/>
      <c r="ACB20" s="64"/>
      <c r="ACC20" s="64"/>
      <c r="ACD20" s="64"/>
      <c r="ACE20" s="64"/>
      <c r="ACF20" s="64"/>
      <c r="ACG20" s="64"/>
      <c r="ACH20" s="64"/>
      <c r="ACI20" s="64"/>
      <c r="ACJ20" s="64"/>
      <c r="ACK20" s="64"/>
      <c r="ACL20" s="64"/>
      <c r="ACM20" s="64"/>
      <c r="ACN20" s="64"/>
      <c r="ACO20" s="64"/>
      <c r="ACP20" s="64"/>
      <c r="ACQ20" s="64"/>
      <c r="ACR20" s="64"/>
      <c r="ACS20" s="64"/>
      <c r="ACT20" s="64"/>
      <c r="ACU20" s="64"/>
      <c r="ACV20" s="64"/>
      <c r="ACW20" s="64"/>
      <c r="ACX20" s="64"/>
      <c r="ACY20" s="64"/>
      <c r="ACZ20" s="64"/>
      <c r="ADA20" s="64"/>
      <c r="ADB20" s="64"/>
      <c r="ADC20" s="64"/>
      <c r="ADD20" s="64"/>
      <c r="ADE20" s="64"/>
      <c r="ADF20" s="64"/>
      <c r="ADG20" s="64"/>
      <c r="ADH20" s="64"/>
      <c r="ADI20" s="64"/>
      <c r="ADJ20" s="64"/>
      <c r="ADK20" s="64"/>
      <c r="ADL20" s="64"/>
      <c r="ADM20" s="64"/>
      <c r="ADN20" s="64"/>
      <c r="ADO20" s="64"/>
      <c r="ADP20" s="64"/>
      <c r="ADQ20" s="64"/>
      <c r="ADR20" s="64"/>
      <c r="ADS20" s="64"/>
      <c r="ADT20" s="64"/>
      <c r="ADU20" s="64"/>
      <c r="ADV20" s="64"/>
      <c r="ADW20" s="64"/>
      <c r="ADX20" s="64"/>
      <c r="ADY20" s="64"/>
      <c r="ADZ20" s="64"/>
      <c r="AEA20" s="64"/>
      <c r="AEB20" s="64"/>
      <c r="AEC20" s="64"/>
      <c r="AED20" s="64"/>
      <c r="AEE20" s="64"/>
      <c r="AEF20" s="64"/>
      <c r="AEG20" s="64"/>
      <c r="AEH20" s="64"/>
      <c r="AEI20" s="64"/>
      <c r="AEJ20" s="64"/>
      <c r="AEK20" s="64"/>
      <c r="AEL20" s="64"/>
      <c r="AEM20" s="64"/>
      <c r="AEN20" s="64"/>
      <c r="AEO20" s="64"/>
      <c r="AEP20" s="64"/>
      <c r="AEQ20" s="64"/>
      <c r="AER20" s="64"/>
      <c r="AES20" s="64"/>
      <c r="AET20" s="64"/>
      <c r="AEU20" s="64"/>
      <c r="AEV20" s="64"/>
      <c r="AEW20" s="64"/>
      <c r="AEX20" s="64"/>
      <c r="AEY20" s="64"/>
      <c r="AEZ20" s="64"/>
      <c r="AFA20" s="64"/>
      <c r="AFB20" s="64"/>
      <c r="AFC20" s="64"/>
      <c r="AFD20" s="64"/>
      <c r="AFE20" s="64"/>
      <c r="AFF20" s="64"/>
      <c r="AFG20" s="64"/>
      <c r="AFH20" s="64"/>
      <c r="AFI20" s="64"/>
      <c r="AFJ20" s="64"/>
      <c r="AFK20" s="64"/>
      <c r="AFL20" s="64"/>
      <c r="AFM20" s="64"/>
      <c r="AFN20" s="64"/>
      <c r="AFO20" s="64"/>
      <c r="AFP20" s="64"/>
      <c r="AFQ20" s="64"/>
      <c r="AFR20" s="64"/>
      <c r="AFS20" s="64"/>
      <c r="AFT20" s="64"/>
      <c r="AFU20" s="64"/>
      <c r="AFV20" s="64"/>
      <c r="AFW20" s="64"/>
      <c r="AFX20" s="64"/>
      <c r="AFY20" s="64"/>
      <c r="AFZ20" s="64"/>
      <c r="AGA20" s="64"/>
      <c r="AGB20" s="64"/>
      <c r="AGC20" s="64"/>
      <c r="AGD20" s="64"/>
      <c r="AGE20" s="64"/>
      <c r="AGF20" s="64"/>
      <c r="AGG20" s="64"/>
      <c r="AGH20" s="64"/>
      <c r="AGI20" s="64"/>
      <c r="AGJ20" s="64"/>
      <c r="AGK20" s="64"/>
      <c r="AGL20" s="64"/>
      <c r="AGM20" s="64"/>
      <c r="AGN20" s="64"/>
      <c r="AGO20" s="64"/>
      <c r="AGP20" s="64"/>
      <c r="AGQ20" s="64"/>
      <c r="AGR20" s="64"/>
      <c r="AGS20" s="64"/>
      <c r="AGT20" s="64"/>
      <c r="AGU20" s="64"/>
      <c r="AGV20" s="64"/>
      <c r="AGW20" s="64"/>
      <c r="AGX20" s="64"/>
      <c r="AGY20" s="64"/>
      <c r="AGZ20" s="64"/>
      <c r="AHA20" s="64"/>
      <c r="AHB20" s="64"/>
      <c r="AHC20" s="64"/>
      <c r="AHD20" s="64"/>
      <c r="AHE20" s="64"/>
      <c r="AHF20" s="64"/>
      <c r="AHG20" s="64"/>
      <c r="AHH20" s="64"/>
      <c r="AHI20" s="64"/>
      <c r="AHJ20" s="64"/>
      <c r="AHK20" s="64"/>
      <c r="AHL20" s="64"/>
      <c r="AHM20" s="64"/>
      <c r="AHN20" s="64"/>
      <c r="AHO20" s="64"/>
      <c r="AHP20" s="64"/>
      <c r="AHQ20" s="64"/>
      <c r="AHR20" s="64"/>
      <c r="AHS20" s="64"/>
      <c r="AHT20" s="64"/>
      <c r="AHU20" s="64"/>
      <c r="AHV20" s="64"/>
      <c r="AHW20" s="64"/>
      <c r="AHX20" s="64"/>
      <c r="AHY20" s="64"/>
      <c r="AHZ20" s="64"/>
      <c r="AIA20" s="64"/>
      <c r="AIB20" s="64"/>
      <c r="AIC20" s="64"/>
      <c r="AID20" s="64"/>
      <c r="AIE20" s="64"/>
      <c r="AIF20" s="64"/>
      <c r="AIG20" s="64"/>
      <c r="AIH20" s="64"/>
      <c r="AII20" s="64"/>
      <c r="AIJ20" s="64"/>
      <c r="AIK20" s="64"/>
      <c r="AIL20" s="64"/>
      <c r="AIM20" s="64"/>
      <c r="AIN20" s="64"/>
      <c r="AIO20" s="64"/>
      <c r="AIP20" s="64"/>
      <c r="AIQ20" s="64"/>
      <c r="AIR20" s="64"/>
      <c r="AIS20" s="64"/>
      <c r="AIT20" s="64"/>
      <c r="AIU20" s="64"/>
      <c r="AIV20" s="64"/>
      <c r="AIW20" s="64"/>
      <c r="AIX20" s="64"/>
      <c r="AIY20" s="64"/>
      <c r="AIZ20" s="64"/>
      <c r="AJA20" s="64"/>
      <c r="AJB20" s="64"/>
      <c r="AJC20" s="64"/>
      <c r="AJD20" s="64"/>
      <c r="AJE20" s="64"/>
      <c r="AJF20" s="64"/>
      <c r="AJG20" s="64"/>
      <c r="AJH20" s="64"/>
      <c r="AJI20" s="64"/>
      <c r="AJJ20" s="64"/>
      <c r="AJK20" s="64"/>
      <c r="AJL20" s="64"/>
      <c r="AJM20" s="64"/>
      <c r="AJN20" s="64"/>
      <c r="AJO20" s="64"/>
      <c r="AJP20" s="64"/>
      <c r="AJQ20" s="64"/>
      <c r="AJR20" s="64"/>
      <c r="AJS20" s="64"/>
      <c r="AJT20" s="64"/>
      <c r="AJU20" s="64"/>
      <c r="AJV20" s="64"/>
      <c r="AJW20" s="64"/>
      <c r="AJX20" s="64"/>
      <c r="AJY20" s="64"/>
      <c r="AJZ20" s="64"/>
      <c r="AKA20" s="64"/>
      <c r="AKB20" s="64"/>
      <c r="AKC20" s="64"/>
      <c r="AKD20" s="64"/>
      <c r="AKE20" s="64"/>
      <c r="AKF20" s="64"/>
      <c r="AKG20" s="64"/>
      <c r="AKH20" s="64"/>
      <c r="AKI20" s="64"/>
      <c r="AKJ20" s="64"/>
      <c r="AKK20" s="64"/>
      <c r="AKL20" s="64"/>
      <c r="AKM20" s="64"/>
      <c r="AKN20" s="64"/>
      <c r="AKO20" s="64"/>
      <c r="AKP20" s="64"/>
      <c r="AKQ20" s="64"/>
      <c r="AKR20" s="64"/>
      <c r="AKS20" s="64"/>
      <c r="AKT20" s="64"/>
      <c r="AKU20" s="64"/>
      <c r="AKV20" s="64"/>
      <c r="AKW20" s="64"/>
      <c r="AKX20" s="64"/>
      <c r="AKY20" s="64"/>
      <c r="AKZ20" s="64"/>
      <c r="ALA20" s="64"/>
      <c r="ALB20" s="64"/>
      <c r="ALC20" s="64"/>
      <c r="ALD20" s="64"/>
      <c r="ALE20" s="64"/>
      <c r="ALF20" s="64"/>
      <c r="ALG20" s="64"/>
      <c r="ALH20" s="64"/>
      <c r="ALI20" s="64"/>
      <c r="ALJ20" s="64"/>
      <c r="ALK20" s="64"/>
      <c r="ALL20" s="64"/>
      <c r="ALM20" s="64"/>
      <c r="ALN20" s="64"/>
      <c r="ALO20" s="64"/>
      <c r="ALP20" s="64"/>
      <c r="ALQ20" s="64"/>
      <c r="ALR20" s="64"/>
      <c r="ALS20" s="64"/>
      <c r="ALT20" s="64"/>
      <c r="ALU20" s="64"/>
      <c r="ALV20" s="64"/>
      <c r="ALW20" s="64"/>
      <c r="ALX20" s="64"/>
      <c r="ALY20" s="64"/>
      <c r="ALZ20" s="64"/>
      <c r="AMA20" s="64"/>
      <c r="AMB20" s="64"/>
      <c r="AMC20" s="64"/>
      <c r="AMD20" s="64"/>
      <c r="AME20" s="64"/>
      <c r="AMF20" s="64"/>
      <c r="AMG20" s="64"/>
      <c r="AMH20" s="64"/>
      <c r="AMI20" s="64"/>
      <c r="AMJ20" s="64"/>
      <c r="AMK20" s="64"/>
      <c r="AML20" s="64"/>
      <c r="AMM20" s="64"/>
      <c r="AMN20" s="64"/>
      <c r="AMO20" s="64"/>
      <c r="AMP20" s="64"/>
      <c r="AMQ20" s="64"/>
      <c r="AMR20" s="64"/>
      <c r="AMS20" s="64"/>
      <c r="AMT20" s="64"/>
      <c r="AMU20" s="64"/>
      <c r="AMV20" s="64"/>
      <c r="AMW20" s="64"/>
      <c r="AMX20" s="64"/>
      <c r="AMY20" s="64"/>
      <c r="AMZ20" s="64"/>
      <c r="ANA20" s="64"/>
      <c r="ANB20" s="64"/>
      <c r="ANC20" s="64"/>
      <c r="AND20" s="64"/>
      <c r="ANE20" s="64"/>
      <c r="ANF20" s="64"/>
      <c r="ANG20" s="64"/>
      <c r="ANH20" s="64"/>
      <c r="ANI20" s="64"/>
      <c r="ANJ20" s="64"/>
      <c r="ANK20" s="64"/>
      <c r="ANL20" s="64"/>
      <c r="ANM20" s="64"/>
      <c r="ANN20" s="64"/>
      <c r="ANO20" s="64"/>
      <c r="ANP20" s="64"/>
      <c r="ANQ20" s="64"/>
      <c r="ANR20" s="64"/>
      <c r="ANS20" s="64"/>
      <c r="ANT20" s="64"/>
      <c r="ANU20" s="64"/>
      <c r="ANV20" s="64"/>
      <c r="ANW20" s="64"/>
      <c r="ANX20" s="64"/>
      <c r="ANY20" s="64"/>
      <c r="ANZ20" s="64"/>
      <c r="AOA20" s="64"/>
      <c r="AOB20" s="64"/>
      <c r="AOC20" s="64"/>
      <c r="AOD20" s="64"/>
      <c r="AOE20" s="64"/>
      <c r="AOF20" s="64"/>
      <c r="AOG20" s="64"/>
      <c r="AOH20" s="64"/>
      <c r="AOI20" s="64"/>
      <c r="AOJ20" s="64"/>
      <c r="AOK20" s="64"/>
      <c r="AOL20" s="64"/>
      <c r="AOM20" s="64"/>
      <c r="AON20" s="64"/>
      <c r="AOO20" s="64"/>
      <c r="AOP20" s="64"/>
      <c r="AOQ20" s="64"/>
      <c r="AOR20" s="64"/>
      <c r="AOS20" s="64"/>
      <c r="AOT20" s="64"/>
      <c r="AOU20" s="64"/>
      <c r="AOV20" s="64"/>
      <c r="AOW20" s="64"/>
      <c r="AOX20" s="64"/>
      <c r="AOY20" s="64"/>
      <c r="AOZ20" s="64"/>
      <c r="APA20" s="64"/>
      <c r="APB20" s="64"/>
      <c r="APC20" s="64"/>
      <c r="APD20" s="64"/>
      <c r="APE20" s="64"/>
      <c r="APF20" s="64"/>
      <c r="APG20" s="64"/>
      <c r="APH20" s="64"/>
      <c r="API20" s="64"/>
      <c r="APJ20" s="64"/>
      <c r="APK20" s="64"/>
      <c r="APL20" s="64"/>
      <c r="APM20" s="64"/>
      <c r="APN20" s="64"/>
      <c r="APO20" s="64"/>
      <c r="APP20" s="64"/>
      <c r="APQ20" s="64"/>
      <c r="APR20" s="64"/>
      <c r="APS20" s="64"/>
      <c r="APT20" s="64"/>
      <c r="APU20" s="64"/>
      <c r="APV20" s="64"/>
      <c r="APW20" s="64"/>
      <c r="APX20" s="64"/>
      <c r="APY20" s="64"/>
      <c r="APZ20" s="64"/>
      <c r="AQA20" s="64"/>
      <c r="AQB20" s="64"/>
      <c r="AQC20" s="64"/>
      <c r="AQD20" s="64"/>
      <c r="AQE20" s="64"/>
      <c r="AQF20" s="64"/>
      <c r="AQG20" s="64"/>
      <c r="AQH20" s="64"/>
      <c r="AQI20" s="64"/>
      <c r="AQJ20" s="64"/>
      <c r="AQK20" s="64"/>
      <c r="AQL20" s="64"/>
      <c r="AQM20" s="64"/>
      <c r="AQN20" s="64"/>
      <c r="AQO20" s="64"/>
      <c r="AQP20" s="64"/>
      <c r="AQQ20" s="64"/>
      <c r="AQR20" s="64"/>
      <c r="AQS20" s="64"/>
      <c r="AQT20" s="64"/>
      <c r="AQU20" s="64"/>
      <c r="AQV20" s="64"/>
      <c r="AQW20" s="64"/>
      <c r="AQX20" s="64"/>
      <c r="AQY20" s="64"/>
      <c r="AQZ20" s="64"/>
      <c r="ARA20" s="64"/>
      <c r="ARB20" s="64"/>
      <c r="ARC20" s="64"/>
      <c r="ARD20" s="64"/>
      <c r="ARE20" s="64"/>
      <c r="ARF20" s="64"/>
      <c r="ARG20" s="64"/>
      <c r="ARH20" s="64"/>
      <c r="ARI20" s="64"/>
      <c r="ARJ20" s="64"/>
      <c r="ARK20" s="64"/>
      <c r="ARL20" s="64"/>
      <c r="ARM20" s="64"/>
      <c r="ARN20" s="64"/>
      <c r="ARO20" s="64"/>
      <c r="ARP20" s="64"/>
      <c r="ARQ20" s="64"/>
      <c r="ARR20" s="64"/>
      <c r="ARS20" s="64"/>
      <c r="ART20" s="64"/>
      <c r="ARU20" s="64"/>
      <c r="ARV20" s="64"/>
      <c r="ARW20" s="64"/>
      <c r="ARX20" s="64"/>
      <c r="ARY20" s="64"/>
      <c r="ARZ20" s="64"/>
      <c r="ASA20" s="64"/>
      <c r="ASB20" s="64"/>
      <c r="ASC20" s="64"/>
      <c r="ASD20" s="64"/>
      <c r="ASE20" s="64"/>
      <c r="ASF20" s="64"/>
      <c r="ASG20" s="64"/>
      <c r="ASH20" s="64"/>
      <c r="ASI20" s="64"/>
      <c r="ASJ20" s="64"/>
      <c r="ASK20" s="64"/>
      <c r="ASL20" s="64"/>
      <c r="ASM20" s="64"/>
      <c r="ASN20" s="64"/>
      <c r="ASO20" s="64"/>
      <c r="ASP20" s="64"/>
      <c r="ASQ20" s="64"/>
      <c r="ASR20" s="64"/>
      <c r="ASS20" s="64"/>
      <c r="AST20" s="64"/>
      <c r="ASU20" s="64"/>
      <c r="ASV20" s="64"/>
      <c r="ASW20" s="64"/>
      <c r="ASX20" s="64"/>
      <c r="ASY20" s="64"/>
      <c r="ASZ20" s="64"/>
      <c r="ATA20" s="64"/>
      <c r="ATB20" s="64"/>
      <c r="ATC20" s="64"/>
      <c r="ATD20" s="64"/>
      <c r="ATE20" s="64"/>
      <c r="ATF20" s="64"/>
      <c r="ATG20" s="64"/>
      <c r="ATH20" s="64"/>
      <c r="ATI20" s="64"/>
      <c r="ATJ20" s="64"/>
      <c r="ATK20" s="64"/>
      <c r="ATL20" s="64"/>
      <c r="ATM20" s="64"/>
      <c r="ATN20" s="64"/>
      <c r="ATO20" s="64"/>
      <c r="ATP20" s="64"/>
      <c r="ATQ20" s="64"/>
      <c r="ATR20" s="64"/>
      <c r="ATS20" s="64"/>
      <c r="ATT20" s="64"/>
      <c r="ATU20" s="64"/>
      <c r="ATV20" s="64"/>
      <c r="ATW20" s="64"/>
      <c r="ATX20" s="64"/>
      <c r="ATY20" s="64"/>
      <c r="ATZ20" s="64"/>
      <c r="AUA20" s="64"/>
      <c r="AUB20" s="64"/>
      <c r="AUC20" s="64"/>
      <c r="AUD20" s="64"/>
      <c r="AUE20" s="64"/>
      <c r="AUF20" s="64"/>
      <c r="AUG20" s="64"/>
      <c r="AUH20" s="64"/>
      <c r="AUI20" s="64"/>
      <c r="AUJ20" s="64"/>
      <c r="AUK20" s="64"/>
      <c r="AUL20" s="64"/>
      <c r="AUM20" s="64"/>
      <c r="AUN20" s="64"/>
      <c r="AUO20" s="64"/>
      <c r="AUP20" s="64"/>
      <c r="AUQ20" s="64"/>
      <c r="AUR20" s="64"/>
      <c r="AUS20" s="64"/>
      <c r="AUT20" s="64"/>
      <c r="AUU20" s="64"/>
      <c r="AUV20" s="64"/>
      <c r="AUW20" s="64"/>
      <c r="AUX20" s="64"/>
      <c r="AUY20" s="64"/>
      <c r="AUZ20" s="64"/>
      <c r="AVA20" s="64"/>
      <c r="AVB20" s="64"/>
      <c r="AVC20" s="64"/>
      <c r="AVD20" s="64"/>
      <c r="AVE20" s="64"/>
      <c r="AVF20" s="64"/>
      <c r="AVG20" s="64"/>
      <c r="AVH20" s="64"/>
      <c r="AVI20" s="64"/>
      <c r="AVJ20" s="64"/>
      <c r="AVK20" s="64"/>
      <c r="AVL20" s="64"/>
      <c r="AVM20" s="64"/>
      <c r="AVN20" s="64"/>
      <c r="AVO20" s="64"/>
      <c r="AVP20" s="64"/>
      <c r="AVQ20" s="64"/>
      <c r="AVR20" s="64"/>
      <c r="AVS20" s="64"/>
      <c r="AVT20" s="64"/>
      <c r="AVU20" s="64"/>
      <c r="AVV20" s="64"/>
      <c r="AVW20" s="64"/>
      <c r="AVX20" s="64"/>
      <c r="AVY20" s="64"/>
      <c r="AVZ20" s="64"/>
      <c r="AWA20" s="64"/>
      <c r="AWB20" s="64"/>
      <c r="AWC20" s="64"/>
      <c r="AWD20" s="64"/>
      <c r="AWE20" s="64"/>
      <c r="AWF20" s="64"/>
      <c r="AWG20" s="64"/>
      <c r="AWH20" s="64"/>
      <c r="AWI20" s="64"/>
      <c r="AWJ20" s="64"/>
      <c r="AWK20" s="64"/>
      <c r="AWL20" s="64"/>
      <c r="AWM20" s="64"/>
      <c r="AWN20" s="64"/>
      <c r="AWO20" s="64"/>
      <c r="AWP20" s="64"/>
      <c r="AWQ20" s="64"/>
      <c r="AWR20" s="64"/>
      <c r="AWS20" s="64"/>
      <c r="AWT20" s="64"/>
      <c r="AWU20" s="64"/>
      <c r="AWV20" s="64"/>
      <c r="AWW20" s="64"/>
      <c r="AWX20" s="64"/>
      <c r="AWY20" s="64"/>
      <c r="AWZ20" s="64"/>
      <c r="AXA20" s="64"/>
      <c r="AXB20" s="64"/>
      <c r="AXC20" s="64"/>
      <c r="AXD20" s="64"/>
      <c r="AXE20" s="64"/>
      <c r="AXF20" s="64"/>
      <c r="AXG20" s="64"/>
      <c r="AXH20" s="64"/>
      <c r="AXI20" s="64"/>
      <c r="AXJ20" s="64"/>
      <c r="AXK20" s="64"/>
      <c r="AXL20" s="64"/>
      <c r="AXM20" s="64"/>
      <c r="AXN20" s="64"/>
      <c r="AXO20" s="64"/>
      <c r="AXP20" s="64"/>
      <c r="AXQ20" s="64"/>
      <c r="AXR20" s="64"/>
      <c r="AXS20" s="64"/>
      <c r="AXT20" s="64"/>
      <c r="AXU20" s="64"/>
      <c r="AXV20" s="64"/>
      <c r="AXW20" s="64"/>
      <c r="AXX20" s="64"/>
      <c r="AXY20" s="64"/>
      <c r="AXZ20" s="64"/>
      <c r="AYA20" s="64"/>
      <c r="AYB20" s="64"/>
      <c r="AYC20" s="64"/>
      <c r="AYD20" s="64"/>
      <c r="AYE20" s="64"/>
      <c r="AYF20" s="64"/>
      <c r="AYG20" s="64"/>
      <c r="AYH20" s="64"/>
      <c r="AYI20" s="64"/>
      <c r="AYJ20" s="64"/>
      <c r="AYK20" s="64"/>
      <c r="AYL20" s="64"/>
      <c r="AYM20" s="64"/>
      <c r="AYN20" s="64"/>
      <c r="AYO20" s="64"/>
      <c r="AYP20" s="64"/>
      <c r="AYQ20" s="64"/>
      <c r="AYR20" s="64"/>
      <c r="AYS20" s="64"/>
      <c r="AYT20" s="64"/>
      <c r="AYU20" s="64"/>
      <c r="AYV20" s="64"/>
      <c r="AYW20" s="64"/>
      <c r="AYX20" s="64"/>
      <c r="AYY20" s="64"/>
      <c r="AYZ20" s="64"/>
      <c r="AZA20" s="64"/>
      <c r="AZB20" s="64"/>
      <c r="AZC20" s="64"/>
      <c r="AZD20" s="64"/>
      <c r="AZE20" s="64"/>
      <c r="AZF20" s="64"/>
      <c r="AZG20" s="64"/>
      <c r="AZH20" s="64"/>
      <c r="AZI20" s="64"/>
      <c r="AZJ20" s="64"/>
      <c r="AZK20" s="64"/>
      <c r="AZL20" s="64"/>
      <c r="AZM20" s="64"/>
      <c r="AZN20" s="64"/>
      <c r="AZO20" s="64"/>
      <c r="AZP20" s="64"/>
      <c r="AZQ20" s="64"/>
      <c r="AZR20" s="64"/>
      <c r="AZS20" s="64"/>
      <c r="AZT20" s="64"/>
      <c r="AZU20" s="64"/>
      <c r="AZV20" s="64"/>
      <c r="AZW20" s="64"/>
      <c r="AZX20" s="64"/>
      <c r="AZY20" s="64"/>
      <c r="AZZ20" s="64"/>
      <c r="BAA20" s="64"/>
      <c r="BAB20" s="64"/>
      <c r="BAC20" s="64"/>
      <c r="BAD20" s="64"/>
      <c r="BAE20" s="64"/>
      <c r="BAF20" s="64"/>
      <c r="BAG20" s="64"/>
      <c r="BAH20" s="64"/>
      <c r="BAI20" s="64"/>
      <c r="BAJ20" s="64"/>
      <c r="BAK20" s="64"/>
      <c r="BAL20" s="64"/>
      <c r="BAM20" s="64"/>
      <c r="BAN20" s="64"/>
      <c r="BAO20" s="64"/>
      <c r="BAP20" s="64"/>
      <c r="BAQ20" s="64"/>
      <c r="BAR20" s="64"/>
      <c r="BAS20" s="64"/>
      <c r="BAT20" s="64"/>
      <c r="BAU20" s="64"/>
      <c r="BAV20" s="64"/>
      <c r="BAW20" s="64"/>
      <c r="BAX20" s="64"/>
      <c r="BAY20" s="64"/>
      <c r="BAZ20" s="64"/>
      <c r="BBA20" s="64"/>
      <c r="BBB20" s="64"/>
      <c r="BBC20" s="64"/>
      <c r="BBD20" s="64"/>
      <c r="BBE20" s="64"/>
      <c r="BBF20" s="64"/>
      <c r="BBG20" s="64"/>
      <c r="BBH20" s="64"/>
      <c r="BBI20" s="64"/>
      <c r="BBJ20" s="64"/>
      <c r="BBK20" s="64"/>
      <c r="BBL20" s="64"/>
      <c r="BBM20" s="64"/>
      <c r="BBN20" s="64"/>
      <c r="BBO20" s="64"/>
      <c r="BBP20" s="64"/>
      <c r="BBQ20" s="64"/>
      <c r="BBR20" s="64"/>
      <c r="BBS20" s="64"/>
      <c r="BBT20" s="64"/>
      <c r="BBU20" s="64"/>
      <c r="BBV20" s="64"/>
      <c r="BBW20" s="64"/>
      <c r="BBX20" s="64"/>
      <c r="BBY20" s="64"/>
      <c r="BBZ20" s="64"/>
      <c r="BCA20" s="64"/>
      <c r="BCB20" s="64"/>
      <c r="BCC20" s="64"/>
      <c r="BCD20" s="64"/>
      <c r="BCE20" s="64"/>
      <c r="BCF20" s="64"/>
      <c r="BCG20" s="64"/>
      <c r="BCH20" s="64"/>
      <c r="BCI20" s="64"/>
      <c r="BCJ20" s="64"/>
      <c r="BCK20" s="64"/>
      <c r="BCL20" s="64"/>
      <c r="BCM20" s="64"/>
      <c r="BCN20" s="64"/>
      <c r="BCO20" s="64"/>
      <c r="BCP20" s="64"/>
      <c r="BCQ20" s="64"/>
      <c r="BCR20" s="64"/>
      <c r="BCS20" s="64"/>
      <c r="BCT20" s="64"/>
      <c r="BCU20" s="64"/>
      <c r="BCV20" s="64"/>
      <c r="BCW20" s="64"/>
      <c r="BCX20" s="64"/>
      <c r="BCY20" s="64"/>
      <c r="BCZ20" s="64"/>
      <c r="BDA20" s="64"/>
      <c r="BDB20" s="64"/>
      <c r="BDC20" s="64"/>
      <c r="BDD20" s="64"/>
      <c r="BDE20" s="64"/>
      <c r="BDF20" s="64"/>
      <c r="BDG20" s="64"/>
      <c r="BDH20" s="64"/>
      <c r="BDI20" s="64"/>
      <c r="BDJ20" s="64"/>
      <c r="BDK20" s="64"/>
      <c r="BDL20" s="64"/>
      <c r="BDM20" s="64"/>
      <c r="BDN20" s="64"/>
      <c r="BDO20" s="64"/>
      <c r="BDP20" s="64"/>
      <c r="BDQ20" s="64"/>
      <c r="BDR20" s="64"/>
      <c r="BDS20" s="64"/>
      <c r="BDT20" s="64"/>
      <c r="BDU20" s="64"/>
      <c r="BDV20" s="64"/>
      <c r="BDW20" s="64"/>
      <c r="BDX20" s="64"/>
      <c r="BDY20" s="64"/>
      <c r="BDZ20" s="64"/>
      <c r="BEA20" s="64"/>
      <c r="BEB20" s="64"/>
      <c r="BEC20" s="64"/>
      <c r="BED20" s="64"/>
      <c r="BEE20" s="64"/>
      <c r="BEF20" s="64"/>
      <c r="BEG20" s="64"/>
      <c r="BEH20" s="64"/>
      <c r="BEI20" s="64"/>
      <c r="BEJ20" s="64"/>
      <c r="BEK20" s="64"/>
      <c r="BEL20" s="64"/>
      <c r="BEM20" s="64"/>
      <c r="BEN20" s="64"/>
      <c r="BEO20" s="64"/>
      <c r="BEP20" s="64"/>
      <c r="BEQ20" s="64"/>
      <c r="BER20" s="64"/>
      <c r="BES20" s="64"/>
      <c r="BET20" s="64"/>
      <c r="BEU20" s="64"/>
      <c r="BEV20" s="64"/>
      <c r="BEW20" s="64"/>
      <c r="BEX20" s="64"/>
      <c r="BEY20" s="64"/>
      <c r="BEZ20" s="64"/>
      <c r="BFA20" s="64"/>
      <c r="BFB20" s="64"/>
      <c r="BFC20" s="64"/>
      <c r="BFD20" s="64"/>
      <c r="BFE20" s="64"/>
      <c r="BFF20" s="64"/>
      <c r="BFG20" s="64"/>
      <c r="BFH20" s="64"/>
      <c r="BFI20" s="64"/>
      <c r="BFJ20" s="64"/>
      <c r="BFK20" s="64"/>
      <c r="BFL20" s="64"/>
      <c r="BFM20" s="64"/>
      <c r="BFN20" s="64"/>
      <c r="BFO20" s="64"/>
      <c r="BFP20" s="64"/>
      <c r="BFQ20" s="64"/>
      <c r="BFR20" s="64"/>
      <c r="BFS20" s="64"/>
      <c r="BFT20" s="64"/>
      <c r="BFU20" s="64"/>
      <c r="BFV20" s="64"/>
      <c r="BFW20" s="64"/>
      <c r="BFX20" s="64"/>
      <c r="BFY20" s="64"/>
      <c r="BFZ20" s="64"/>
      <c r="BGA20" s="64"/>
      <c r="BGB20" s="64"/>
      <c r="BGC20" s="64"/>
      <c r="BGD20" s="64"/>
      <c r="BGE20" s="64"/>
      <c r="BGF20" s="64"/>
      <c r="BGG20" s="64"/>
      <c r="BGH20" s="64"/>
      <c r="BGI20" s="64"/>
      <c r="BGJ20" s="64"/>
      <c r="BGK20" s="64"/>
      <c r="BGL20" s="64"/>
      <c r="BGM20" s="64"/>
      <c r="BGN20" s="64"/>
      <c r="BGO20" s="64"/>
      <c r="BGP20" s="64"/>
      <c r="BGQ20" s="64"/>
      <c r="BGR20" s="64"/>
      <c r="BGS20" s="64"/>
      <c r="BGT20" s="64"/>
      <c r="BGU20" s="64"/>
      <c r="BGV20" s="64"/>
      <c r="BGW20" s="64"/>
      <c r="BGX20" s="64"/>
      <c r="BGY20" s="64"/>
      <c r="BGZ20" s="64"/>
      <c r="BHA20" s="64"/>
      <c r="BHB20" s="64"/>
      <c r="BHC20" s="64"/>
      <c r="BHD20" s="64"/>
      <c r="BHE20" s="64"/>
      <c r="BHF20" s="64"/>
      <c r="BHG20" s="64"/>
      <c r="BHH20" s="64"/>
      <c r="BHI20" s="64"/>
      <c r="BHJ20" s="64"/>
      <c r="BHK20" s="64"/>
      <c r="BHL20" s="64"/>
      <c r="BHM20" s="64"/>
      <c r="BHN20" s="64"/>
      <c r="BHO20" s="64"/>
      <c r="BHP20" s="64"/>
      <c r="BHQ20" s="64"/>
      <c r="BHR20" s="64"/>
      <c r="BHS20" s="64"/>
      <c r="BHT20" s="64"/>
      <c r="BHU20" s="64"/>
      <c r="BHV20" s="64"/>
      <c r="BHW20" s="64"/>
      <c r="BHX20" s="64"/>
      <c r="BHY20" s="64"/>
      <c r="BHZ20" s="64"/>
      <c r="BIA20" s="64"/>
      <c r="BIB20" s="64"/>
      <c r="BIC20" s="64"/>
      <c r="BID20" s="64"/>
      <c r="BIE20" s="64"/>
      <c r="BIF20" s="64"/>
      <c r="BIG20" s="64"/>
      <c r="BIH20" s="64"/>
      <c r="BII20" s="64"/>
      <c r="BIJ20" s="64"/>
      <c r="BIK20" s="64"/>
      <c r="BIL20" s="64"/>
      <c r="BIM20" s="64"/>
      <c r="BIN20" s="64"/>
      <c r="BIO20" s="64"/>
      <c r="BIP20" s="64"/>
      <c r="BIQ20" s="64"/>
      <c r="BIR20" s="64"/>
      <c r="BIS20" s="64"/>
      <c r="BIT20" s="64"/>
      <c r="BIU20" s="64"/>
      <c r="BIV20" s="64"/>
      <c r="BIW20" s="64"/>
      <c r="BIX20" s="64"/>
      <c r="BIY20" s="64"/>
      <c r="BIZ20" s="64"/>
      <c r="BJA20" s="64"/>
      <c r="BJB20" s="64"/>
      <c r="BJC20" s="64"/>
      <c r="BJD20" s="64"/>
      <c r="BJE20" s="64"/>
      <c r="BJF20" s="64"/>
      <c r="BJG20" s="64"/>
      <c r="BJH20" s="64"/>
      <c r="BJI20" s="64"/>
      <c r="BJJ20" s="64"/>
      <c r="BJK20" s="64"/>
      <c r="BJL20" s="64"/>
      <c r="BJM20" s="64"/>
      <c r="BJN20" s="64"/>
      <c r="BJO20" s="64"/>
      <c r="BJP20" s="64"/>
      <c r="BJQ20" s="64"/>
      <c r="BJR20" s="64"/>
      <c r="BJS20" s="64"/>
      <c r="BJT20" s="64"/>
      <c r="BJU20" s="64"/>
      <c r="BJV20" s="64"/>
      <c r="BJW20" s="64"/>
      <c r="BJX20" s="64"/>
      <c r="BJY20" s="64"/>
      <c r="BJZ20" s="64"/>
      <c r="BKA20" s="64"/>
      <c r="BKB20" s="64"/>
      <c r="BKC20" s="64"/>
      <c r="BKD20" s="64"/>
      <c r="BKE20" s="64"/>
      <c r="BKF20" s="64"/>
      <c r="BKG20" s="64"/>
      <c r="BKH20" s="64"/>
      <c r="BKI20" s="64"/>
      <c r="BKJ20" s="64"/>
      <c r="BKK20" s="64"/>
      <c r="BKL20" s="64"/>
      <c r="BKM20" s="64"/>
      <c r="BKN20" s="64"/>
      <c r="BKO20" s="64"/>
      <c r="BKP20" s="64"/>
      <c r="BKQ20" s="64"/>
      <c r="BKR20" s="64"/>
      <c r="BKS20" s="64"/>
      <c r="BKT20" s="64"/>
      <c r="BKU20" s="64"/>
      <c r="BKV20" s="64"/>
      <c r="BKW20" s="64"/>
      <c r="BKX20" s="64"/>
      <c r="BKY20" s="64"/>
      <c r="BKZ20" s="64"/>
      <c r="BLA20" s="64"/>
      <c r="BLB20" s="64"/>
      <c r="BLC20" s="64"/>
      <c r="BLD20" s="64"/>
      <c r="BLE20" s="64"/>
      <c r="BLF20" s="64"/>
      <c r="BLG20" s="64"/>
      <c r="BLH20" s="64"/>
      <c r="BLI20" s="64"/>
      <c r="BLJ20" s="64"/>
      <c r="BLK20" s="64"/>
      <c r="BLL20" s="64"/>
      <c r="BLM20" s="64"/>
      <c r="BLN20" s="64"/>
      <c r="BLO20" s="64"/>
      <c r="BLP20" s="64"/>
      <c r="BLQ20" s="64"/>
      <c r="BLR20" s="64"/>
      <c r="BLS20" s="64"/>
      <c r="BLT20" s="64"/>
      <c r="BLU20" s="64"/>
      <c r="BLV20" s="64"/>
      <c r="BLW20" s="64"/>
      <c r="BLX20" s="64"/>
      <c r="BLY20" s="64"/>
      <c r="BLZ20" s="64"/>
      <c r="BMA20" s="64"/>
      <c r="BMB20" s="64"/>
      <c r="BMC20" s="64"/>
      <c r="BMD20" s="64"/>
      <c r="BME20" s="64"/>
      <c r="BMF20" s="64"/>
      <c r="BMG20" s="64"/>
      <c r="BMH20" s="64"/>
      <c r="BMI20" s="64"/>
      <c r="BMJ20" s="64"/>
      <c r="BMK20" s="64"/>
      <c r="BML20" s="64"/>
      <c r="BMM20" s="64"/>
      <c r="BMN20" s="64"/>
      <c r="BMO20" s="64"/>
      <c r="BMP20" s="64"/>
      <c r="BMQ20" s="64"/>
      <c r="BMR20" s="64"/>
      <c r="BMS20" s="64"/>
      <c r="BMT20" s="64"/>
      <c r="BMU20" s="64"/>
      <c r="BMV20" s="64"/>
      <c r="BMW20" s="64"/>
      <c r="BMX20" s="64"/>
      <c r="BMY20" s="64"/>
      <c r="BMZ20" s="64"/>
      <c r="BNA20" s="64"/>
      <c r="BNB20" s="64"/>
      <c r="BNC20" s="64"/>
      <c r="BND20" s="64"/>
      <c r="BNE20" s="64"/>
      <c r="BNF20" s="64"/>
      <c r="BNG20" s="64"/>
      <c r="BNH20" s="64"/>
      <c r="BNI20" s="64"/>
      <c r="BNJ20" s="64"/>
      <c r="BNK20" s="64"/>
      <c r="BNL20" s="64"/>
      <c r="BNM20" s="64"/>
      <c r="BNN20" s="64"/>
      <c r="BNO20" s="64"/>
      <c r="BNP20" s="64"/>
      <c r="BNQ20" s="64"/>
      <c r="BNR20" s="64"/>
      <c r="BNS20" s="64"/>
      <c r="BNT20" s="64"/>
      <c r="BNU20" s="64"/>
      <c r="BNV20" s="64"/>
      <c r="BNW20" s="64"/>
      <c r="BNX20" s="64"/>
      <c r="BNY20" s="64"/>
      <c r="BNZ20" s="64"/>
      <c r="BOA20" s="64"/>
      <c r="BOB20" s="64"/>
      <c r="BOC20" s="64"/>
      <c r="BOD20" s="64"/>
      <c r="BOE20" s="64"/>
      <c r="BOF20" s="64"/>
      <c r="BOG20" s="64"/>
      <c r="BOH20" s="64"/>
      <c r="BOI20" s="64"/>
      <c r="BOJ20" s="64"/>
      <c r="BOK20" s="64"/>
      <c r="BOL20" s="64"/>
      <c r="BOM20" s="64"/>
      <c r="BON20" s="64"/>
      <c r="BOO20" s="64"/>
      <c r="BOP20" s="64"/>
      <c r="BOQ20" s="64"/>
      <c r="BOR20" s="64"/>
      <c r="BOS20" s="64"/>
      <c r="BOT20" s="64"/>
      <c r="BOU20" s="64"/>
      <c r="BOV20" s="64"/>
      <c r="BOW20" s="64"/>
      <c r="BOX20" s="64"/>
      <c r="BOY20" s="64"/>
      <c r="BOZ20" s="64"/>
      <c r="BPA20" s="64"/>
      <c r="BPB20" s="64"/>
      <c r="BPC20" s="64"/>
      <c r="BPD20" s="64"/>
      <c r="BPE20" s="64"/>
      <c r="BPF20" s="64"/>
      <c r="BPG20" s="64"/>
      <c r="BPH20" s="64"/>
      <c r="BPI20" s="64"/>
      <c r="BPJ20" s="64"/>
      <c r="BPK20" s="64"/>
      <c r="BPL20" s="64"/>
      <c r="BPM20" s="64"/>
      <c r="BPN20" s="64"/>
      <c r="BPO20" s="64"/>
      <c r="BPP20" s="64"/>
      <c r="BPQ20" s="64"/>
      <c r="BPR20" s="64"/>
      <c r="BPS20" s="64"/>
      <c r="BPT20" s="64"/>
      <c r="BPU20" s="64"/>
      <c r="BPV20" s="64"/>
      <c r="BPW20" s="64"/>
      <c r="BPX20" s="64"/>
      <c r="BPY20" s="64"/>
      <c r="BPZ20" s="64"/>
      <c r="BQA20" s="64"/>
      <c r="BQB20" s="64"/>
      <c r="BQC20" s="64"/>
      <c r="BQD20" s="64"/>
      <c r="BQE20" s="64"/>
      <c r="BQF20" s="64"/>
      <c r="BQG20" s="64"/>
      <c r="BQH20" s="64"/>
      <c r="BQI20" s="64"/>
      <c r="BQJ20" s="64"/>
      <c r="BQK20" s="64"/>
      <c r="BQL20" s="64"/>
      <c r="BQM20" s="64"/>
      <c r="BQN20" s="64"/>
      <c r="BQO20" s="64"/>
      <c r="BQP20" s="64"/>
      <c r="BQQ20" s="64"/>
      <c r="BQR20" s="64"/>
      <c r="BQS20" s="64"/>
      <c r="BQT20" s="64"/>
      <c r="BQU20" s="64"/>
      <c r="BQV20" s="64"/>
      <c r="BQW20" s="64"/>
      <c r="BQX20" s="64"/>
      <c r="BQY20" s="64"/>
      <c r="BQZ20" s="64"/>
      <c r="BRA20" s="64"/>
      <c r="BRB20" s="64"/>
      <c r="BRC20" s="64"/>
      <c r="BRD20" s="64"/>
      <c r="BRE20" s="64"/>
      <c r="BRF20" s="64"/>
      <c r="BRG20" s="64"/>
      <c r="BRH20" s="64"/>
      <c r="BRI20" s="64"/>
      <c r="BRJ20" s="64"/>
      <c r="BRK20" s="64"/>
      <c r="BRL20" s="64"/>
      <c r="BRM20" s="64"/>
      <c r="BRN20" s="64"/>
      <c r="BRO20" s="64"/>
      <c r="BRP20" s="64"/>
      <c r="BRQ20" s="64"/>
      <c r="BRR20" s="64"/>
      <c r="BRS20" s="64"/>
      <c r="BRT20" s="64"/>
      <c r="BRU20" s="64"/>
      <c r="BRV20" s="64"/>
      <c r="BRW20" s="64"/>
      <c r="BRX20" s="64"/>
      <c r="BRY20" s="64"/>
      <c r="BRZ20" s="64"/>
      <c r="BSA20" s="64"/>
      <c r="BSB20" s="64"/>
      <c r="BSC20" s="64"/>
      <c r="BSD20" s="64"/>
      <c r="BSE20" s="64"/>
      <c r="BSF20" s="64"/>
      <c r="BSG20" s="64"/>
      <c r="BSH20" s="64"/>
      <c r="BSI20" s="64"/>
      <c r="BSJ20" s="64"/>
      <c r="BSK20" s="64"/>
      <c r="BSL20" s="64"/>
      <c r="BSM20" s="64"/>
      <c r="BSN20" s="64"/>
      <c r="BSO20" s="64"/>
      <c r="BSP20" s="64"/>
      <c r="BSQ20" s="64"/>
      <c r="BSR20" s="64"/>
      <c r="BSS20" s="64"/>
      <c r="BST20" s="64"/>
      <c r="BSU20" s="64"/>
      <c r="BSV20" s="64"/>
      <c r="BSW20" s="64"/>
      <c r="BSX20" s="64"/>
      <c r="BSY20" s="64"/>
      <c r="BSZ20" s="64"/>
      <c r="BTA20" s="64"/>
      <c r="BTB20" s="64"/>
      <c r="BTC20" s="64"/>
      <c r="BTD20" s="64"/>
      <c r="BTE20" s="64"/>
      <c r="BTF20" s="64"/>
      <c r="BTG20" s="64"/>
      <c r="BTH20" s="64"/>
      <c r="BTI20" s="64"/>
      <c r="BTJ20" s="64"/>
      <c r="BTK20" s="64"/>
      <c r="BTL20" s="64"/>
      <c r="BTM20" s="64"/>
      <c r="BTN20" s="64"/>
      <c r="BTO20" s="64"/>
      <c r="BTP20" s="64"/>
      <c r="BTQ20" s="64"/>
      <c r="BTR20" s="64"/>
      <c r="BTS20" s="64"/>
      <c r="BTT20" s="64"/>
      <c r="BTU20" s="64"/>
      <c r="BTV20" s="64"/>
      <c r="BTW20" s="64"/>
      <c r="BTX20" s="64"/>
      <c r="BTY20" s="64"/>
      <c r="BTZ20" s="64"/>
      <c r="BUA20" s="64"/>
      <c r="BUB20" s="64"/>
      <c r="BUC20" s="64"/>
      <c r="BUD20" s="64"/>
      <c r="BUE20" s="64"/>
      <c r="BUF20" s="64"/>
      <c r="BUG20" s="64"/>
      <c r="BUH20" s="64"/>
      <c r="BUI20" s="64"/>
      <c r="BUJ20" s="64"/>
      <c r="BUK20" s="64"/>
      <c r="BUL20" s="64"/>
      <c r="BUM20" s="64"/>
      <c r="BUN20" s="64"/>
      <c r="BUO20" s="64"/>
      <c r="BUP20" s="64"/>
      <c r="BUQ20" s="64"/>
      <c r="BUR20" s="64"/>
      <c r="BUS20" s="64"/>
      <c r="BUT20" s="64"/>
      <c r="BUU20" s="64"/>
      <c r="BUV20" s="64"/>
      <c r="BUW20" s="64"/>
      <c r="BUX20" s="64"/>
      <c r="BUY20" s="64"/>
      <c r="BUZ20" s="64"/>
      <c r="BVA20" s="64"/>
      <c r="BVB20" s="64"/>
      <c r="BVC20" s="64"/>
      <c r="BVD20" s="64"/>
      <c r="BVE20" s="64"/>
      <c r="BVF20" s="64"/>
      <c r="BVG20" s="64"/>
      <c r="BVH20" s="64"/>
      <c r="BVI20" s="64"/>
      <c r="BVJ20" s="64"/>
      <c r="BVK20" s="64"/>
      <c r="BVL20" s="64"/>
      <c r="BVM20" s="64"/>
      <c r="BVN20" s="64"/>
      <c r="BVO20" s="64"/>
      <c r="BVP20" s="64"/>
      <c r="BVQ20" s="64"/>
      <c r="BVR20" s="64"/>
      <c r="BVS20" s="64"/>
      <c r="BVT20" s="64"/>
      <c r="BVU20" s="64"/>
      <c r="BVV20" s="64"/>
      <c r="BVW20" s="64"/>
      <c r="BVX20" s="64"/>
      <c r="BVY20" s="64"/>
      <c r="BVZ20" s="64"/>
      <c r="BWA20" s="64"/>
      <c r="BWB20" s="64"/>
      <c r="BWC20" s="64"/>
      <c r="BWD20" s="64"/>
      <c r="BWE20" s="64"/>
      <c r="BWF20" s="64"/>
      <c r="BWG20" s="64"/>
      <c r="BWH20" s="64"/>
      <c r="BWI20" s="64"/>
      <c r="BWJ20" s="64"/>
      <c r="BWK20" s="64"/>
      <c r="BWL20" s="64"/>
      <c r="BWM20" s="64"/>
      <c r="BWN20" s="64"/>
      <c r="BWO20" s="64"/>
      <c r="BWP20" s="64"/>
      <c r="BWQ20" s="64"/>
      <c r="BWR20" s="64"/>
      <c r="BWS20" s="64"/>
      <c r="BWT20" s="64"/>
      <c r="BWU20" s="64"/>
      <c r="BWV20" s="64"/>
      <c r="BWW20" s="64"/>
      <c r="BWX20" s="64"/>
      <c r="BWY20" s="64"/>
      <c r="BWZ20" s="64"/>
      <c r="BXA20" s="64"/>
      <c r="BXB20" s="64"/>
      <c r="BXC20" s="64"/>
      <c r="BXD20" s="64"/>
      <c r="BXE20" s="64"/>
      <c r="BXF20" s="64"/>
      <c r="BXG20" s="64"/>
      <c r="BXH20" s="64"/>
      <c r="BXI20" s="64"/>
      <c r="BXJ20" s="64"/>
      <c r="BXK20" s="64"/>
      <c r="BXL20" s="64"/>
      <c r="BXM20" s="64"/>
      <c r="BXN20" s="64"/>
      <c r="BXO20" s="64"/>
      <c r="BXP20" s="64"/>
      <c r="BXQ20" s="64"/>
      <c r="BXR20" s="64"/>
      <c r="BXS20" s="64"/>
      <c r="BXT20" s="64"/>
      <c r="BXU20" s="64"/>
      <c r="BXV20" s="64"/>
      <c r="BXW20" s="64"/>
      <c r="BXX20" s="64"/>
      <c r="BXY20" s="64"/>
      <c r="BXZ20" s="64"/>
      <c r="BYA20" s="64"/>
      <c r="BYB20" s="64"/>
      <c r="BYC20" s="64"/>
      <c r="BYD20" s="64"/>
      <c r="BYE20" s="64"/>
      <c r="BYF20" s="64"/>
      <c r="BYG20" s="64"/>
      <c r="BYH20" s="64"/>
      <c r="BYI20" s="64"/>
      <c r="BYJ20" s="64"/>
      <c r="BYK20" s="64"/>
      <c r="BYL20" s="64"/>
      <c r="BYM20" s="64"/>
      <c r="BYN20" s="64"/>
      <c r="BYO20" s="64"/>
      <c r="BYP20" s="64"/>
      <c r="BYQ20" s="64"/>
      <c r="BYR20" s="64"/>
      <c r="BYS20" s="64"/>
      <c r="BYT20" s="64"/>
      <c r="BYU20" s="64"/>
      <c r="BYV20" s="64"/>
      <c r="BYW20" s="64"/>
      <c r="BYX20" s="64"/>
      <c r="BYY20" s="64"/>
      <c r="BYZ20" s="64"/>
      <c r="BZA20" s="64"/>
      <c r="BZB20" s="64"/>
      <c r="BZC20" s="64"/>
      <c r="BZD20" s="64"/>
      <c r="BZE20" s="64"/>
      <c r="BZF20" s="64"/>
      <c r="BZG20" s="64"/>
      <c r="BZH20" s="64"/>
      <c r="BZI20" s="64"/>
      <c r="BZJ20" s="64"/>
      <c r="BZK20" s="64"/>
      <c r="BZL20" s="64"/>
      <c r="BZM20" s="64"/>
      <c r="BZN20" s="64"/>
      <c r="BZO20" s="64"/>
      <c r="BZP20" s="64"/>
      <c r="BZQ20" s="64"/>
      <c r="BZR20" s="64"/>
      <c r="BZS20" s="64"/>
      <c r="BZT20" s="64"/>
      <c r="BZU20" s="64"/>
      <c r="BZV20" s="64"/>
      <c r="BZW20" s="64"/>
      <c r="BZX20" s="64"/>
      <c r="BZY20" s="64"/>
      <c r="BZZ20" s="64"/>
      <c r="CAA20" s="64"/>
      <c r="CAB20" s="64"/>
      <c r="CAC20" s="64"/>
      <c r="CAD20" s="64"/>
      <c r="CAE20" s="64"/>
      <c r="CAF20" s="64"/>
      <c r="CAG20" s="64"/>
      <c r="CAH20" s="64"/>
      <c r="CAI20" s="64"/>
      <c r="CAJ20" s="64"/>
      <c r="CAK20" s="64"/>
      <c r="CAL20" s="64"/>
      <c r="CAM20" s="64"/>
      <c r="CAN20" s="64"/>
      <c r="CAO20" s="64"/>
      <c r="CAP20" s="64"/>
      <c r="CAQ20" s="64"/>
      <c r="CAR20" s="64"/>
      <c r="CAS20" s="64"/>
      <c r="CAT20" s="64"/>
      <c r="CAU20" s="64"/>
      <c r="CAV20" s="64"/>
      <c r="CAW20" s="64"/>
      <c r="CAX20" s="64"/>
      <c r="CAY20" s="64"/>
      <c r="CAZ20" s="64"/>
      <c r="CBA20" s="64"/>
      <c r="CBB20" s="64"/>
      <c r="CBC20" s="64"/>
      <c r="CBD20" s="64"/>
      <c r="CBE20" s="64"/>
      <c r="CBF20" s="64"/>
      <c r="CBG20" s="64"/>
      <c r="CBH20" s="64"/>
      <c r="CBI20" s="64"/>
      <c r="CBJ20" s="64"/>
      <c r="CBK20" s="64"/>
      <c r="CBL20" s="64"/>
      <c r="CBM20" s="64"/>
      <c r="CBN20" s="64"/>
      <c r="CBO20" s="64"/>
      <c r="CBP20" s="64"/>
      <c r="CBQ20" s="64"/>
      <c r="CBR20" s="64"/>
      <c r="CBS20" s="64"/>
      <c r="CBT20" s="64"/>
      <c r="CBU20" s="64"/>
      <c r="CBV20" s="64"/>
      <c r="CBW20" s="64"/>
      <c r="CBX20" s="64"/>
      <c r="CBY20" s="64"/>
      <c r="CBZ20" s="64"/>
      <c r="CCA20" s="64"/>
      <c r="CCB20" s="64"/>
      <c r="CCC20" s="64"/>
      <c r="CCD20" s="64"/>
      <c r="CCE20" s="64"/>
      <c r="CCF20" s="64"/>
      <c r="CCG20" s="64"/>
      <c r="CCH20" s="64"/>
      <c r="CCI20" s="64"/>
      <c r="CCJ20" s="64"/>
      <c r="CCK20" s="64"/>
      <c r="CCL20" s="64"/>
      <c r="CCM20" s="64"/>
      <c r="CCN20" s="64"/>
      <c r="CCO20" s="64"/>
      <c r="CCP20" s="64"/>
      <c r="CCQ20" s="64"/>
      <c r="CCR20" s="64"/>
      <c r="CCS20" s="64"/>
      <c r="CCT20" s="64"/>
      <c r="CCU20" s="64"/>
      <c r="CCV20" s="64"/>
      <c r="CCW20" s="64"/>
      <c r="CCX20" s="64"/>
      <c r="CCY20" s="64"/>
      <c r="CCZ20" s="64"/>
      <c r="CDA20" s="64"/>
      <c r="CDB20" s="64"/>
      <c r="CDC20" s="64"/>
      <c r="CDD20" s="64"/>
      <c r="CDE20" s="64"/>
      <c r="CDF20" s="64"/>
      <c r="CDG20" s="64"/>
      <c r="CDH20" s="64"/>
      <c r="CDI20" s="64"/>
      <c r="CDJ20" s="64"/>
      <c r="CDK20" s="64"/>
      <c r="CDL20" s="64"/>
      <c r="CDM20" s="64"/>
      <c r="CDN20" s="64"/>
      <c r="CDO20" s="64"/>
      <c r="CDP20" s="64"/>
      <c r="CDQ20" s="64"/>
      <c r="CDR20" s="64"/>
      <c r="CDS20" s="64"/>
      <c r="CDT20" s="64"/>
      <c r="CDU20" s="64"/>
      <c r="CDV20" s="64"/>
      <c r="CDW20" s="64"/>
      <c r="CDX20" s="64"/>
      <c r="CDY20" s="64"/>
      <c r="CDZ20" s="64"/>
      <c r="CEA20" s="64"/>
      <c r="CEB20" s="64"/>
      <c r="CEC20" s="64"/>
      <c r="CED20" s="64"/>
      <c r="CEE20" s="64"/>
      <c r="CEF20" s="64"/>
      <c r="CEG20" s="64"/>
      <c r="CEH20" s="64"/>
      <c r="CEI20" s="64"/>
      <c r="CEJ20" s="64"/>
      <c r="CEK20" s="64"/>
      <c r="CEL20" s="64"/>
      <c r="CEM20" s="64"/>
      <c r="CEN20" s="64"/>
      <c r="CEO20" s="64"/>
      <c r="CEP20" s="64"/>
      <c r="CEQ20" s="64"/>
      <c r="CER20" s="64"/>
      <c r="CES20" s="64"/>
      <c r="CET20" s="64"/>
      <c r="CEU20" s="64"/>
      <c r="CEV20" s="64"/>
      <c r="CEW20" s="64"/>
      <c r="CEX20" s="64"/>
      <c r="CEY20" s="64"/>
      <c r="CEZ20" s="64"/>
      <c r="CFA20" s="64"/>
      <c r="CFB20" s="64"/>
      <c r="CFC20" s="64"/>
      <c r="CFD20" s="64"/>
      <c r="CFE20" s="64"/>
      <c r="CFF20" s="64"/>
      <c r="CFG20" s="64"/>
      <c r="CFH20" s="64"/>
      <c r="CFI20" s="64"/>
      <c r="CFJ20" s="64"/>
      <c r="CFK20" s="64"/>
      <c r="CFL20" s="64"/>
      <c r="CFM20" s="64"/>
      <c r="CFN20" s="64"/>
      <c r="CFO20" s="64"/>
      <c r="CFP20" s="64"/>
      <c r="CFQ20" s="64"/>
      <c r="CFR20" s="64"/>
      <c r="CFS20" s="64"/>
      <c r="CFT20" s="64"/>
      <c r="CFU20" s="64"/>
      <c r="CFV20" s="64"/>
      <c r="CFW20" s="64"/>
      <c r="CFX20" s="64"/>
      <c r="CFY20" s="64"/>
      <c r="CFZ20" s="64"/>
      <c r="CGA20" s="64"/>
      <c r="CGB20" s="64"/>
      <c r="CGC20" s="64"/>
      <c r="CGD20" s="64"/>
      <c r="CGE20" s="64"/>
      <c r="CGF20" s="64"/>
      <c r="CGG20" s="64"/>
      <c r="CGH20" s="64"/>
      <c r="CGI20" s="64"/>
      <c r="CGJ20" s="64"/>
      <c r="CGK20" s="64"/>
      <c r="CGL20" s="64"/>
      <c r="CGM20" s="64"/>
      <c r="CGN20" s="64"/>
      <c r="CGO20" s="64"/>
      <c r="CGP20" s="64"/>
      <c r="CGQ20" s="64"/>
      <c r="CGR20" s="64"/>
      <c r="CGS20" s="64"/>
      <c r="CGT20" s="64"/>
      <c r="CGU20" s="64"/>
      <c r="CGV20" s="64"/>
      <c r="CGW20" s="64"/>
      <c r="CGX20" s="64"/>
      <c r="CGY20" s="64"/>
      <c r="CGZ20" s="64"/>
      <c r="CHA20" s="64"/>
      <c r="CHB20" s="64"/>
      <c r="CHC20" s="64"/>
      <c r="CHD20" s="64"/>
      <c r="CHE20" s="64"/>
      <c r="CHF20" s="64"/>
      <c r="CHG20" s="64"/>
      <c r="CHH20" s="64"/>
      <c r="CHI20" s="64"/>
      <c r="CHJ20" s="64"/>
      <c r="CHK20" s="64"/>
      <c r="CHL20" s="64"/>
      <c r="CHM20" s="64"/>
      <c r="CHN20" s="64"/>
      <c r="CHO20" s="64"/>
      <c r="CHP20" s="64"/>
      <c r="CHQ20" s="64"/>
      <c r="CHR20" s="64"/>
      <c r="CHS20" s="64"/>
      <c r="CHT20" s="64"/>
      <c r="CHU20" s="64"/>
      <c r="CHV20" s="64"/>
      <c r="CHW20" s="64"/>
      <c r="CHX20" s="64"/>
      <c r="CHY20" s="64"/>
      <c r="CHZ20" s="64"/>
      <c r="CIA20" s="64"/>
      <c r="CIB20" s="64"/>
      <c r="CIC20" s="64"/>
      <c r="CID20" s="64"/>
      <c r="CIE20" s="64"/>
      <c r="CIF20" s="64"/>
      <c r="CIG20" s="64"/>
      <c r="CIH20" s="64"/>
      <c r="CII20" s="64"/>
      <c r="CIJ20" s="64"/>
      <c r="CIK20" s="64"/>
      <c r="CIL20" s="64"/>
      <c r="CIM20" s="64"/>
      <c r="CIN20" s="64"/>
      <c r="CIO20" s="64"/>
      <c r="CIP20" s="64"/>
      <c r="CIQ20" s="64"/>
      <c r="CIR20" s="64"/>
      <c r="CIS20" s="64"/>
      <c r="CIT20" s="64"/>
      <c r="CIU20" s="64"/>
      <c r="CIV20" s="64"/>
      <c r="CIW20" s="64"/>
      <c r="CIX20" s="64"/>
      <c r="CIY20" s="64"/>
      <c r="CIZ20" s="64"/>
      <c r="CJA20" s="64"/>
      <c r="CJB20" s="64"/>
      <c r="CJC20" s="64"/>
      <c r="CJD20" s="64"/>
      <c r="CJE20" s="64"/>
      <c r="CJF20" s="64"/>
      <c r="CJG20" s="64"/>
      <c r="CJH20" s="64"/>
      <c r="CJI20" s="64"/>
      <c r="CJJ20" s="64"/>
      <c r="CJK20" s="64"/>
      <c r="CJL20" s="64"/>
      <c r="CJM20" s="64"/>
      <c r="CJN20" s="64"/>
      <c r="CJO20" s="64"/>
      <c r="CJP20" s="64"/>
      <c r="CJQ20" s="64"/>
      <c r="CJR20" s="64"/>
      <c r="CJS20" s="64"/>
      <c r="CJT20" s="64"/>
      <c r="CJU20" s="64"/>
      <c r="CJV20" s="64"/>
      <c r="CJW20" s="64"/>
      <c r="CJX20" s="64"/>
      <c r="CJY20" s="64"/>
      <c r="CJZ20" s="64"/>
      <c r="CKA20" s="64"/>
      <c r="CKB20" s="64"/>
      <c r="CKC20" s="64"/>
      <c r="CKD20" s="64"/>
      <c r="CKE20" s="64"/>
      <c r="CKF20" s="64"/>
      <c r="CKG20" s="64"/>
      <c r="CKH20" s="64"/>
      <c r="CKI20" s="64"/>
      <c r="CKJ20" s="64"/>
      <c r="CKK20" s="64"/>
      <c r="CKL20" s="64"/>
      <c r="CKM20" s="64"/>
      <c r="CKN20" s="64"/>
      <c r="CKO20" s="64"/>
      <c r="CKP20" s="64"/>
      <c r="CKQ20" s="64"/>
      <c r="CKR20" s="64"/>
      <c r="CKS20" s="64"/>
      <c r="CKT20" s="64"/>
      <c r="CKU20" s="64"/>
      <c r="CKV20" s="64"/>
      <c r="CKW20" s="64"/>
      <c r="CKX20" s="64"/>
      <c r="CKY20" s="64"/>
      <c r="CKZ20" s="64"/>
      <c r="CLA20" s="64"/>
      <c r="CLB20" s="64"/>
      <c r="CLC20" s="64"/>
      <c r="CLD20" s="64"/>
      <c r="CLE20" s="64"/>
      <c r="CLF20" s="64"/>
      <c r="CLG20" s="64"/>
      <c r="CLH20" s="64"/>
      <c r="CLI20" s="64"/>
      <c r="CLJ20" s="64"/>
      <c r="CLK20" s="64"/>
      <c r="CLL20" s="64"/>
      <c r="CLM20" s="64"/>
      <c r="CLN20" s="64"/>
      <c r="CLO20" s="64"/>
      <c r="CLP20" s="64"/>
      <c r="CLQ20" s="64"/>
      <c r="CLR20" s="64"/>
      <c r="CLS20" s="64"/>
      <c r="CLT20" s="64"/>
      <c r="CLU20" s="64"/>
      <c r="CLV20" s="64"/>
      <c r="CLW20" s="64"/>
      <c r="CLX20" s="64"/>
      <c r="CLY20" s="64"/>
      <c r="CLZ20" s="64"/>
      <c r="CMA20" s="64"/>
      <c r="CMB20" s="64"/>
      <c r="CMC20" s="64"/>
      <c r="CMD20" s="64"/>
      <c r="CME20" s="64"/>
      <c r="CMF20" s="64"/>
      <c r="CMG20" s="64"/>
      <c r="CMH20" s="64"/>
      <c r="CMI20" s="64"/>
      <c r="CMJ20" s="64"/>
      <c r="CMK20" s="64"/>
      <c r="CML20" s="64"/>
      <c r="CMM20" s="64"/>
      <c r="CMN20" s="64"/>
      <c r="CMO20" s="64"/>
      <c r="CMP20" s="64"/>
      <c r="CMQ20" s="64"/>
      <c r="CMR20" s="64"/>
      <c r="CMS20" s="64"/>
      <c r="CMT20" s="64"/>
      <c r="CMU20" s="64"/>
      <c r="CMV20" s="64"/>
      <c r="CMW20" s="64"/>
      <c r="CMX20" s="64"/>
      <c r="CMY20" s="64"/>
      <c r="CMZ20" s="64"/>
      <c r="CNA20" s="64"/>
      <c r="CNB20" s="64"/>
      <c r="CNC20" s="64"/>
      <c r="CND20" s="64"/>
      <c r="CNE20" s="64"/>
      <c r="CNF20" s="64"/>
      <c r="CNG20" s="64"/>
      <c r="CNH20" s="64"/>
      <c r="CNI20" s="64"/>
      <c r="CNJ20" s="64"/>
      <c r="CNK20" s="64"/>
      <c r="CNL20" s="64"/>
      <c r="CNM20" s="64"/>
      <c r="CNN20" s="64"/>
      <c r="CNO20" s="64"/>
      <c r="CNP20" s="64"/>
      <c r="CNQ20" s="64"/>
      <c r="CNR20" s="64"/>
      <c r="CNS20" s="64"/>
      <c r="CNT20" s="64"/>
      <c r="CNU20" s="64"/>
      <c r="CNV20" s="64"/>
      <c r="CNW20" s="64"/>
      <c r="CNX20" s="64"/>
      <c r="CNY20" s="64"/>
      <c r="CNZ20" s="64"/>
      <c r="COA20" s="64"/>
      <c r="COB20" s="64"/>
      <c r="COC20" s="64"/>
      <c r="COD20" s="64"/>
      <c r="COE20" s="64"/>
      <c r="COF20" s="64"/>
      <c r="COG20" s="64"/>
      <c r="COH20" s="64"/>
      <c r="COI20" s="64"/>
      <c r="COJ20" s="64"/>
      <c r="COK20" s="64"/>
      <c r="COL20" s="64"/>
      <c r="COM20" s="64"/>
      <c r="CON20" s="64"/>
      <c r="COO20" s="64"/>
      <c r="COP20" s="64"/>
      <c r="COQ20" s="64"/>
      <c r="COR20" s="64"/>
      <c r="COS20" s="64"/>
      <c r="COT20" s="64"/>
      <c r="COU20" s="64"/>
      <c r="COV20" s="64"/>
      <c r="COW20" s="64"/>
      <c r="COX20" s="64"/>
      <c r="COY20" s="64"/>
      <c r="COZ20" s="64"/>
      <c r="CPA20" s="64"/>
      <c r="CPB20" s="64"/>
      <c r="CPC20" s="64"/>
      <c r="CPD20" s="64"/>
      <c r="CPE20" s="64"/>
      <c r="CPF20" s="64"/>
      <c r="CPG20" s="64"/>
      <c r="CPH20" s="64"/>
      <c r="CPI20" s="64"/>
      <c r="CPJ20" s="64"/>
      <c r="CPK20" s="64"/>
      <c r="CPL20" s="64"/>
      <c r="CPM20" s="64"/>
      <c r="CPN20" s="64"/>
      <c r="CPO20" s="64"/>
      <c r="CPP20" s="64"/>
      <c r="CPQ20" s="64"/>
      <c r="CPR20" s="64"/>
      <c r="CPS20" s="64"/>
      <c r="CPT20" s="64"/>
      <c r="CPU20" s="64"/>
      <c r="CPV20" s="64"/>
      <c r="CPW20" s="64"/>
      <c r="CPX20" s="64"/>
      <c r="CPY20" s="64"/>
      <c r="CPZ20" s="64"/>
      <c r="CQA20" s="64"/>
      <c r="CQB20" s="64"/>
      <c r="CQC20" s="64"/>
      <c r="CQD20" s="64"/>
      <c r="CQE20" s="64"/>
      <c r="CQF20" s="64"/>
      <c r="CQG20" s="64"/>
      <c r="CQH20" s="64"/>
      <c r="CQI20" s="64"/>
      <c r="CQJ20" s="64"/>
      <c r="CQK20" s="64"/>
      <c r="CQL20" s="64"/>
      <c r="CQM20" s="64"/>
      <c r="CQN20" s="64"/>
      <c r="CQO20" s="64"/>
      <c r="CQP20" s="64"/>
      <c r="CQQ20" s="64"/>
      <c r="CQR20" s="64"/>
      <c r="CQS20" s="64"/>
      <c r="CQT20" s="64"/>
      <c r="CQU20" s="64"/>
      <c r="CQV20" s="64"/>
      <c r="CQW20" s="64"/>
      <c r="CQX20" s="64"/>
      <c r="CQY20" s="64"/>
      <c r="CQZ20" s="64"/>
      <c r="CRA20" s="64"/>
      <c r="CRB20" s="64"/>
      <c r="CRC20" s="64"/>
      <c r="CRD20" s="64"/>
      <c r="CRE20" s="64"/>
      <c r="CRF20" s="64"/>
      <c r="CRG20" s="64"/>
      <c r="CRH20" s="64"/>
      <c r="CRI20" s="64"/>
      <c r="CRJ20" s="64"/>
      <c r="CRK20" s="64"/>
      <c r="CRL20" s="64"/>
      <c r="CRM20" s="64"/>
      <c r="CRN20" s="64"/>
      <c r="CRO20" s="64"/>
      <c r="CRP20" s="64"/>
      <c r="CRQ20" s="64"/>
      <c r="CRR20" s="64"/>
      <c r="CRS20" s="64"/>
      <c r="CRT20" s="64"/>
      <c r="CRU20" s="64"/>
      <c r="CRV20" s="64"/>
      <c r="CRW20" s="64"/>
      <c r="CRX20" s="64"/>
      <c r="CRY20" s="64"/>
      <c r="CRZ20" s="64"/>
      <c r="CSA20" s="64"/>
      <c r="CSB20" s="64"/>
      <c r="CSC20" s="64"/>
      <c r="CSD20" s="64"/>
      <c r="CSE20" s="64"/>
      <c r="CSF20" s="64"/>
      <c r="CSG20" s="64"/>
      <c r="CSH20" s="64"/>
      <c r="CSI20" s="64"/>
      <c r="CSJ20" s="64"/>
      <c r="CSK20" s="64"/>
      <c r="CSL20" s="64"/>
      <c r="CSM20" s="64"/>
      <c r="CSN20" s="64"/>
      <c r="CSO20" s="64"/>
      <c r="CSP20" s="64"/>
      <c r="CSQ20" s="64"/>
      <c r="CSR20" s="64"/>
      <c r="CSS20" s="64"/>
      <c r="CST20" s="64"/>
      <c r="CSU20" s="64"/>
      <c r="CSV20" s="64"/>
      <c r="CSW20" s="64"/>
      <c r="CSX20" s="64"/>
      <c r="CSY20" s="64"/>
      <c r="CSZ20" s="64"/>
      <c r="CTA20" s="64"/>
      <c r="CTB20" s="64"/>
      <c r="CTC20" s="64"/>
      <c r="CTD20" s="64"/>
      <c r="CTE20" s="64"/>
      <c r="CTF20" s="64"/>
      <c r="CTG20" s="64"/>
      <c r="CTH20" s="64"/>
      <c r="CTI20" s="64"/>
      <c r="CTJ20" s="64"/>
      <c r="CTK20" s="64"/>
      <c r="CTL20" s="64"/>
      <c r="CTM20" s="64"/>
      <c r="CTN20" s="64"/>
      <c r="CTO20" s="64"/>
      <c r="CTP20" s="64"/>
      <c r="CTQ20" s="64"/>
      <c r="CTR20" s="64"/>
      <c r="CTS20" s="64"/>
      <c r="CTT20" s="64"/>
      <c r="CTU20" s="64"/>
      <c r="CTV20" s="64"/>
      <c r="CTW20" s="64"/>
      <c r="CTX20" s="64"/>
      <c r="CTY20" s="64"/>
      <c r="CTZ20" s="64"/>
      <c r="CUA20" s="64"/>
      <c r="CUB20" s="64"/>
      <c r="CUC20" s="64"/>
      <c r="CUD20" s="64"/>
      <c r="CUE20" s="64"/>
      <c r="CUF20" s="64"/>
      <c r="CUG20" s="64"/>
      <c r="CUH20" s="64"/>
      <c r="CUI20" s="64"/>
      <c r="CUJ20" s="64"/>
      <c r="CUK20" s="64"/>
      <c r="CUL20" s="64"/>
      <c r="CUM20" s="64"/>
      <c r="CUN20" s="64"/>
      <c r="CUO20" s="64"/>
      <c r="CUP20" s="64"/>
      <c r="CUQ20" s="64"/>
      <c r="CUR20" s="64"/>
      <c r="CUS20" s="64"/>
      <c r="CUT20" s="64"/>
      <c r="CUU20" s="64"/>
      <c r="CUV20" s="64"/>
      <c r="CUW20" s="64"/>
      <c r="CUX20" s="64"/>
      <c r="CUY20" s="64"/>
      <c r="CUZ20" s="64"/>
      <c r="CVA20" s="64"/>
      <c r="CVB20" s="64"/>
      <c r="CVC20" s="64"/>
      <c r="CVD20" s="64"/>
      <c r="CVE20" s="64"/>
      <c r="CVF20" s="64"/>
      <c r="CVG20" s="64"/>
      <c r="CVH20" s="64"/>
      <c r="CVI20" s="64"/>
      <c r="CVJ20" s="64"/>
      <c r="CVK20" s="64"/>
      <c r="CVL20" s="64"/>
      <c r="CVM20" s="64"/>
      <c r="CVN20" s="64"/>
      <c r="CVO20" s="64"/>
      <c r="CVP20" s="64"/>
      <c r="CVQ20" s="64"/>
      <c r="CVR20" s="64"/>
      <c r="CVS20" s="64"/>
      <c r="CVT20" s="64"/>
      <c r="CVU20" s="64"/>
      <c r="CVV20" s="64"/>
      <c r="CVW20" s="64"/>
      <c r="CVX20" s="64"/>
      <c r="CVY20" s="64"/>
      <c r="CVZ20" s="64"/>
      <c r="CWA20" s="64"/>
      <c r="CWB20" s="64"/>
      <c r="CWC20" s="64"/>
      <c r="CWD20" s="64"/>
      <c r="CWE20" s="64"/>
      <c r="CWF20" s="64"/>
      <c r="CWG20" s="64"/>
      <c r="CWH20" s="64"/>
      <c r="CWI20" s="64"/>
      <c r="CWJ20" s="64"/>
      <c r="CWK20" s="64"/>
      <c r="CWL20" s="64"/>
      <c r="CWM20" s="64"/>
      <c r="CWN20" s="64"/>
      <c r="CWO20" s="64"/>
      <c r="CWP20" s="64"/>
      <c r="CWQ20" s="64"/>
      <c r="CWR20" s="64"/>
      <c r="CWS20" s="64"/>
      <c r="CWT20" s="64"/>
      <c r="CWU20" s="64"/>
      <c r="CWV20" s="64"/>
      <c r="CWW20" s="64"/>
      <c r="CWX20" s="64"/>
      <c r="CWY20" s="64"/>
      <c r="CWZ20" s="64"/>
      <c r="CXA20" s="64"/>
      <c r="CXB20" s="64"/>
      <c r="CXC20" s="64"/>
      <c r="CXD20" s="64"/>
      <c r="CXE20" s="64"/>
      <c r="CXF20" s="64"/>
      <c r="CXG20" s="64"/>
      <c r="CXH20" s="64"/>
      <c r="CXI20" s="64"/>
      <c r="CXJ20" s="64"/>
      <c r="CXK20" s="64"/>
      <c r="CXL20" s="64"/>
      <c r="CXM20" s="64"/>
      <c r="CXN20" s="64"/>
      <c r="CXO20" s="64"/>
      <c r="CXP20" s="64"/>
      <c r="CXQ20" s="64"/>
      <c r="CXR20" s="64"/>
      <c r="CXS20" s="64"/>
      <c r="CXT20" s="64"/>
      <c r="CXU20" s="64"/>
      <c r="CXV20" s="64"/>
      <c r="CXW20" s="64"/>
      <c r="CXX20" s="64"/>
      <c r="CXY20" s="64"/>
      <c r="CXZ20" s="64"/>
      <c r="CYA20" s="64"/>
      <c r="CYB20" s="64"/>
      <c r="CYC20" s="64"/>
      <c r="CYD20" s="64"/>
      <c r="CYE20" s="64"/>
      <c r="CYF20" s="64"/>
      <c r="CYG20" s="64"/>
      <c r="CYH20" s="64"/>
      <c r="CYI20" s="64"/>
      <c r="CYJ20" s="64"/>
      <c r="CYK20" s="64"/>
      <c r="CYL20" s="64"/>
      <c r="CYM20" s="64"/>
      <c r="CYN20" s="64"/>
      <c r="CYO20" s="64"/>
      <c r="CYP20" s="64"/>
      <c r="CYQ20" s="64"/>
      <c r="CYR20" s="64"/>
      <c r="CYS20" s="64"/>
      <c r="CYT20" s="64"/>
      <c r="CYU20" s="64"/>
      <c r="CYV20" s="64"/>
      <c r="CYW20" s="64"/>
      <c r="CYX20" s="64"/>
      <c r="CYY20" s="64"/>
      <c r="CYZ20" s="64"/>
      <c r="CZA20" s="64"/>
      <c r="CZB20" s="64"/>
      <c r="CZC20" s="64"/>
      <c r="CZD20" s="64"/>
      <c r="CZE20" s="64"/>
      <c r="CZF20" s="64"/>
      <c r="CZG20" s="64"/>
      <c r="CZH20" s="64"/>
      <c r="CZI20" s="64"/>
      <c r="CZJ20" s="64"/>
      <c r="CZK20" s="64"/>
      <c r="CZL20" s="64"/>
      <c r="CZM20" s="64"/>
      <c r="CZN20" s="64"/>
      <c r="CZO20" s="64"/>
      <c r="CZP20" s="64"/>
      <c r="CZQ20" s="64"/>
      <c r="CZR20" s="64"/>
      <c r="CZS20" s="64"/>
      <c r="CZT20" s="64"/>
      <c r="CZU20" s="64"/>
      <c r="CZV20" s="64"/>
      <c r="CZW20" s="64"/>
      <c r="CZX20" s="64"/>
      <c r="CZY20" s="64"/>
      <c r="CZZ20" s="64"/>
      <c r="DAA20" s="64"/>
      <c r="DAB20" s="64"/>
      <c r="DAC20" s="64"/>
      <c r="DAD20" s="64"/>
      <c r="DAE20" s="64"/>
      <c r="DAF20" s="64"/>
      <c r="DAG20" s="64"/>
      <c r="DAH20" s="64"/>
      <c r="DAI20" s="64"/>
      <c r="DAJ20" s="64"/>
      <c r="DAK20" s="64"/>
      <c r="DAL20" s="64"/>
      <c r="DAM20" s="64"/>
      <c r="DAN20" s="64"/>
      <c r="DAO20" s="64"/>
      <c r="DAP20" s="64"/>
      <c r="DAQ20" s="64"/>
      <c r="DAR20" s="64"/>
      <c r="DAS20" s="64"/>
      <c r="DAT20" s="64"/>
      <c r="DAU20" s="64"/>
      <c r="DAV20" s="64"/>
      <c r="DAW20" s="64"/>
      <c r="DAX20" s="64"/>
      <c r="DAY20" s="64"/>
      <c r="DAZ20" s="64"/>
      <c r="DBA20" s="64"/>
      <c r="DBB20" s="64"/>
      <c r="DBC20" s="64"/>
      <c r="DBD20" s="64"/>
      <c r="DBE20" s="64"/>
      <c r="DBF20" s="64"/>
      <c r="DBG20" s="64"/>
      <c r="DBH20" s="64"/>
      <c r="DBI20" s="64"/>
      <c r="DBJ20" s="64"/>
      <c r="DBK20" s="64"/>
      <c r="DBL20" s="64"/>
      <c r="DBM20" s="64"/>
      <c r="DBN20" s="64"/>
      <c r="DBO20" s="64"/>
      <c r="DBP20" s="64"/>
      <c r="DBQ20" s="64"/>
      <c r="DBR20" s="64"/>
      <c r="DBS20" s="64"/>
      <c r="DBT20" s="64"/>
      <c r="DBU20" s="64"/>
      <c r="DBV20" s="64"/>
      <c r="DBW20" s="64"/>
      <c r="DBX20" s="64"/>
      <c r="DBY20" s="64"/>
      <c r="DBZ20" s="64"/>
      <c r="DCA20" s="64"/>
      <c r="DCB20" s="64"/>
      <c r="DCC20" s="64"/>
      <c r="DCD20" s="64"/>
      <c r="DCE20" s="64"/>
      <c r="DCF20" s="64"/>
      <c r="DCG20" s="64"/>
      <c r="DCH20" s="64"/>
      <c r="DCI20" s="64"/>
      <c r="DCJ20" s="64"/>
      <c r="DCK20" s="64"/>
      <c r="DCL20" s="64"/>
      <c r="DCM20" s="64"/>
      <c r="DCN20" s="64"/>
      <c r="DCO20" s="64"/>
      <c r="DCP20" s="64"/>
      <c r="DCQ20" s="64"/>
      <c r="DCR20" s="64"/>
      <c r="DCS20" s="64"/>
      <c r="DCT20" s="64"/>
      <c r="DCU20" s="64"/>
      <c r="DCV20" s="64"/>
      <c r="DCW20" s="64"/>
      <c r="DCX20" s="64"/>
      <c r="DCY20" s="64"/>
      <c r="DCZ20" s="64"/>
      <c r="DDA20" s="64"/>
      <c r="DDB20" s="64"/>
      <c r="DDC20" s="64"/>
      <c r="DDD20" s="64"/>
      <c r="DDE20" s="64"/>
      <c r="DDF20" s="64"/>
      <c r="DDG20" s="64"/>
      <c r="DDH20" s="64"/>
      <c r="DDI20" s="64"/>
      <c r="DDJ20" s="64"/>
      <c r="DDK20" s="64"/>
      <c r="DDL20" s="64"/>
      <c r="DDM20" s="64"/>
      <c r="DDN20" s="64"/>
      <c r="DDO20" s="64"/>
      <c r="DDP20" s="64"/>
      <c r="DDQ20" s="64"/>
      <c r="DDR20" s="64"/>
      <c r="DDS20" s="64"/>
      <c r="DDT20" s="64"/>
      <c r="DDU20" s="64"/>
      <c r="DDV20" s="64"/>
      <c r="DDW20" s="64"/>
      <c r="DDX20" s="64"/>
      <c r="DDY20" s="64"/>
      <c r="DDZ20" s="64"/>
      <c r="DEA20" s="64"/>
      <c r="DEB20" s="64"/>
      <c r="DEC20" s="64"/>
      <c r="DED20" s="64"/>
      <c r="DEE20" s="64"/>
      <c r="DEF20" s="64"/>
      <c r="DEG20" s="64"/>
      <c r="DEH20" s="64"/>
      <c r="DEI20" s="64"/>
      <c r="DEJ20" s="64"/>
      <c r="DEK20" s="64"/>
      <c r="DEL20" s="64"/>
      <c r="DEM20" s="64"/>
      <c r="DEN20" s="64"/>
      <c r="DEO20" s="64"/>
      <c r="DEP20" s="64"/>
      <c r="DEQ20" s="64"/>
      <c r="DER20" s="64"/>
      <c r="DES20" s="64"/>
      <c r="DET20" s="64"/>
      <c r="DEU20" s="64"/>
      <c r="DEV20" s="64"/>
      <c r="DEW20" s="64"/>
      <c r="DEX20" s="64"/>
      <c r="DEY20" s="64"/>
      <c r="DEZ20" s="64"/>
      <c r="DFA20" s="64"/>
      <c r="DFB20" s="64"/>
      <c r="DFC20" s="64"/>
      <c r="DFD20" s="64"/>
      <c r="DFE20" s="64"/>
      <c r="DFF20" s="64"/>
      <c r="DFG20" s="64"/>
      <c r="DFH20" s="64"/>
      <c r="DFI20" s="64"/>
      <c r="DFJ20" s="64"/>
      <c r="DFK20" s="64"/>
      <c r="DFL20" s="64"/>
      <c r="DFM20" s="64"/>
      <c r="DFN20" s="64"/>
      <c r="DFO20" s="64"/>
      <c r="DFP20" s="64"/>
      <c r="DFQ20" s="64"/>
      <c r="DFR20" s="64"/>
      <c r="DFS20" s="64"/>
      <c r="DFT20" s="64"/>
      <c r="DFU20" s="64"/>
      <c r="DFV20" s="64"/>
      <c r="DFW20" s="64"/>
      <c r="DFX20" s="64"/>
      <c r="DFY20" s="64"/>
      <c r="DFZ20" s="64"/>
      <c r="DGA20" s="64"/>
      <c r="DGB20" s="64"/>
      <c r="DGC20" s="64"/>
      <c r="DGD20" s="64"/>
      <c r="DGE20" s="64"/>
      <c r="DGF20" s="64"/>
      <c r="DGG20" s="64"/>
      <c r="DGH20" s="64"/>
      <c r="DGI20" s="64"/>
      <c r="DGJ20" s="64"/>
      <c r="DGK20" s="64"/>
      <c r="DGL20" s="64"/>
      <c r="DGM20" s="64"/>
      <c r="DGN20" s="64"/>
      <c r="DGO20" s="64"/>
      <c r="DGP20" s="64"/>
      <c r="DGQ20" s="64"/>
      <c r="DGR20" s="64"/>
      <c r="DGS20" s="64"/>
      <c r="DGT20" s="64"/>
      <c r="DGU20" s="64"/>
      <c r="DGV20" s="64"/>
      <c r="DGW20" s="64"/>
      <c r="DGX20" s="64"/>
      <c r="DGY20" s="64"/>
      <c r="DGZ20" s="64"/>
      <c r="DHA20" s="64"/>
      <c r="DHB20" s="64"/>
      <c r="DHC20" s="64"/>
      <c r="DHD20" s="64"/>
      <c r="DHE20" s="64"/>
      <c r="DHF20" s="64"/>
      <c r="DHG20" s="64"/>
      <c r="DHH20" s="64"/>
      <c r="DHI20" s="64"/>
      <c r="DHJ20" s="64"/>
      <c r="DHK20" s="64"/>
      <c r="DHL20" s="64"/>
      <c r="DHM20" s="64"/>
      <c r="DHN20" s="64"/>
      <c r="DHO20" s="64"/>
      <c r="DHP20" s="64"/>
      <c r="DHQ20" s="64"/>
      <c r="DHR20" s="64"/>
      <c r="DHS20" s="64"/>
      <c r="DHT20" s="64"/>
      <c r="DHU20" s="64"/>
      <c r="DHV20" s="64"/>
      <c r="DHW20" s="64"/>
      <c r="DHX20" s="64"/>
      <c r="DHY20" s="64"/>
      <c r="DHZ20" s="64"/>
      <c r="DIA20" s="64"/>
      <c r="DIB20" s="64"/>
      <c r="DIC20" s="64"/>
      <c r="DID20" s="64"/>
      <c r="DIE20" s="64"/>
      <c r="DIF20" s="64"/>
      <c r="DIG20" s="64"/>
      <c r="DIH20" s="64"/>
      <c r="DII20" s="64"/>
      <c r="DIJ20" s="64"/>
      <c r="DIK20" s="64"/>
      <c r="DIL20" s="64"/>
      <c r="DIM20" s="64"/>
      <c r="DIN20" s="64"/>
      <c r="DIO20" s="64"/>
      <c r="DIP20" s="64"/>
      <c r="DIQ20" s="64"/>
      <c r="DIR20" s="64"/>
      <c r="DIS20" s="64"/>
      <c r="DIT20" s="64"/>
      <c r="DIU20" s="64"/>
      <c r="DIV20" s="64"/>
      <c r="DIW20" s="64"/>
      <c r="DIX20" s="64"/>
      <c r="DIY20" s="64"/>
      <c r="DIZ20" s="64"/>
      <c r="DJA20" s="64"/>
      <c r="DJB20" s="64"/>
      <c r="DJC20" s="64"/>
      <c r="DJD20" s="64"/>
      <c r="DJE20" s="64"/>
      <c r="DJF20" s="64"/>
      <c r="DJG20" s="64"/>
      <c r="DJH20" s="64"/>
      <c r="DJI20" s="64"/>
      <c r="DJJ20" s="64"/>
      <c r="DJK20" s="64"/>
      <c r="DJL20" s="64"/>
      <c r="DJM20" s="64"/>
      <c r="DJN20" s="64"/>
      <c r="DJO20" s="64"/>
      <c r="DJP20" s="64"/>
      <c r="DJQ20" s="64"/>
      <c r="DJR20" s="64"/>
      <c r="DJS20" s="64"/>
      <c r="DJT20" s="64"/>
      <c r="DJU20" s="64"/>
      <c r="DJV20" s="64"/>
      <c r="DJW20" s="64"/>
      <c r="DJX20" s="64"/>
      <c r="DJY20" s="64"/>
      <c r="DJZ20" s="64"/>
      <c r="DKA20" s="64"/>
      <c r="DKB20" s="64"/>
      <c r="DKC20" s="64"/>
      <c r="DKD20" s="64"/>
      <c r="DKE20" s="64"/>
      <c r="DKF20" s="64"/>
      <c r="DKG20" s="64"/>
      <c r="DKH20" s="64"/>
      <c r="DKI20" s="64"/>
      <c r="DKJ20" s="64"/>
      <c r="DKK20" s="64"/>
      <c r="DKL20" s="64"/>
      <c r="DKM20" s="64"/>
      <c r="DKN20" s="64"/>
      <c r="DKO20" s="64"/>
      <c r="DKP20" s="64"/>
      <c r="DKQ20" s="64"/>
      <c r="DKR20" s="64"/>
      <c r="DKS20" s="64"/>
      <c r="DKT20" s="64"/>
      <c r="DKU20" s="64"/>
      <c r="DKV20" s="64"/>
      <c r="DKW20" s="64"/>
      <c r="DKX20" s="64"/>
      <c r="DKY20" s="64"/>
      <c r="DKZ20" s="64"/>
      <c r="DLA20" s="64"/>
      <c r="DLB20" s="64"/>
      <c r="DLC20" s="64"/>
      <c r="DLD20" s="64"/>
      <c r="DLE20" s="64"/>
      <c r="DLF20" s="64"/>
      <c r="DLG20" s="64"/>
      <c r="DLH20" s="64"/>
      <c r="DLI20" s="64"/>
      <c r="DLJ20" s="64"/>
      <c r="DLK20" s="64"/>
      <c r="DLL20" s="64"/>
      <c r="DLM20" s="64"/>
      <c r="DLN20" s="64"/>
      <c r="DLO20" s="64"/>
      <c r="DLP20" s="64"/>
      <c r="DLQ20" s="64"/>
      <c r="DLR20" s="64"/>
      <c r="DLS20" s="64"/>
      <c r="DLT20" s="64"/>
      <c r="DLU20" s="64"/>
      <c r="DLV20" s="64"/>
      <c r="DLW20" s="64"/>
      <c r="DLX20" s="64"/>
      <c r="DLY20" s="64"/>
      <c r="DLZ20" s="64"/>
      <c r="DMA20" s="64"/>
      <c r="DMB20" s="64"/>
      <c r="DMC20" s="64"/>
      <c r="DMD20" s="64"/>
      <c r="DME20" s="64"/>
      <c r="DMF20" s="64"/>
      <c r="DMG20" s="64"/>
      <c r="DMH20" s="64"/>
      <c r="DMI20" s="64"/>
      <c r="DMJ20" s="64"/>
      <c r="DMK20" s="64"/>
      <c r="DML20" s="64"/>
      <c r="DMM20" s="64"/>
      <c r="DMN20" s="64"/>
      <c r="DMO20" s="64"/>
      <c r="DMP20" s="64"/>
      <c r="DMQ20" s="64"/>
      <c r="DMR20" s="64"/>
      <c r="DMS20" s="64"/>
      <c r="DMT20" s="64"/>
      <c r="DMU20" s="64"/>
      <c r="DMV20" s="64"/>
      <c r="DMW20" s="64"/>
      <c r="DMX20" s="64"/>
      <c r="DMY20" s="64"/>
      <c r="DMZ20" s="64"/>
      <c r="DNA20" s="64"/>
      <c r="DNB20" s="64"/>
      <c r="DNC20" s="64"/>
      <c r="DND20" s="64"/>
      <c r="DNE20" s="64"/>
      <c r="DNF20" s="64"/>
      <c r="DNG20" s="64"/>
      <c r="DNH20" s="64"/>
      <c r="DNI20" s="64"/>
      <c r="DNJ20" s="64"/>
      <c r="DNK20" s="64"/>
      <c r="DNL20" s="64"/>
      <c r="DNM20" s="64"/>
      <c r="DNN20" s="64"/>
      <c r="DNO20" s="64"/>
      <c r="DNP20" s="64"/>
      <c r="DNQ20" s="64"/>
      <c r="DNR20" s="64"/>
      <c r="DNS20" s="64"/>
      <c r="DNT20" s="64"/>
      <c r="DNU20" s="64"/>
      <c r="DNV20" s="64"/>
      <c r="DNW20" s="64"/>
      <c r="DNX20" s="64"/>
      <c r="DNY20" s="64"/>
      <c r="DNZ20" s="64"/>
      <c r="DOA20" s="64"/>
      <c r="DOB20" s="64"/>
      <c r="DOC20" s="64"/>
      <c r="DOD20" s="64"/>
      <c r="DOE20" s="64"/>
      <c r="DOF20" s="64"/>
      <c r="DOG20" s="64"/>
      <c r="DOH20" s="64"/>
      <c r="DOI20" s="64"/>
      <c r="DOJ20" s="64"/>
      <c r="DOK20" s="64"/>
      <c r="DOL20" s="64"/>
      <c r="DOM20" s="64"/>
      <c r="DON20" s="64"/>
      <c r="DOO20" s="64"/>
      <c r="DOP20" s="64"/>
      <c r="DOQ20" s="64"/>
      <c r="DOR20" s="64"/>
      <c r="DOS20" s="64"/>
      <c r="DOT20" s="64"/>
      <c r="DOU20" s="64"/>
      <c r="DOV20" s="64"/>
      <c r="DOW20" s="64"/>
      <c r="DOX20" s="64"/>
      <c r="DOY20" s="64"/>
      <c r="DOZ20" s="64"/>
      <c r="DPA20" s="64"/>
      <c r="DPB20" s="64"/>
      <c r="DPC20" s="64"/>
      <c r="DPD20" s="64"/>
      <c r="DPE20" s="64"/>
      <c r="DPF20" s="64"/>
      <c r="DPG20" s="64"/>
      <c r="DPH20" s="64"/>
      <c r="DPI20" s="64"/>
      <c r="DPJ20" s="64"/>
      <c r="DPK20" s="64"/>
      <c r="DPL20" s="64"/>
      <c r="DPM20" s="64"/>
      <c r="DPN20" s="64"/>
      <c r="DPO20" s="64"/>
      <c r="DPP20" s="64"/>
      <c r="DPQ20" s="64"/>
      <c r="DPR20" s="64"/>
      <c r="DPS20" s="64"/>
      <c r="DPT20" s="64"/>
      <c r="DPU20" s="64"/>
      <c r="DPV20" s="64"/>
      <c r="DPW20" s="64"/>
      <c r="DPX20" s="64"/>
      <c r="DPY20" s="64"/>
      <c r="DPZ20" s="64"/>
      <c r="DQA20" s="64"/>
      <c r="DQB20" s="64"/>
      <c r="DQC20" s="64"/>
      <c r="DQD20" s="64"/>
      <c r="DQE20" s="64"/>
      <c r="DQF20" s="64"/>
      <c r="DQG20" s="64"/>
      <c r="DQH20" s="64"/>
      <c r="DQI20" s="64"/>
      <c r="DQJ20" s="64"/>
      <c r="DQK20" s="64"/>
      <c r="DQL20" s="64"/>
      <c r="DQM20" s="64"/>
      <c r="DQN20" s="64"/>
      <c r="DQO20" s="64"/>
      <c r="DQP20" s="64"/>
      <c r="DQQ20" s="64"/>
      <c r="DQR20" s="64"/>
      <c r="DQS20" s="64"/>
      <c r="DQT20" s="64"/>
      <c r="DQU20" s="64"/>
      <c r="DQV20" s="64"/>
      <c r="DQW20" s="64"/>
      <c r="DQX20" s="64"/>
      <c r="DQY20" s="64"/>
      <c r="DQZ20" s="64"/>
      <c r="DRA20" s="64"/>
      <c r="DRB20" s="64"/>
      <c r="DRC20" s="64"/>
      <c r="DRD20" s="64"/>
      <c r="DRE20" s="64"/>
      <c r="DRF20" s="64"/>
      <c r="DRG20" s="64"/>
      <c r="DRH20" s="64"/>
      <c r="DRI20" s="64"/>
      <c r="DRJ20" s="64"/>
      <c r="DRK20" s="64"/>
      <c r="DRL20" s="64"/>
      <c r="DRM20" s="64"/>
      <c r="DRN20" s="64"/>
      <c r="DRO20" s="64"/>
      <c r="DRP20" s="64"/>
      <c r="DRQ20" s="64"/>
      <c r="DRR20" s="64"/>
      <c r="DRS20" s="64"/>
      <c r="DRT20" s="64"/>
      <c r="DRU20" s="64"/>
      <c r="DRV20" s="64"/>
      <c r="DRW20" s="64"/>
      <c r="DRX20" s="64"/>
      <c r="DRY20" s="64"/>
      <c r="DRZ20" s="64"/>
      <c r="DSA20" s="64"/>
      <c r="DSB20" s="64"/>
      <c r="DSC20" s="64"/>
      <c r="DSD20" s="64"/>
      <c r="DSE20" s="64"/>
      <c r="DSF20" s="64"/>
      <c r="DSG20" s="64"/>
      <c r="DSH20" s="64"/>
      <c r="DSI20" s="64"/>
      <c r="DSJ20" s="64"/>
      <c r="DSK20" s="64"/>
      <c r="DSL20" s="64"/>
      <c r="DSM20" s="64"/>
      <c r="DSN20" s="64"/>
      <c r="DSO20" s="64"/>
      <c r="DSP20" s="64"/>
      <c r="DSQ20" s="64"/>
      <c r="DSR20" s="64"/>
      <c r="DSS20" s="64"/>
      <c r="DST20" s="64"/>
      <c r="DSU20" s="64"/>
      <c r="DSV20" s="64"/>
      <c r="DSW20" s="64"/>
      <c r="DSX20" s="64"/>
      <c r="DSY20" s="64"/>
      <c r="DSZ20" s="64"/>
      <c r="DTA20" s="64"/>
      <c r="DTB20" s="64"/>
      <c r="DTC20" s="64"/>
      <c r="DTD20" s="64"/>
      <c r="DTE20" s="64"/>
      <c r="DTF20" s="64"/>
      <c r="DTG20" s="64"/>
      <c r="DTH20" s="64"/>
      <c r="DTI20" s="64"/>
      <c r="DTJ20" s="64"/>
      <c r="DTK20" s="64"/>
      <c r="DTL20" s="64"/>
      <c r="DTM20" s="64"/>
      <c r="DTN20" s="64"/>
      <c r="DTO20" s="64"/>
      <c r="DTP20" s="64"/>
      <c r="DTQ20" s="64"/>
      <c r="DTR20" s="64"/>
      <c r="DTS20" s="64"/>
      <c r="DTT20" s="64"/>
      <c r="DTU20" s="64"/>
      <c r="DTV20" s="64"/>
      <c r="DTW20" s="64"/>
      <c r="DTX20" s="64"/>
      <c r="DTY20" s="64"/>
      <c r="DTZ20" s="64"/>
      <c r="DUA20" s="64"/>
      <c r="DUB20" s="64"/>
      <c r="DUC20" s="64"/>
      <c r="DUD20" s="64"/>
      <c r="DUE20" s="64"/>
      <c r="DUF20" s="64"/>
      <c r="DUG20" s="64"/>
      <c r="DUH20" s="64"/>
      <c r="DUI20" s="64"/>
      <c r="DUJ20" s="64"/>
      <c r="DUK20" s="64"/>
      <c r="DUL20" s="64"/>
      <c r="DUM20" s="64"/>
      <c r="DUN20" s="64"/>
      <c r="DUO20" s="64"/>
      <c r="DUP20" s="64"/>
      <c r="DUQ20" s="64"/>
      <c r="DUR20" s="64"/>
      <c r="DUS20" s="64"/>
      <c r="DUT20" s="64"/>
      <c r="DUU20" s="64"/>
      <c r="DUV20" s="64"/>
      <c r="DUW20" s="64"/>
      <c r="DUX20" s="64"/>
      <c r="DUY20" s="64"/>
      <c r="DUZ20" s="64"/>
      <c r="DVA20" s="64"/>
      <c r="DVB20" s="64"/>
      <c r="DVC20" s="64"/>
      <c r="DVD20" s="64"/>
      <c r="DVE20" s="64"/>
      <c r="DVF20" s="64"/>
      <c r="DVG20" s="64"/>
      <c r="DVH20" s="64"/>
      <c r="DVI20" s="64"/>
      <c r="DVJ20" s="64"/>
      <c r="DVK20" s="64"/>
      <c r="DVL20" s="64"/>
      <c r="DVM20" s="64"/>
      <c r="DVN20" s="64"/>
      <c r="DVO20" s="64"/>
      <c r="DVP20" s="64"/>
      <c r="DVQ20" s="64"/>
      <c r="DVR20" s="64"/>
      <c r="DVS20" s="64"/>
      <c r="DVT20" s="64"/>
      <c r="DVU20" s="64"/>
      <c r="DVV20" s="64"/>
      <c r="DVW20" s="64"/>
      <c r="DVX20" s="64"/>
      <c r="DVY20" s="64"/>
      <c r="DVZ20" s="64"/>
      <c r="DWA20" s="64"/>
      <c r="DWB20" s="64"/>
      <c r="DWC20" s="64"/>
      <c r="DWD20" s="64"/>
      <c r="DWE20" s="64"/>
      <c r="DWF20" s="64"/>
      <c r="DWG20" s="64"/>
      <c r="DWH20" s="64"/>
      <c r="DWI20" s="64"/>
      <c r="DWJ20" s="64"/>
      <c r="DWK20" s="64"/>
      <c r="DWL20" s="64"/>
      <c r="DWM20" s="64"/>
      <c r="DWN20" s="64"/>
      <c r="DWO20" s="64"/>
      <c r="DWP20" s="64"/>
      <c r="DWQ20" s="64"/>
      <c r="DWR20" s="64"/>
      <c r="DWS20" s="64"/>
      <c r="DWT20" s="64"/>
      <c r="DWU20" s="64"/>
      <c r="DWV20" s="64"/>
      <c r="DWW20" s="64"/>
      <c r="DWX20" s="64"/>
      <c r="DWY20" s="64"/>
      <c r="DWZ20" s="64"/>
      <c r="DXA20" s="64"/>
      <c r="DXB20" s="64"/>
      <c r="DXC20" s="64"/>
      <c r="DXD20" s="64"/>
      <c r="DXE20" s="64"/>
      <c r="DXF20" s="64"/>
      <c r="DXG20" s="64"/>
      <c r="DXH20" s="64"/>
      <c r="DXI20" s="64"/>
      <c r="DXJ20" s="64"/>
      <c r="DXK20" s="64"/>
      <c r="DXL20" s="64"/>
      <c r="DXM20" s="64"/>
      <c r="DXN20" s="64"/>
      <c r="DXO20" s="64"/>
      <c r="DXP20" s="64"/>
      <c r="DXQ20" s="64"/>
      <c r="DXR20" s="64"/>
      <c r="DXS20" s="64"/>
      <c r="DXT20" s="64"/>
      <c r="DXU20" s="64"/>
      <c r="DXV20" s="64"/>
      <c r="DXW20" s="64"/>
      <c r="DXX20" s="64"/>
      <c r="DXY20" s="64"/>
      <c r="DXZ20" s="64"/>
      <c r="DYA20" s="64"/>
      <c r="DYB20" s="64"/>
      <c r="DYC20" s="64"/>
      <c r="DYD20" s="64"/>
      <c r="DYE20" s="64"/>
      <c r="DYF20" s="64"/>
      <c r="DYG20" s="64"/>
      <c r="DYH20" s="64"/>
      <c r="DYI20" s="64"/>
      <c r="DYJ20" s="64"/>
      <c r="DYK20" s="64"/>
      <c r="DYL20" s="64"/>
      <c r="DYM20" s="64"/>
      <c r="DYN20" s="64"/>
      <c r="DYO20" s="64"/>
      <c r="DYP20" s="64"/>
      <c r="DYQ20" s="64"/>
      <c r="DYR20" s="64"/>
      <c r="DYS20" s="64"/>
      <c r="DYT20" s="64"/>
      <c r="DYU20" s="64"/>
      <c r="DYV20" s="64"/>
      <c r="DYW20" s="64"/>
      <c r="DYX20" s="64"/>
      <c r="DYY20" s="64"/>
      <c r="DYZ20" s="64"/>
      <c r="DZA20" s="64"/>
      <c r="DZB20" s="64"/>
      <c r="DZC20" s="64"/>
      <c r="DZD20" s="64"/>
      <c r="DZE20" s="64"/>
      <c r="DZF20" s="64"/>
      <c r="DZG20" s="64"/>
      <c r="DZH20" s="64"/>
      <c r="DZI20" s="64"/>
      <c r="DZJ20" s="64"/>
      <c r="DZK20" s="64"/>
      <c r="DZL20" s="64"/>
      <c r="DZM20" s="64"/>
      <c r="DZN20" s="64"/>
      <c r="DZO20" s="64"/>
      <c r="DZP20" s="64"/>
      <c r="DZQ20" s="64"/>
      <c r="DZR20" s="64"/>
      <c r="DZS20" s="64"/>
      <c r="DZT20" s="64"/>
      <c r="DZU20" s="64"/>
      <c r="DZV20" s="64"/>
      <c r="DZW20" s="64"/>
      <c r="DZX20" s="64"/>
      <c r="DZY20" s="64"/>
      <c r="DZZ20" s="64"/>
      <c r="EAA20" s="64"/>
      <c r="EAB20" s="64"/>
      <c r="EAC20" s="64"/>
      <c r="EAD20" s="64"/>
      <c r="EAE20" s="64"/>
      <c r="EAF20" s="64"/>
      <c r="EAG20" s="64"/>
      <c r="EAH20" s="64"/>
      <c r="EAI20" s="64"/>
      <c r="EAJ20" s="64"/>
      <c r="EAK20" s="64"/>
      <c r="EAL20" s="64"/>
      <c r="EAM20" s="64"/>
      <c r="EAN20" s="64"/>
      <c r="EAO20" s="64"/>
      <c r="EAP20" s="64"/>
      <c r="EAQ20" s="64"/>
      <c r="EAR20" s="64"/>
      <c r="EAS20" s="64"/>
      <c r="EAT20" s="64"/>
      <c r="EAU20" s="64"/>
      <c r="EAV20" s="64"/>
      <c r="EAW20" s="64"/>
      <c r="EAX20" s="64"/>
      <c r="EAY20" s="64"/>
      <c r="EAZ20" s="64"/>
      <c r="EBA20" s="64"/>
      <c r="EBB20" s="64"/>
      <c r="EBC20" s="64"/>
      <c r="EBD20" s="64"/>
      <c r="EBE20" s="64"/>
      <c r="EBF20" s="64"/>
      <c r="EBG20" s="64"/>
      <c r="EBH20" s="64"/>
      <c r="EBI20" s="64"/>
      <c r="EBJ20" s="64"/>
      <c r="EBK20" s="64"/>
      <c r="EBL20" s="64"/>
      <c r="EBM20" s="64"/>
      <c r="EBN20" s="64"/>
      <c r="EBO20" s="64"/>
      <c r="EBP20" s="64"/>
      <c r="EBQ20" s="64"/>
      <c r="EBR20" s="64"/>
      <c r="EBS20" s="64"/>
      <c r="EBT20" s="64"/>
      <c r="EBU20" s="64"/>
      <c r="EBV20" s="64"/>
      <c r="EBW20" s="64"/>
      <c r="EBX20" s="64"/>
      <c r="EBY20" s="64"/>
      <c r="EBZ20" s="64"/>
      <c r="ECA20" s="64"/>
      <c r="ECB20" s="64"/>
      <c r="ECC20" s="64"/>
      <c r="ECD20" s="64"/>
      <c r="ECE20" s="64"/>
      <c r="ECF20" s="64"/>
      <c r="ECG20" s="64"/>
      <c r="ECH20" s="64"/>
      <c r="ECI20" s="64"/>
      <c r="ECJ20" s="64"/>
      <c r="ECK20" s="64"/>
      <c r="ECL20" s="64"/>
      <c r="ECM20" s="64"/>
      <c r="ECN20" s="64"/>
      <c r="ECO20" s="64"/>
      <c r="ECP20" s="64"/>
      <c r="ECQ20" s="64"/>
      <c r="ECR20" s="64"/>
      <c r="ECS20" s="64"/>
      <c r="ECT20" s="64"/>
      <c r="ECU20" s="64"/>
      <c r="ECV20" s="64"/>
      <c r="ECW20" s="64"/>
      <c r="ECX20" s="64"/>
      <c r="ECY20" s="64"/>
      <c r="ECZ20" s="64"/>
      <c r="EDA20" s="64"/>
      <c r="EDB20" s="64"/>
      <c r="EDC20" s="64"/>
      <c r="EDD20" s="64"/>
      <c r="EDE20" s="64"/>
      <c r="EDF20" s="64"/>
      <c r="EDG20" s="64"/>
      <c r="EDH20" s="64"/>
      <c r="EDI20" s="64"/>
      <c r="EDJ20" s="64"/>
      <c r="EDK20" s="64"/>
      <c r="EDL20" s="64"/>
      <c r="EDM20" s="64"/>
      <c r="EDN20" s="64"/>
      <c r="EDO20" s="64"/>
      <c r="EDP20" s="64"/>
      <c r="EDQ20" s="64"/>
      <c r="EDR20" s="64"/>
      <c r="EDS20" s="64"/>
      <c r="EDT20" s="64"/>
      <c r="EDU20" s="64"/>
      <c r="EDV20" s="64"/>
      <c r="EDW20" s="64"/>
      <c r="EDX20" s="64"/>
      <c r="EDY20" s="64"/>
      <c r="EDZ20" s="64"/>
      <c r="EEA20" s="64"/>
      <c r="EEB20" s="64"/>
      <c r="EEC20" s="64"/>
      <c r="EED20" s="64"/>
      <c r="EEE20" s="64"/>
      <c r="EEF20" s="64"/>
      <c r="EEG20" s="64"/>
      <c r="EEH20" s="64"/>
      <c r="EEI20" s="64"/>
      <c r="EEJ20" s="64"/>
      <c r="EEK20" s="64"/>
      <c r="EEL20" s="64"/>
      <c r="EEM20" s="64"/>
      <c r="EEN20" s="64"/>
      <c r="EEO20" s="64"/>
      <c r="EEP20" s="64"/>
      <c r="EEQ20" s="64"/>
      <c r="EER20" s="64"/>
      <c r="EES20" s="64"/>
      <c r="EET20" s="64"/>
      <c r="EEU20" s="64"/>
      <c r="EEV20" s="64"/>
      <c r="EEW20" s="64"/>
      <c r="EEX20" s="64"/>
      <c r="EEY20" s="64"/>
      <c r="EEZ20" s="64"/>
      <c r="EFA20" s="64"/>
      <c r="EFB20" s="64"/>
      <c r="EFC20" s="64"/>
      <c r="EFD20" s="64"/>
      <c r="EFE20" s="64"/>
      <c r="EFF20" s="64"/>
      <c r="EFG20" s="64"/>
      <c r="EFH20" s="64"/>
      <c r="EFI20" s="64"/>
      <c r="EFJ20" s="64"/>
      <c r="EFK20" s="64"/>
      <c r="EFL20" s="64"/>
      <c r="EFM20" s="64"/>
      <c r="EFN20" s="64"/>
      <c r="EFO20" s="64"/>
      <c r="EFP20" s="64"/>
      <c r="EFQ20" s="64"/>
      <c r="EFR20" s="64"/>
      <c r="EFS20" s="64"/>
      <c r="EFT20" s="64"/>
      <c r="EFU20" s="64"/>
      <c r="EFV20" s="64"/>
      <c r="EFW20" s="64"/>
      <c r="EFX20" s="64"/>
      <c r="EFY20" s="64"/>
      <c r="EFZ20" s="64"/>
      <c r="EGA20" s="64"/>
      <c r="EGB20" s="64"/>
      <c r="EGC20" s="64"/>
      <c r="EGD20" s="64"/>
      <c r="EGE20" s="64"/>
      <c r="EGF20" s="64"/>
      <c r="EGG20" s="64"/>
      <c r="EGH20" s="64"/>
      <c r="EGI20" s="64"/>
      <c r="EGJ20" s="64"/>
      <c r="EGK20" s="64"/>
      <c r="EGL20" s="64"/>
      <c r="EGM20" s="64"/>
      <c r="EGN20" s="64"/>
      <c r="EGO20" s="64"/>
      <c r="EGP20" s="64"/>
      <c r="EGQ20" s="64"/>
      <c r="EGR20" s="64"/>
      <c r="EGS20" s="64"/>
      <c r="EGT20" s="64"/>
      <c r="EGU20" s="64"/>
      <c r="EGV20" s="64"/>
      <c r="EGW20" s="64"/>
      <c r="EGX20" s="64"/>
      <c r="EGY20" s="64"/>
      <c r="EGZ20" s="64"/>
      <c r="EHA20" s="64"/>
      <c r="EHB20" s="64"/>
      <c r="EHC20" s="64"/>
      <c r="EHD20" s="64"/>
      <c r="EHE20" s="64"/>
      <c r="EHF20" s="64"/>
      <c r="EHG20" s="64"/>
      <c r="EHH20" s="64"/>
      <c r="EHI20" s="64"/>
      <c r="EHJ20" s="64"/>
      <c r="EHK20" s="64"/>
      <c r="EHL20" s="64"/>
      <c r="EHM20" s="64"/>
      <c r="EHN20" s="64"/>
      <c r="EHO20" s="64"/>
      <c r="EHP20" s="64"/>
      <c r="EHQ20" s="64"/>
      <c r="EHR20" s="64"/>
      <c r="EHS20" s="64"/>
      <c r="EHT20" s="64"/>
      <c r="EHU20" s="64"/>
      <c r="EHV20" s="64"/>
      <c r="EHW20" s="64"/>
      <c r="EHX20" s="64"/>
      <c r="EHY20" s="64"/>
      <c r="EHZ20" s="64"/>
      <c r="EIA20" s="64"/>
      <c r="EIB20" s="64"/>
      <c r="EIC20" s="64"/>
      <c r="EID20" s="64"/>
      <c r="EIE20" s="64"/>
      <c r="EIF20" s="64"/>
      <c r="EIG20" s="64"/>
      <c r="EIH20" s="64"/>
      <c r="EII20" s="64"/>
      <c r="EIJ20" s="64"/>
      <c r="EIK20" s="64"/>
      <c r="EIL20" s="64"/>
      <c r="EIM20" s="64"/>
      <c r="EIN20" s="64"/>
      <c r="EIO20" s="64"/>
      <c r="EIP20" s="64"/>
      <c r="EIQ20" s="64"/>
      <c r="EIR20" s="64"/>
      <c r="EIS20" s="64"/>
      <c r="EIT20" s="64"/>
      <c r="EIU20" s="64"/>
      <c r="EIV20" s="64"/>
      <c r="EIW20" s="64"/>
      <c r="EIX20" s="64"/>
      <c r="EIY20" s="64"/>
      <c r="EIZ20" s="64"/>
      <c r="EJA20" s="64"/>
      <c r="EJB20" s="64"/>
      <c r="EJC20" s="64"/>
      <c r="EJD20" s="64"/>
      <c r="EJE20" s="64"/>
      <c r="EJF20" s="64"/>
      <c r="EJG20" s="64"/>
      <c r="EJH20" s="64"/>
      <c r="EJI20" s="64"/>
      <c r="EJJ20" s="64"/>
      <c r="EJK20" s="64"/>
      <c r="EJL20" s="64"/>
      <c r="EJM20" s="64"/>
      <c r="EJN20" s="64"/>
      <c r="EJO20" s="64"/>
      <c r="EJP20" s="64"/>
      <c r="EJQ20" s="64"/>
      <c r="EJR20" s="64"/>
      <c r="EJS20" s="64"/>
      <c r="EJT20" s="64"/>
      <c r="EJU20" s="64"/>
      <c r="EJV20" s="64"/>
      <c r="EJW20" s="64"/>
      <c r="EJX20" s="64"/>
      <c r="EJY20" s="64"/>
      <c r="EJZ20" s="64"/>
      <c r="EKA20" s="64"/>
      <c r="EKB20" s="64"/>
      <c r="EKC20" s="64"/>
      <c r="EKD20" s="64"/>
      <c r="EKE20" s="64"/>
      <c r="EKF20" s="64"/>
      <c r="EKG20" s="64"/>
      <c r="EKH20" s="64"/>
      <c r="EKI20" s="64"/>
      <c r="EKJ20" s="64"/>
      <c r="EKK20" s="64"/>
      <c r="EKL20" s="64"/>
      <c r="EKM20" s="64"/>
      <c r="EKN20" s="64"/>
      <c r="EKO20" s="64"/>
      <c r="EKP20" s="64"/>
      <c r="EKQ20" s="64"/>
      <c r="EKR20" s="64"/>
      <c r="EKS20" s="64"/>
      <c r="EKT20" s="64"/>
      <c r="EKU20" s="64"/>
      <c r="EKV20" s="64"/>
      <c r="EKW20" s="64"/>
      <c r="EKX20" s="64"/>
      <c r="EKY20" s="64"/>
      <c r="EKZ20" s="64"/>
      <c r="ELA20" s="64"/>
      <c r="ELB20" s="64"/>
      <c r="ELC20" s="64"/>
      <c r="ELD20" s="64"/>
      <c r="ELE20" s="64"/>
      <c r="ELF20" s="64"/>
      <c r="ELG20" s="64"/>
      <c r="ELH20" s="64"/>
      <c r="ELI20" s="64"/>
      <c r="ELJ20" s="64"/>
      <c r="ELK20" s="64"/>
      <c r="ELL20" s="64"/>
      <c r="ELM20" s="64"/>
      <c r="ELN20" s="64"/>
      <c r="ELO20" s="64"/>
      <c r="ELP20" s="64"/>
      <c r="ELQ20" s="64"/>
      <c r="ELR20" s="64"/>
      <c r="ELS20" s="64"/>
      <c r="ELT20" s="64"/>
      <c r="ELU20" s="64"/>
      <c r="ELV20" s="64"/>
      <c r="ELW20" s="64"/>
      <c r="ELX20" s="64"/>
      <c r="ELY20" s="64"/>
      <c r="ELZ20" s="64"/>
      <c r="EMA20" s="64"/>
      <c r="EMB20" s="64"/>
      <c r="EMC20" s="64"/>
      <c r="EMD20" s="64"/>
      <c r="EME20" s="64"/>
      <c r="EMF20" s="64"/>
      <c r="EMG20" s="64"/>
      <c r="EMH20" s="64"/>
      <c r="EMI20" s="64"/>
      <c r="EMJ20" s="64"/>
      <c r="EMK20" s="64"/>
      <c r="EML20" s="64"/>
      <c r="EMM20" s="64"/>
      <c r="EMN20" s="64"/>
      <c r="EMO20" s="64"/>
      <c r="EMP20" s="64"/>
      <c r="EMQ20" s="64"/>
      <c r="EMR20" s="64"/>
      <c r="EMS20" s="64"/>
      <c r="EMT20" s="64"/>
      <c r="EMU20" s="64"/>
      <c r="EMV20" s="64"/>
      <c r="EMW20" s="64"/>
      <c r="EMX20" s="64"/>
      <c r="EMY20" s="64"/>
      <c r="EMZ20" s="64"/>
      <c r="ENA20" s="64"/>
      <c r="ENB20" s="64"/>
      <c r="ENC20" s="64"/>
      <c r="END20" s="64"/>
      <c r="ENE20" s="64"/>
      <c r="ENF20" s="64"/>
      <c r="ENG20" s="64"/>
      <c r="ENH20" s="64"/>
      <c r="ENI20" s="64"/>
      <c r="ENJ20" s="64"/>
      <c r="ENK20" s="64"/>
      <c r="ENL20" s="64"/>
      <c r="ENM20" s="64"/>
      <c r="ENN20" s="64"/>
      <c r="ENO20" s="64"/>
      <c r="ENP20" s="64"/>
      <c r="ENQ20" s="64"/>
      <c r="ENR20" s="64"/>
      <c r="ENS20" s="64"/>
      <c r="ENT20" s="64"/>
      <c r="ENU20" s="64"/>
      <c r="ENV20" s="64"/>
      <c r="ENW20" s="64"/>
      <c r="ENX20" s="64"/>
      <c r="ENY20" s="64"/>
      <c r="ENZ20" s="64"/>
      <c r="EOA20" s="64"/>
      <c r="EOB20" s="64"/>
      <c r="EOC20" s="64"/>
      <c r="EOD20" s="64"/>
      <c r="EOE20" s="64"/>
      <c r="EOF20" s="64"/>
      <c r="EOG20" s="64"/>
      <c r="EOH20" s="64"/>
      <c r="EOI20" s="64"/>
      <c r="EOJ20" s="64"/>
      <c r="EOK20" s="64"/>
      <c r="EOL20" s="64"/>
      <c r="EOM20" s="64"/>
      <c r="EON20" s="64"/>
      <c r="EOO20" s="64"/>
      <c r="EOP20" s="64"/>
      <c r="EOQ20" s="64"/>
      <c r="EOR20" s="64"/>
      <c r="EOS20" s="64"/>
      <c r="EOT20" s="64"/>
      <c r="EOU20" s="64"/>
      <c r="EOV20" s="64"/>
      <c r="EOW20" s="64"/>
      <c r="EOX20" s="64"/>
      <c r="EOY20" s="64"/>
      <c r="EOZ20" s="64"/>
      <c r="EPA20" s="64"/>
      <c r="EPB20" s="64"/>
      <c r="EPC20" s="64"/>
      <c r="EPD20" s="64"/>
      <c r="EPE20" s="64"/>
      <c r="EPF20" s="64"/>
      <c r="EPG20" s="64"/>
      <c r="EPH20" s="64"/>
      <c r="EPI20" s="64"/>
      <c r="EPJ20" s="64"/>
      <c r="EPK20" s="64"/>
      <c r="EPL20" s="64"/>
      <c r="EPM20" s="64"/>
      <c r="EPN20" s="64"/>
      <c r="EPO20" s="64"/>
      <c r="EPP20" s="64"/>
      <c r="EPQ20" s="64"/>
      <c r="EPR20" s="64"/>
      <c r="EPS20" s="64"/>
      <c r="EPT20" s="64"/>
      <c r="EPU20" s="64"/>
      <c r="EPV20" s="64"/>
      <c r="EPW20" s="64"/>
      <c r="EPX20" s="64"/>
      <c r="EPY20" s="64"/>
      <c r="EPZ20" s="64"/>
      <c r="EQA20" s="64"/>
      <c r="EQB20" s="64"/>
      <c r="EQC20" s="64"/>
      <c r="EQD20" s="64"/>
      <c r="EQE20" s="64"/>
      <c r="EQF20" s="64"/>
      <c r="EQG20" s="64"/>
      <c r="EQH20" s="64"/>
      <c r="EQI20" s="64"/>
      <c r="EQJ20" s="64"/>
      <c r="EQK20" s="64"/>
      <c r="EQL20" s="64"/>
      <c r="EQM20" s="64"/>
      <c r="EQN20" s="64"/>
      <c r="EQO20" s="64"/>
      <c r="EQP20" s="64"/>
      <c r="EQQ20" s="64"/>
      <c r="EQR20" s="64"/>
      <c r="EQS20" s="64"/>
      <c r="EQT20" s="64"/>
      <c r="EQU20" s="64"/>
      <c r="EQV20" s="64"/>
      <c r="EQW20" s="64"/>
      <c r="EQX20" s="64"/>
      <c r="EQY20" s="64"/>
      <c r="EQZ20" s="64"/>
      <c r="ERA20" s="64"/>
      <c r="ERB20" s="64"/>
      <c r="ERC20" s="64"/>
      <c r="ERD20" s="64"/>
      <c r="ERE20" s="64"/>
      <c r="ERF20" s="64"/>
      <c r="ERG20" s="64"/>
      <c r="ERH20" s="64"/>
      <c r="ERI20" s="64"/>
      <c r="ERJ20" s="64"/>
      <c r="ERK20" s="64"/>
      <c r="ERL20" s="64"/>
      <c r="ERM20" s="64"/>
      <c r="ERN20" s="64"/>
      <c r="ERO20" s="64"/>
      <c r="ERP20" s="64"/>
      <c r="ERQ20" s="64"/>
      <c r="ERR20" s="64"/>
      <c r="ERS20" s="64"/>
      <c r="ERT20" s="64"/>
      <c r="ERU20" s="64"/>
      <c r="ERV20" s="64"/>
      <c r="ERW20" s="64"/>
      <c r="ERX20" s="64"/>
      <c r="ERY20" s="64"/>
      <c r="ERZ20" s="64"/>
      <c r="ESA20" s="64"/>
      <c r="ESB20" s="64"/>
      <c r="ESC20" s="64"/>
      <c r="ESD20" s="64"/>
      <c r="ESE20" s="64"/>
      <c r="ESF20" s="64"/>
      <c r="ESG20" s="64"/>
      <c r="ESH20" s="64"/>
      <c r="ESI20" s="64"/>
      <c r="ESJ20" s="64"/>
      <c r="ESK20" s="64"/>
      <c r="ESL20" s="64"/>
      <c r="ESM20" s="64"/>
      <c r="ESN20" s="64"/>
      <c r="ESO20" s="64"/>
      <c r="ESP20" s="64"/>
      <c r="ESQ20" s="64"/>
      <c r="ESR20" s="64"/>
      <c r="ESS20" s="64"/>
      <c r="EST20" s="64"/>
      <c r="ESU20" s="64"/>
      <c r="ESV20" s="64"/>
      <c r="ESW20" s="64"/>
      <c r="ESX20" s="64"/>
      <c r="ESY20" s="64"/>
      <c r="ESZ20" s="64"/>
      <c r="ETA20" s="64"/>
      <c r="ETB20" s="64"/>
      <c r="ETC20" s="64"/>
      <c r="ETD20" s="64"/>
      <c r="ETE20" s="64"/>
      <c r="ETF20" s="64"/>
      <c r="ETG20" s="64"/>
      <c r="ETH20" s="64"/>
      <c r="ETI20" s="64"/>
      <c r="ETJ20" s="64"/>
      <c r="ETK20" s="64"/>
      <c r="ETL20" s="64"/>
      <c r="ETM20" s="64"/>
      <c r="ETN20" s="64"/>
      <c r="ETO20" s="64"/>
      <c r="ETP20" s="64"/>
      <c r="ETQ20" s="64"/>
      <c r="ETR20" s="64"/>
      <c r="ETS20" s="64"/>
      <c r="ETT20" s="64"/>
      <c r="ETU20" s="64"/>
      <c r="ETV20" s="64"/>
      <c r="ETW20" s="64"/>
      <c r="ETX20" s="64"/>
      <c r="ETY20" s="64"/>
      <c r="ETZ20" s="64"/>
      <c r="EUA20" s="64"/>
      <c r="EUB20" s="64"/>
      <c r="EUC20" s="64"/>
      <c r="EUD20" s="64"/>
      <c r="EUE20" s="64"/>
      <c r="EUF20" s="64"/>
      <c r="EUG20" s="64"/>
      <c r="EUH20" s="64"/>
      <c r="EUI20" s="64"/>
      <c r="EUJ20" s="64"/>
      <c r="EUK20" s="64"/>
      <c r="EUL20" s="64"/>
      <c r="EUM20" s="64"/>
      <c r="EUN20" s="64"/>
      <c r="EUO20" s="64"/>
      <c r="EUP20" s="64"/>
      <c r="EUQ20" s="64"/>
      <c r="EUR20" s="64"/>
      <c r="EUS20" s="64"/>
      <c r="EUT20" s="64"/>
      <c r="EUU20" s="64"/>
      <c r="EUV20" s="64"/>
      <c r="EUW20" s="64"/>
      <c r="EUX20" s="64"/>
      <c r="EUY20" s="64"/>
      <c r="EUZ20" s="64"/>
      <c r="EVA20" s="64"/>
      <c r="EVB20" s="64"/>
      <c r="EVC20" s="64"/>
      <c r="EVD20" s="64"/>
      <c r="EVE20" s="64"/>
      <c r="EVF20" s="64"/>
      <c r="EVG20" s="64"/>
      <c r="EVH20" s="64"/>
      <c r="EVI20" s="64"/>
      <c r="EVJ20" s="64"/>
      <c r="EVK20" s="64"/>
      <c r="EVL20" s="64"/>
      <c r="EVM20" s="64"/>
      <c r="EVN20" s="64"/>
      <c r="EVO20" s="64"/>
      <c r="EVP20" s="64"/>
      <c r="EVQ20" s="64"/>
      <c r="EVR20" s="64"/>
      <c r="EVS20" s="64"/>
      <c r="EVT20" s="64"/>
      <c r="EVU20" s="64"/>
      <c r="EVV20" s="64"/>
      <c r="EVW20" s="64"/>
      <c r="EVX20" s="64"/>
      <c r="EVY20" s="64"/>
      <c r="EVZ20" s="64"/>
      <c r="EWA20" s="64"/>
      <c r="EWB20" s="64"/>
      <c r="EWC20" s="64"/>
      <c r="EWD20" s="64"/>
      <c r="EWE20" s="64"/>
      <c r="EWF20" s="64"/>
      <c r="EWG20" s="64"/>
      <c r="EWH20" s="64"/>
      <c r="EWI20" s="64"/>
      <c r="EWJ20" s="64"/>
      <c r="EWK20" s="64"/>
      <c r="EWL20" s="64"/>
      <c r="EWM20" s="64"/>
      <c r="EWN20" s="64"/>
      <c r="EWO20" s="64"/>
      <c r="EWP20" s="64"/>
      <c r="EWQ20" s="64"/>
      <c r="EWR20" s="64"/>
      <c r="EWS20" s="64"/>
      <c r="EWT20" s="64"/>
      <c r="EWU20" s="64"/>
      <c r="EWV20" s="64"/>
      <c r="EWW20" s="64"/>
      <c r="EWX20" s="64"/>
      <c r="EWY20" s="64"/>
      <c r="EWZ20" s="64"/>
      <c r="EXA20" s="64"/>
      <c r="EXB20" s="64"/>
      <c r="EXC20" s="64"/>
      <c r="EXD20" s="64"/>
      <c r="EXE20" s="64"/>
      <c r="EXF20" s="64"/>
      <c r="EXG20" s="64"/>
      <c r="EXH20" s="64"/>
      <c r="EXI20" s="64"/>
      <c r="EXJ20" s="64"/>
      <c r="EXK20" s="64"/>
      <c r="EXL20" s="64"/>
      <c r="EXM20" s="64"/>
      <c r="EXN20" s="64"/>
      <c r="EXO20" s="64"/>
      <c r="EXP20" s="64"/>
      <c r="EXQ20" s="64"/>
      <c r="EXR20" s="64"/>
      <c r="EXS20" s="64"/>
      <c r="EXT20" s="64"/>
      <c r="EXU20" s="64"/>
      <c r="EXV20" s="64"/>
      <c r="EXW20" s="64"/>
      <c r="EXX20" s="64"/>
      <c r="EXY20" s="64"/>
      <c r="EXZ20" s="64"/>
      <c r="EYA20" s="64"/>
      <c r="EYB20" s="64"/>
      <c r="EYC20" s="64"/>
      <c r="EYD20" s="64"/>
      <c r="EYE20" s="64"/>
      <c r="EYF20" s="64"/>
      <c r="EYG20" s="64"/>
      <c r="EYH20" s="64"/>
      <c r="EYI20" s="64"/>
      <c r="EYJ20" s="64"/>
      <c r="EYK20" s="64"/>
      <c r="EYL20" s="64"/>
      <c r="EYM20" s="64"/>
      <c r="EYN20" s="64"/>
      <c r="EYO20" s="64"/>
      <c r="EYP20" s="64"/>
      <c r="EYQ20" s="64"/>
      <c r="EYR20" s="64"/>
      <c r="EYS20" s="64"/>
      <c r="EYT20" s="64"/>
      <c r="EYU20" s="64"/>
      <c r="EYV20" s="64"/>
      <c r="EYW20" s="64"/>
      <c r="EYX20" s="64"/>
      <c r="EYY20" s="64"/>
      <c r="EYZ20" s="64"/>
      <c r="EZA20" s="64"/>
      <c r="EZB20" s="64"/>
      <c r="EZC20" s="64"/>
      <c r="EZD20" s="64"/>
      <c r="EZE20" s="64"/>
      <c r="EZF20" s="64"/>
      <c r="EZG20" s="64"/>
      <c r="EZH20" s="64"/>
      <c r="EZI20" s="64"/>
      <c r="EZJ20" s="64"/>
      <c r="EZK20" s="64"/>
      <c r="EZL20" s="64"/>
      <c r="EZM20" s="64"/>
      <c r="EZN20" s="64"/>
      <c r="EZO20" s="64"/>
      <c r="EZP20" s="64"/>
      <c r="EZQ20" s="64"/>
      <c r="EZR20" s="64"/>
      <c r="EZS20" s="64"/>
      <c r="EZT20" s="64"/>
      <c r="EZU20" s="64"/>
      <c r="EZV20" s="64"/>
      <c r="EZW20" s="64"/>
      <c r="EZX20" s="64"/>
      <c r="EZY20" s="64"/>
      <c r="EZZ20" s="64"/>
      <c r="FAA20" s="64"/>
      <c r="FAB20" s="64"/>
      <c r="FAC20" s="64"/>
      <c r="FAD20" s="64"/>
      <c r="FAE20" s="64"/>
      <c r="FAF20" s="64"/>
      <c r="FAG20" s="64"/>
      <c r="FAH20" s="64"/>
      <c r="FAI20" s="64"/>
      <c r="FAJ20" s="64"/>
      <c r="FAK20" s="64"/>
      <c r="FAL20" s="64"/>
      <c r="FAM20" s="64"/>
      <c r="FAN20" s="64"/>
      <c r="FAO20" s="64"/>
      <c r="FAP20" s="64"/>
      <c r="FAQ20" s="64"/>
      <c r="FAR20" s="64"/>
      <c r="FAS20" s="64"/>
      <c r="FAT20" s="64"/>
      <c r="FAU20" s="64"/>
      <c r="FAV20" s="64"/>
      <c r="FAW20" s="64"/>
      <c r="FAX20" s="64"/>
      <c r="FAY20" s="64"/>
      <c r="FAZ20" s="64"/>
      <c r="FBA20" s="64"/>
      <c r="FBB20" s="64"/>
      <c r="FBC20" s="64"/>
      <c r="FBD20" s="64"/>
      <c r="FBE20" s="64"/>
      <c r="FBF20" s="64"/>
      <c r="FBG20" s="64"/>
      <c r="FBH20" s="64"/>
      <c r="FBI20" s="64"/>
      <c r="FBJ20" s="64"/>
      <c r="FBK20" s="64"/>
      <c r="FBL20" s="64"/>
      <c r="FBM20" s="64"/>
      <c r="FBN20" s="64"/>
      <c r="FBO20" s="64"/>
      <c r="FBP20" s="64"/>
      <c r="FBQ20" s="64"/>
      <c r="FBR20" s="64"/>
      <c r="FBS20" s="64"/>
      <c r="FBT20" s="64"/>
      <c r="FBU20" s="64"/>
      <c r="FBV20" s="64"/>
      <c r="FBW20" s="64"/>
      <c r="FBX20" s="64"/>
      <c r="FBY20" s="64"/>
      <c r="FBZ20" s="64"/>
      <c r="FCA20" s="64"/>
      <c r="FCB20" s="64"/>
      <c r="FCC20" s="64"/>
      <c r="FCD20" s="64"/>
      <c r="FCE20" s="64"/>
      <c r="FCF20" s="64"/>
      <c r="FCG20" s="64"/>
      <c r="FCH20" s="64"/>
      <c r="FCI20" s="64"/>
      <c r="FCJ20" s="64"/>
      <c r="FCK20" s="64"/>
      <c r="FCL20" s="64"/>
      <c r="FCM20" s="64"/>
      <c r="FCN20" s="64"/>
      <c r="FCO20" s="64"/>
      <c r="FCP20" s="64"/>
      <c r="FCQ20" s="64"/>
      <c r="FCR20" s="64"/>
      <c r="FCS20" s="64"/>
      <c r="FCT20" s="64"/>
      <c r="FCU20" s="64"/>
      <c r="FCV20" s="64"/>
      <c r="FCW20" s="64"/>
      <c r="FCX20" s="64"/>
      <c r="FCY20" s="64"/>
      <c r="FCZ20" s="64"/>
      <c r="FDA20" s="64"/>
      <c r="FDB20" s="64"/>
      <c r="FDC20" s="64"/>
      <c r="FDD20" s="64"/>
      <c r="FDE20" s="64"/>
      <c r="FDF20" s="64"/>
      <c r="FDG20" s="64"/>
      <c r="FDH20" s="64"/>
      <c r="FDI20" s="64"/>
      <c r="FDJ20" s="64"/>
      <c r="FDK20" s="64"/>
      <c r="FDL20" s="64"/>
      <c r="FDM20" s="64"/>
      <c r="FDN20" s="64"/>
      <c r="FDO20" s="64"/>
      <c r="FDP20" s="64"/>
      <c r="FDQ20" s="64"/>
      <c r="FDR20" s="64"/>
      <c r="FDS20" s="64"/>
      <c r="FDT20" s="64"/>
      <c r="FDU20" s="64"/>
      <c r="FDV20" s="64"/>
      <c r="FDW20" s="64"/>
      <c r="FDX20" s="64"/>
      <c r="FDY20" s="64"/>
      <c r="FDZ20" s="64"/>
      <c r="FEA20" s="64"/>
      <c r="FEB20" s="64"/>
      <c r="FEC20" s="64"/>
      <c r="FED20" s="64"/>
      <c r="FEE20" s="64"/>
      <c r="FEF20" s="64"/>
      <c r="FEG20" s="64"/>
      <c r="FEH20" s="64"/>
      <c r="FEI20" s="64"/>
      <c r="FEJ20" s="64"/>
      <c r="FEK20" s="64"/>
      <c r="FEL20" s="64"/>
      <c r="FEM20" s="64"/>
      <c r="FEN20" s="64"/>
      <c r="FEO20" s="64"/>
      <c r="FEP20" s="64"/>
      <c r="FEQ20" s="64"/>
      <c r="FER20" s="64"/>
      <c r="FES20" s="64"/>
      <c r="FET20" s="64"/>
      <c r="FEU20" s="64"/>
      <c r="FEV20" s="64"/>
      <c r="FEW20" s="64"/>
      <c r="FEX20" s="64"/>
      <c r="FEY20" s="64"/>
      <c r="FEZ20" s="64"/>
      <c r="FFA20" s="64"/>
      <c r="FFB20" s="64"/>
      <c r="FFC20" s="64"/>
      <c r="FFD20" s="64"/>
      <c r="FFE20" s="64"/>
      <c r="FFF20" s="64"/>
      <c r="FFG20" s="64"/>
      <c r="FFH20" s="64"/>
      <c r="FFI20" s="64"/>
      <c r="FFJ20" s="64"/>
      <c r="FFK20" s="64"/>
      <c r="FFL20" s="64"/>
      <c r="FFM20" s="64"/>
      <c r="FFN20" s="64"/>
      <c r="FFO20" s="64"/>
      <c r="FFP20" s="64"/>
      <c r="FFQ20" s="64"/>
      <c r="FFR20" s="64"/>
      <c r="FFS20" s="64"/>
      <c r="FFT20" s="64"/>
      <c r="FFU20" s="64"/>
      <c r="FFV20" s="64"/>
      <c r="FFW20" s="64"/>
      <c r="FFX20" s="64"/>
      <c r="FFY20" s="64"/>
      <c r="FFZ20" s="64"/>
      <c r="FGA20" s="64"/>
      <c r="FGB20" s="64"/>
      <c r="FGC20" s="64"/>
      <c r="FGD20" s="64"/>
      <c r="FGE20" s="64"/>
      <c r="FGF20" s="64"/>
      <c r="FGG20" s="64"/>
      <c r="FGH20" s="64"/>
      <c r="FGI20" s="64"/>
      <c r="FGJ20" s="64"/>
      <c r="FGK20" s="64"/>
      <c r="FGL20" s="64"/>
      <c r="FGM20" s="64"/>
      <c r="FGN20" s="64"/>
      <c r="FGO20" s="64"/>
      <c r="FGP20" s="64"/>
      <c r="FGQ20" s="64"/>
      <c r="FGR20" s="64"/>
      <c r="FGS20" s="64"/>
      <c r="FGT20" s="64"/>
      <c r="FGU20" s="64"/>
      <c r="FGV20" s="64"/>
      <c r="FGW20" s="64"/>
      <c r="FGX20" s="64"/>
      <c r="FGY20" s="64"/>
      <c r="FGZ20" s="64"/>
      <c r="FHA20" s="64"/>
      <c r="FHB20" s="64"/>
      <c r="FHC20" s="64"/>
      <c r="FHD20" s="64"/>
      <c r="FHE20" s="64"/>
      <c r="FHF20" s="64"/>
      <c r="FHG20" s="64"/>
      <c r="FHH20" s="64"/>
      <c r="FHI20" s="64"/>
      <c r="FHJ20" s="64"/>
      <c r="FHK20" s="64"/>
      <c r="FHL20" s="64"/>
      <c r="FHM20" s="64"/>
      <c r="FHN20" s="64"/>
      <c r="FHO20" s="64"/>
      <c r="FHP20" s="64"/>
      <c r="FHQ20" s="64"/>
      <c r="FHR20" s="64"/>
      <c r="FHS20" s="64"/>
      <c r="FHT20" s="64"/>
      <c r="FHU20" s="64"/>
      <c r="FHV20" s="64"/>
      <c r="FHW20" s="64"/>
      <c r="FHX20" s="64"/>
      <c r="FHY20" s="64"/>
      <c r="FHZ20" s="64"/>
      <c r="FIA20" s="64"/>
      <c r="FIB20" s="64"/>
      <c r="FIC20" s="64"/>
      <c r="FID20" s="64"/>
      <c r="FIE20" s="64"/>
      <c r="FIF20" s="64"/>
      <c r="FIG20" s="64"/>
      <c r="FIH20" s="64"/>
      <c r="FII20" s="64"/>
      <c r="FIJ20" s="64"/>
      <c r="FIK20" s="64"/>
      <c r="FIL20" s="64"/>
      <c r="FIM20" s="64"/>
      <c r="FIN20" s="64"/>
      <c r="FIO20" s="64"/>
      <c r="FIP20" s="64"/>
      <c r="FIQ20" s="64"/>
      <c r="FIR20" s="64"/>
      <c r="FIS20" s="64"/>
      <c r="FIT20" s="64"/>
      <c r="FIU20" s="64"/>
      <c r="FIV20" s="64"/>
      <c r="FIW20" s="64"/>
      <c r="FIX20" s="64"/>
      <c r="FIY20" s="64"/>
      <c r="FIZ20" s="64"/>
      <c r="FJA20" s="64"/>
      <c r="FJB20" s="64"/>
      <c r="FJC20" s="64"/>
      <c r="FJD20" s="64"/>
      <c r="FJE20" s="64"/>
      <c r="FJF20" s="64"/>
      <c r="FJG20" s="64"/>
      <c r="FJH20" s="64"/>
      <c r="FJI20" s="64"/>
      <c r="FJJ20" s="64"/>
      <c r="FJK20" s="64"/>
      <c r="FJL20" s="64"/>
      <c r="FJM20" s="64"/>
      <c r="FJN20" s="64"/>
      <c r="FJO20" s="64"/>
      <c r="FJP20" s="64"/>
      <c r="FJQ20" s="64"/>
      <c r="FJR20" s="64"/>
      <c r="FJS20" s="64"/>
      <c r="FJT20" s="64"/>
      <c r="FJU20" s="64"/>
      <c r="FJV20" s="64"/>
      <c r="FJW20" s="64"/>
      <c r="FJX20" s="64"/>
      <c r="FJY20" s="64"/>
      <c r="FJZ20" s="64"/>
      <c r="FKA20" s="64"/>
      <c r="FKB20" s="64"/>
      <c r="FKC20" s="64"/>
      <c r="FKD20" s="64"/>
      <c r="FKE20" s="64"/>
      <c r="FKF20" s="64"/>
      <c r="FKG20" s="64"/>
      <c r="FKH20" s="64"/>
      <c r="FKI20" s="64"/>
      <c r="FKJ20" s="64"/>
      <c r="FKK20" s="64"/>
      <c r="FKL20" s="64"/>
      <c r="FKM20" s="64"/>
      <c r="FKN20" s="64"/>
      <c r="FKO20" s="64"/>
      <c r="FKP20" s="64"/>
      <c r="FKQ20" s="64"/>
      <c r="FKR20" s="64"/>
      <c r="FKS20" s="64"/>
      <c r="FKT20" s="64"/>
      <c r="FKU20" s="64"/>
      <c r="FKV20" s="64"/>
      <c r="FKW20" s="64"/>
      <c r="FKX20" s="64"/>
      <c r="FKY20" s="64"/>
      <c r="FKZ20" s="64"/>
      <c r="FLA20" s="64"/>
      <c r="FLB20" s="64"/>
      <c r="FLC20" s="64"/>
      <c r="FLD20" s="64"/>
      <c r="FLE20" s="64"/>
      <c r="FLF20" s="64"/>
      <c r="FLG20" s="64"/>
      <c r="FLH20" s="64"/>
      <c r="FLI20" s="64"/>
      <c r="FLJ20" s="64"/>
      <c r="FLK20" s="64"/>
      <c r="FLL20" s="64"/>
      <c r="FLM20" s="64"/>
      <c r="FLN20" s="64"/>
      <c r="FLO20" s="64"/>
      <c r="FLP20" s="64"/>
      <c r="FLQ20" s="64"/>
      <c r="FLR20" s="64"/>
      <c r="FLS20" s="64"/>
      <c r="FLT20" s="64"/>
      <c r="FLU20" s="64"/>
      <c r="FLV20" s="64"/>
      <c r="FLW20" s="64"/>
      <c r="FLX20" s="64"/>
      <c r="FLY20" s="64"/>
      <c r="FLZ20" s="64"/>
      <c r="FMA20" s="64"/>
      <c r="FMB20" s="64"/>
      <c r="FMC20" s="64"/>
      <c r="FMD20" s="64"/>
      <c r="FME20" s="64"/>
      <c r="FMF20" s="64"/>
      <c r="FMG20" s="64"/>
      <c r="FMH20" s="64"/>
      <c r="FMI20" s="64"/>
      <c r="FMJ20" s="64"/>
      <c r="FMK20" s="64"/>
      <c r="FML20" s="64"/>
      <c r="FMM20" s="64"/>
      <c r="FMN20" s="64"/>
      <c r="FMO20" s="64"/>
      <c r="FMP20" s="64"/>
      <c r="FMQ20" s="64"/>
      <c r="FMR20" s="64"/>
      <c r="FMS20" s="64"/>
      <c r="FMT20" s="64"/>
      <c r="FMU20" s="64"/>
      <c r="FMV20" s="64"/>
      <c r="FMW20" s="64"/>
      <c r="FMX20" s="64"/>
      <c r="FMY20" s="64"/>
      <c r="FMZ20" s="64"/>
      <c r="FNA20" s="64"/>
      <c r="FNB20" s="64"/>
      <c r="FNC20" s="64"/>
      <c r="FND20" s="64"/>
      <c r="FNE20" s="64"/>
      <c r="FNF20" s="64"/>
      <c r="FNG20" s="64"/>
      <c r="FNH20" s="64"/>
      <c r="FNI20" s="64"/>
      <c r="FNJ20" s="64"/>
      <c r="FNK20" s="64"/>
      <c r="FNL20" s="64"/>
      <c r="FNM20" s="64"/>
      <c r="FNN20" s="64"/>
      <c r="FNO20" s="64"/>
      <c r="FNP20" s="64"/>
      <c r="FNQ20" s="64"/>
      <c r="FNR20" s="64"/>
      <c r="FNS20" s="64"/>
      <c r="FNT20" s="64"/>
      <c r="FNU20" s="64"/>
      <c r="FNV20" s="64"/>
      <c r="FNW20" s="64"/>
      <c r="FNX20" s="64"/>
      <c r="FNY20" s="64"/>
      <c r="FNZ20" s="64"/>
      <c r="FOA20" s="64"/>
      <c r="FOB20" s="64"/>
      <c r="FOC20" s="64"/>
      <c r="FOD20" s="64"/>
      <c r="FOE20" s="64"/>
      <c r="FOF20" s="64"/>
      <c r="FOG20" s="64"/>
      <c r="FOH20" s="64"/>
      <c r="FOI20" s="64"/>
      <c r="FOJ20" s="64"/>
      <c r="FOK20" s="64"/>
      <c r="FOL20" s="64"/>
      <c r="FOM20" s="64"/>
      <c r="FON20" s="64"/>
      <c r="FOO20" s="64"/>
      <c r="FOP20" s="64"/>
      <c r="FOQ20" s="64"/>
      <c r="FOR20" s="64"/>
      <c r="FOS20" s="64"/>
      <c r="FOT20" s="64"/>
      <c r="FOU20" s="64"/>
      <c r="FOV20" s="64"/>
      <c r="FOW20" s="64"/>
      <c r="FOX20" s="64"/>
      <c r="FOY20" s="64"/>
      <c r="FOZ20" s="64"/>
      <c r="FPA20" s="64"/>
      <c r="FPB20" s="64"/>
      <c r="FPC20" s="64"/>
      <c r="FPD20" s="64"/>
      <c r="FPE20" s="64"/>
      <c r="FPF20" s="64"/>
      <c r="FPG20" s="64"/>
      <c r="FPH20" s="64"/>
      <c r="FPI20" s="64"/>
      <c r="FPJ20" s="64"/>
      <c r="FPK20" s="64"/>
      <c r="FPL20" s="64"/>
      <c r="FPM20" s="64"/>
      <c r="FPN20" s="64"/>
      <c r="FPO20" s="64"/>
      <c r="FPP20" s="64"/>
      <c r="FPQ20" s="64"/>
      <c r="FPR20" s="64"/>
      <c r="FPS20" s="64"/>
      <c r="FPT20" s="64"/>
      <c r="FPU20" s="64"/>
      <c r="FPV20" s="64"/>
      <c r="FPW20" s="64"/>
      <c r="FPX20" s="64"/>
      <c r="FPY20" s="64"/>
      <c r="FPZ20" s="64"/>
      <c r="FQA20" s="64"/>
      <c r="FQB20" s="64"/>
      <c r="FQC20" s="64"/>
      <c r="FQD20" s="64"/>
      <c r="FQE20" s="64"/>
      <c r="FQF20" s="64"/>
      <c r="FQG20" s="64"/>
      <c r="FQH20" s="64"/>
      <c r="FQI20" s="64"/>
      <c r="FQJ20" s="64"/>
      <c r="FQK20" s="64"/>
      <c r="FQL20" s="64"/>
      <c r="FQM20" s="64"/>
      <c r="FQN20" s="64"/>
      <c r="FQO20" s="64"/>
      <c r="FQP20" s="64"/>
      <c r="FQQ20" s="64"/>
      <c r="FQR20" s="64"/>
      <c r="FQS20" s="64"/>
      <c r="FQT20" s="64"/>
      <c r="FQU20" s="64"/>
      <c r="FQV20" s="64"/>
      <c r="FQW20" s="64"/>
      <c r="FQX20" s="64"/>
      <c r="FQY20" s="64"/>
      <c r="FQZ20" s="64"/>
      <c r="FRA20" s="64"/>
      <c r="FRB20" s="64"/>
      <c r="FRC20" s="64"/>
      <c r="FRD20" s="64"/>
      <c r="FRE20" s="64"/>
      <c r="FRF20" s="64"/>
      <c r="FRG20" s="64"/>
      <c r="FRH20" s="64"/>
      <c r="FRI20" s="64"/>
      <c r="FRJ20" s="64"/>
      <c r="FRK20" s="64"/>
      <c r="FRL20" s="64"/>
      <c r="FRM20" s="64"/>
      <c r="FRN20" s="64"/>
      <c r="FRO20" s="64"/>
      <c r="FRP20" s="64"/>
      <c r="FRQ20" s="64"/>
      <c r="FRR20" s="64"/>
      <c r="FRS20" s="64"/>
      <c r="FRT20" s="64"/>
      <c r="FRU20" s="64"/>
      <c r="FRV20" s="64"/>
      <c r="FRW20" s="64"/>
      <c r="FRX20" s="64"/>
      <c r="FRY20" s="64"/>
      <c r="FRZ20" s="64"/>
      <c r="FSA20" s="64"/>
      <c r="FSB20" s="64"/>
      <c r="FSC20" s="64"/>
      <c r="FSD20" s="64"/>
      <c r="FSE20" s="64"/>
      <c r="FSF20" s="64"/>
      <c r="FSG20" s="64"/>
      <c r="FSH20" s="64"/>
      <c r="FSI20" s="64"/>
      <c r="FSJ20" s="64"/>
      <c r="FSK20" s="64"/>
      <c r="FSL20" s="64"/>
      <c r="FSM20" s="64"/>
      <c r="FSN20" s="64"/>
      <c r="FSO20" s="64"/>
      <c r="FSP20" s="64"/>
      <c r="FSQ20" s="64"/>
      <c r="FSR20" s="64"/>
      <c r="FSS20" s="64"/>
      <c r="FST20" s="64"/>
      <c r="FSU20" s="64"/>
      <c r="FSV20" s="64"/>
      <c r="FSW20" s="64"/>
      <c r="FSX20" s="64"/>
      <c r="FSY20" s="64"/>
      <c r="FSZ20" s="64"/>
      <c r="FTA20" s="64"/>
      <c r="FTB20" s="64"/>
      <c r="FTC20" s="64"/>
      <c r="FTD20" s="64"/>
      <c r="FTE20" s="64"/>
      <c r="FTF20" s="64"/>
      <c r="FTG20" s="64"/>
      <c r="FTH20" s="64"/>
      <c r="FTI20" s="64"/>
      <c r="FTJ20" s="64"/>
      <c r="FTK20" s="64"/>
      <c r="FTL20" s="64"/>
      <c r="FTM20" s="64"/>
      <c r="FTN20" s="64"/>
      <c r="FTO20" s="64"/>
      <c r="FTP20" s="64"/>
      <c r="FTQ20" s="64"/>
      <c r="FTR20" s="64"/>
      <c r="FTS20" s="64"/>
      <c r="FTT20" s="64"/>
      <c r="FTU20" s="64"/>
      <c r="FTV20" s="64"/>
      <c r="FTW20" s="64"/>
      <c r="FTX20" s="64"/>
      <c r="FTY20" s="64"/>
      <c r="FTZ20" s="64"/>
      <c r="FUA20" s="64"/>
      <c r="FUB20" s="64"/>
      <c r="FUC20" s="64"/>
      <c r="FUD20" s="64"/>
      <c r="FUE20" s="64"/>
      <c r="FUF20" s="64"/>
      <c r="FUG20" s="64"/>
      <c r="FUH20" s="64"/>
      <c r="FUI20" s="64"/>
      <c r="FUJ20" s="64"/>
      <c r="FUK20" s="64"/>
      <c r="FUL20" s="64"/>
      <c r="FUM20" s="64"/>
      <c r="FUN20" s="64"/>
      <c r="FUO20" s="64"/>
      <c r="FUP20" s="64"/>
      <c r="FUQ20" s="64"/>
      <c r="FUR20" s="64"/>
      <c r="FUS20" s="64"/>
      <c r="FUT20" s="64"/>
      <c r="FUU20" s="64"/>
      <c r="FUV20" s="64"/>
      <c r="FUW20" s="64"/>
      <c r="FUX20" s="64"/>
      <c r="FUY20" s="64"/>
      <c r="FUZ20" s="64"/>
      <c r="FVA20" s="64"/>
      <c r="FVB20" s="64"/>
      <c r="FVC20" s="64"/>
      <c r="FVD20" s="64"/>
      <c r="FVE20" s="64"/>
      <c r="FVF20" s="64"/>
      <c r="FVG20" s="64"/>
      <c r="FVH20" s="64"/>
      <c r="FVI20" s="64"/>
      <c r="FVJ20" s="64"/>
      <c r="FVK20" s="64"/>
      <c r="FVL20" s="64"/>
      <c r="FVM20" s="64"/>
      <c r="FVN20" s="64"/>
      <c r="FVO20" s="64"/>
      <c r="FVP20" s="64"/>
      <c r="FVQ20" s="64"/>
      <c r="FVR20" s="64"/>
      <c r="FVS20" s="64"/>
      <c r="FVT20" s="64"/>
      <c r="FVU20" s="64"/>
      <c r="FVV20" s="64"/>
      <c r="FVW20" s="64"/>
      <c r="FVX20" s="64"/>
      <c r="FVY20" s="64"/>
      <c r="FVZ20" s="64"/>
      <c r="FWA20" s="64"/>
      <c r="FWB20" s="64"/>
      <c r="FWC20" s="64"/>
      <c r="FWD20" s="64"/>
      <c r="FWE20" s="64"/>
      <c r="FWF20" s="64"/>
      <c r="FWG20" s="64"/>
      <c r="FWH20" s="64"/>
      <c r="FWI20" s="64"/>
      <c r="FWJ20" s="64"/>
      <c r="FWK20" s="64"/>
      <c r="FWL20" s="64"/>
      <c r="FWM20" s="64"/>
      <c r="FWN20" s="64"/>
      <c r="FWO20" s="64"/>
      <c r="FWP20" s="64"/>
      <c r="FWQ20" s="64"/>
      <c r="FWR20" s="64"/>
      <c r="FWS20" s="64"/>
      <c r="FWT20" s="64"/>
      <c r="FWU20" s="64"/>
      <c r="FWV20" s="64"/>
      <c r="FWW20" s="64"/>
      <c r="FWX20" s="64"/>
      <c r="FWY20" s="64"/>
      <c r="FWZ20" s="64"/>
      <c r="FXA20" s="64"/>
      <c r="FXB20" s="64"/>
      <c r="FXC20" s="64"/>
      <c r="FXD20" s="64"/>
      <c r="FXE20" s="64"/>
      <c r="FXF20" s="64"/>
      <c r="FXG20" s="64"/>
      <c r="FXH20" s="64"/>
      <c r="FXI20" s="64"/>
      <c r="FXJ20" s="64"/>
      <c r="FXK20" s="64"/>
      <c r="FXL20" s="64"/>
      <c r="FXM20" s="64"/>
      <c r="FXN20" s="64"/>
      <c r="FXO20" s="64"/>
      <c r="FXP20" s="64"/>
      <c r="FXQ20" s="64"/>
      <c r="FXR20" s="64"/>
      <c r="FXS20" s="64"/>
      <c r="FXT20" s="64"/>
      <c r="FXU20" s="64"/>
      <c r="FXV20" s="64"/>
      <c r="FXW20" s="64"/>
      <c r="FXX20" s="64"/>
      <c r="FXY20" s="64"/>
      <c r="FXZ20" s="64"/>
      <c r="FYA20" s="64"/>
      <c r="FYB20" s="64"/>
      <c r="FYC20" s="64"/>
      <c r="FYD20" s="64"/>
      <c r="FYE20" s="64"/>
      <c r="FYF20" s="64"/>
      <c r="FYG20" s="64"/>
      <c r="FYH20" s="64"/>
      <c r="FYI20" s="64"/>
      <c r="FYJ20" s="64"/>
      <c r="FYK20" s="64"/>
      <c r="FYL20" s="64"/>
      <c r="FYM20" s="64"/>
      <c r="FYN20" s="64"/>
      <c r="FYO20" s="64"/>
      <c r="FYP20" s="64"/>
      <c r="FYQ20" s="64"/>
      <c r="FYR20" s="64"/>
      <c r="FYS20" s="64"/>
      <c r="FYT20" s="64"/>
      <c r="FYU20" s="64"/>
      <c r="FYV20" s="64"/>
      <c r="FYW20" s="64"/>
      <c r="FYX20" s="64"/>
      <c r="FYY20" s="64"/>
      <c r="FYZ20" s="64"/>
      <c r="FZA20" s="64"/>
      <c r="FZB20" s="64"/>
      <c r="FZC20" s="64"/>
      <c r="FZD20" s="64"/>
      <c r="FZE20" s="64"/>
      <c r="FZF20" s="64"/>
      <c r="FZG20" s="64"/>
      <c r="FZH20" s="64"/>
      <c r="FZI20" s="64"/>
      <c r="FZJ20" s="64"/>
      <c r="FZK20" s="64"/>
      <c r="FZL20" s="64"/>
      <c r="FZM20" s="64"/>
      <c r="FZN20" s="64"/>
      <c r="FZO20" s="64"/>
      <c r="FZP20" s="64"/>
      <c r="FZQ20" s="64"/>
      <c r="FZR20" s="64"/>
      <c r="FZS20" s="64"/>
      <c r="FZT20" s="64"/>
      <c r="FZU20" s="64"/>
      <c r="FZV20" s="64"/>
      <c r="FZW20" s="64"/>
      <c r="FZX20" s="64"/>
      <c r="FZY20" s="64"/>
      <c r="FZZ20" s="64"/>
      <c r="GAA20" s="64"/>
      <c r="GAB20" s="64"/>
      <c r="GAC20" s="64"/>
      <c r="GAD20" s="64"/>
      <c r="GAE20" s="64"/>
      <c r="GAF20" s="64"/>
      <c r="GAG20" s="64"/>
      <c r="GAH20" s="64"/>
      <c r="GAI20" s="64"/>
      <c r="GAJ20" s="64"/>
      <c r="GAK20" s="64"/>
      <c r="GAL20" s="64"/>
      <c r="GAM20" s="64"/>
      <c r="GAN20" s="64"/>
      <c r="GAO20" s="64"/>
      <c r="GAP20" s="64"/>
      <c r="GAQ20" s="64"/>
      <c r="GAR20" s="64"/>
      <c r="GAS20" s="64"/>
      <c r="GAT20" s="64"/>
      <c r="GAU20" s="64"/>
      <c r="GAV20" s="64"/>
      <c r="GAW20" s="64"/>
      <c r="GAX20" s="64"/>
      <c r="GAY20" s="64"/>
      <c r="GAZ20" s="64"/>
      <c r="GBA20" s="64"/>
      <c r="GBB20" s="64"/>
      <c r="GBC20" s="64"/>
      <c r="GBD20" s="64"/>
      <c r="GBE20" s="64"/>
      <c r="GBF20" s="64"/>
      <c r="GBG20" s="64"/>
      <c r="GBH20" s="64"/>
      <c r="GBI20" s="64"/>
      <c r="GBJ20" s="64"/>
      <c r="GBK20" s="64"/>
      <c r="GBL20" s="64"/>
      <c r="GBM20" s="64"/>
      <c r="GBN20" s="64"/>
      <c r="GBO20" s="64"/>
      <c r="GBP20" s="64"/>
      <c r="GBQ20" s="64"/>
      <c r="GBR20" s="64"/>
      <c r="GBS20" s="64"/>
      <c r="GBT20" s="64"/>
      <c r="GBU20" s="64"/>
      <c r="GBV20" s="64"/>
      <c r="GBW20" s="64"/>
      <c r="GBX20" s="64"/>
      <c r="GBY20" s="64"/>
      <c r="GBZ20" s="64"/>
      <c r="GCA20" s="64"/>
      <c r="GCB20" s="64"/>
      <c r="GCC20" s="64"/>
      <c r="GCD20" s="64"/>
      <c r="GCE20" s="64"/>
      <c r="GCF20" s="64"/>
      <c r="GCG20" s="64"/>
      <c r="GCH20" s="64"/>
      <c r="GCI20" s="64"/>
      <c r="GCJ20" s="64"/>
      <c r="GCK20" s="64"/>
      <c r="GCL20" s="64"/>
      <c r="GCM20" s="64"/>
      <c r="GCN20" s="64"/>
      <c r="GCO20" s="64"/>
      <c r="GCP20" s="64"/>
      <c r="GCQ20" s="64"/>
      <c r="GCR20" s="64"/>
      <c r="GCS20" s="64"/>
      <c r="GCT20" s="64"/>
      <c r="GCU20" s="64"/>
      <c r="GCV20" s="64"/>
      <c r="GCW20" s="64"/>
      <c r="GCX20" s="64"/>
      <c r="GCY20" s="64"/>
      <c r="GCZ20" s="64"/>
      <c r="GDA20" s="64"/>
      <c r="GDB20" s="64"/>
      <c r="GDC20" s="64"/>
      <c r="GDD20" s="64"/>
      <c r="GDE20" s="64"/>
      <c r="GDF20" s="64"/>
      <c r="GDG20" s="64"/>
      <c r="GDH20" s="64"/>
      <c r="GDI20" s="64"/>
      <c r="GDJ20" s="64"/>
      <c r="GDK20" s="64"/>
      <c r="GDL20" s="64"/>
      <c r="GDM20" s="64"/>
      <c r="GDN20" s="64"/>
      <c r="GDO20" s="64"/>
      <c r="GDP20" s="64"/>
      <c r="GDQ20" s="64"/>
      <c r="GDR20" s="64"/>
      <c r="GDS20" s="64"/>
      <c r="GDT20" s="64"/>
      <c r="GDU20" s="64"/>
      <c r="GDV20" s="64"/>
      <c r="GDW20" s="64"/>
      <c r="GDX20" s="64"/>
      <c r="GDY20" s="64"/>
      <c r="GDZ20" s="64"/>
      <c r="GEA20" s="64"/>
      <c r="GEB20" s="64"/>
      <c r="GEC20" s="64"/>
      <c r="GED20" s="64"/>
      <c r="GEE20" s="64"/>
      <c r="GEF20" s="64"/>
      <c r="GEG20" s="64"/>
      <c r="GEH20" s="64"/>
      <c r="GEI20" s="64"/>
      <c r="GEJ20" s="64"/>
      <c r="GEK20" s="64"/>
      <c r="GEL20" s="64"/>
      <c r="GEM20" s="64"/>
      <c r="GEN20" s="64"/>
      <c r="GEO20" s="64"/>
      <c r="GEP20" s="64"/>
      <c r="GEQ20" s="64"/>
      <c r="GER20" s="64"/>
      <c r="GES20" s="64"/>
      <c r="GET20" s="64"/>
      <c r="GEU20" s="64"/>
      <c r="GEV20" s="64"/>
      <c r="GEW20" s="64"/>
      <c r="GEX20" s="64"/>
      <c r="GEY20" s="64"/>
      <c r="GEZ20" s="64"/>
      <c r="GFA20" s="64"/>
      <c r="GFB20" s="64"/>
      <c r="GFC20" s="64"/>
      <c r="GFD20" s="64"/>
      <c r="GFE20" s="64"/>
      <c r="GFF20" s="64"/>
      <c r="GFG20" s="64"/>
      <c r="GFH20" s="64"/>
      <c r="GFI20" s="64"/>
      <c r="GFJ20" s="64"/>
      <c r="GFK20" s="64"/>
      <c r="GFL20" s="64"/>
      <c r="GFM20" s="64"/>
      <c r="GFN20" s="64"/>
      <c r="GFO20" s="64"/>
      <c r="GFP20" s="64"/>
      <c r="GFQ20" s="64"/>
      <c r="GFR20" s="64"/>
      <c r="GFS20" s="64"/>
      <c r="GFT20" s="64"/>
      <c r="GFU20" s="64"/>
      <c r="GFV20" s="64"/>
      <c r="GFW20" s="64"/>
      <c r="GFX20" s="64"/>
      <c r="GFY20" s="64"/>
      <c r="GFZ20" s="64"/>
      <c r="GGA20" s="64"/>
      <c r="GGB20" s="64"/>
      <c r="GGC20" s="64"/>
      <c r="GGD20" s="64"/>
      <c r="GGE20" s="64"/>
      <c r="GGF20" s="64"/>
      <c r="GGG20" s="64"/>
      <c r="GGH20" s="64"/>
      <c r="GGI20" s="64"/>
      <c r="GGJ20" s="64"/>
      <c r="GGK20" s="64"/>
      <c r="GGL20" s="64"/>
      <c r="GGM20" s="64"/>
      <c r="GGN20" s="64"/>
      <c r="GGO20" s="64"/>
      <c r="GGP20" s="64"/>
      <c r="GGQ20" s="64"/>
      <c r="GGR20" s="64"/>
      <c r="GGS20" s="64"/>
      <c r="GGT20" s="64"/>
      <c r="GGU20" s="64"/>
      <c r="GGV20" s="64"/>
      <c r="GGW20" s="64"/>
      <c r="GGX20" s="64"/>
      <c r="GGY20" s="64"/>
      <c r="GGZ20" s="64"/>
      <c r="GHA20" s="64"/>
      <c r="GHB20" s="64"/>
      <c r="GHC20" s="64"/>
      <c r="GHD20" s="64"/>
      <c r="GHE20" s="64"/>
      <c r="GHF20" s="64"/>
      <c r="GHG20" s="64"/>
      <c r="GHH20" s="64"/>
      <c r="GHI20" s="64"/>
      <c r="GHJ20" s="64"/>
      <c r="GHK20" s="64"/>
      <c r="GHL20" s="64"/>
      <c r="GHM20" s="64"/>
      <c r="GHN20" s="64"/>
      <c r="GHO20" s="64"/>
      <c r="GHP20" s="64"/>
      <c r="GHQ20" s="64"/>
      <c r="GHR20" s="64"/>
      <c r="GHS20" s="64"/>
      <c r="GHT20" s="64"/>
      <c r="GHU20" s="64"/>
      <c r="GHV20" s="64"/>
      <c r="GHW20" s="64"/>
      <c r="GHX20" s="64"/>
      <c r="GHY20" s="64"/>
      <c r="GHZ20" s="64"/>
      <c r="GIA20" s="64"/>
      <c r="GIB20" s="64"/>
      <c r="GIC20" s="64"/>
      <c r="GID20" s="64"/>
      <c r="GIE20" s="64"/>
      <c r="GIF20" s="64"/>
      <c r="GIG20" s="64"/>
      <c r="GIH20" s="64"/>
      <c r="GII20" s="64"/>
      <c r="GIJ20" s="64"/>
      <c r="GIK20" s="64"/>
      <c r="GIL20" s="64"/>
      <c r="GIM20" s="64"/>
      <c r="GIN20" s="64"/>
      <c r="GIO20" s="64"/>
      <c r="GIP20" s="64"/>
      <c r="GIQ20" s="64"/>
      <c r="GIR20" s="64"/>
      <c r="GIS20" s="64"/>
      <c r="GIT20" s="64"/>
      <c r="GIU20" s="64"/>
      <c r="GIV20" s="64"/>
      <c r="GIW20" s="64"/>
      <c r="GIX20" s="64"/>
      <c r="GIY20" s="64"/>
      <c r="GIZ20" s="64"/>
      <c r="GJA20" s="64"/>
      <c r="GJB20" s="64"/>
      <c r="GJC20" s="64"/>
      <c r="GJD20" s="64"/>
      <c r="GJE20" s="64"/>
      <c r="GJF20" s="64"/>
      <c r="GJG20" s="64"/>
      <c r="GJH20" s="64"/>
      <c r="GJI20" s="64"/>
      <c r="GJJ20" s="64"/>
      <c r="GJK20" s="64"/>
      <c r="GJL20" s="64"/>
      <c r="GJM20" s="64"/>
      <c r="GJN20" s="64"/>
      <c r="GJO20" s="64"/>
      <c r="GJP20" s="64"/>
      <c r="GJQ20" s="64"/>
      <c r="GJR20" s="64"/>
      <c r="GJS20" s="64"/>
      <c r="GJT20" s="64"/>
      <c r="GJU20" s="64"/>
      <c r="GJV20" s="64"/>
      <c r="GJW20" s="64"/>
      <c r="GJX20" s="64"/>
      <c r="GJY20" s="64"/>
      <c r="GJZ20" s="64"/>
      <c r="GKA20" s="64"/>
      <c r="GKB20" s="64"/>
      <c r="GKC20" s="64"/>
      <c r="GKD20" s="64"/>
      <c r="GKE20" s="64"/>
      <c r="GKF20" s="64"/>
      <c r="GKG20" s="64"/>
      <c r="GKH20" s="64"/>
      <c r="GKI20" s="64"/>
      <c r="GKJ20" s="64"/>
      <c r="GKK20" s="64"/>
      <c r="GKL20" s="64"/>
      <c r="GKM20" s="64"/>
      <c r="GKN20" s="64"/>
      <c r="GKO20" s="64"/>
      <c r="GKP20" s="64"/>
      <c r="GKQ20" s="64"/>
      <c r="GKR20" s="64"/>
      <c r="GKS20" s="64"/>
      <c r="GKT20" s="64"/>
      <c r="GKU20" s="64"/>
      <c r="GKV20" s="64"/>
      <c r="GKW20" s="64"/>
      <c r="GKX20" s="64"/>
      <c r="GKY20" s="64"/>
      <c r="GKZ20" s="64"/>
      <c r="GLA20" s="64"/>
      <c r="GLB20" s="64"/>
      <c r="GLC20" s="64"/>
      <c r="GLD20" s="64"/>
      <c r="GLE20" s="64"/>
      <c r="GLF20" s="64"/>
      <c r="GLG20" s="64"/>
      <c r="GLH20" s="64"/>
      <c r="GLI20" s="64"/>
      <c r="GLJ20" s="64"/>
      <c r="GLK20" s="64"/>
      <c r="GLL20" s="64"/>
      <c r="GLM20" s="64"/>
      <c r="GLN20" s="64"/>
      <c r="GLO20" s="64"/>
      <c r="GLP20" s="64"/>
      <c r="GLQ20" s="64"/>
      <c r="GLR20" s="64"/>
      <c r="GLS20" s="64"/>
      <c r="GLT20" s="64"/>
      <c r="GLU20" s="64"/>
      <c r="GLV20" s="64"/>
      <c r="GLW20" s="64"/>
      <c r="GLX20" s="64"/>
      <c r="GLY20" s="64"/>
      <c r="GLZ20" s="64"/>
      <c r="GMA20" s="64"/>
      <c r="GMB20" s="64"/>
      <c r="GMC20" s="64"/>
      <c r="GMD20" s="64"/>
      <c r="GME20" s="64"/>
      <c r="GMF20" s="64"/>
      <c r="GMG20" s="64"/>
      <c r="GMH20" s="64"/>
      <c r="GMI20" s="64"/>
      <c r="GMJ20" s="64"/>
      <c r="GMK20" s="64"/>
      <c r="GML20" s="64"/>
      <c r="GMM20" s="64"/>
      <c r="GMN20" s="64"/>
      <c r="GMO20" s="64"/>
      <c r="GMP20" s="64"/>
      <c r="GMQ20" s="64"/>
      <c r="GMR20" s="64"/>
      <c r="GMS20" s="64"/>
      <c r="GMT20" s="64"/>
      <c r="GMU20" s="64"/>
      <c r="GMV20" s="64"/>
      <c r="GMW20" s="64"/>
      <c r="GMX20" s="64"/>
      <c r="GMY20" s="64"/>
      <c r="GMZ20" s="64"/>
      <c r="GNA20" s="64"/>
      <c r="GNB20" s="64"/>
      <c r="GNC20" s="64"/>
      <c r="GND20" s="64"/>
      <c r="GNE20" s="64"/>
      <c r="GNF20" s="64"/>
      <c r="GNG20" s="64"/>
      <c r="GNH20" s="64"/>
      <c r="GNI20" s="64"/>
      <c r="GNJ20" s="64"/>
      <c r="GNK20" s="64"/>
      <c r="GNL20" s="64"/>
      <c r="GNM20" s="64"/>
      <c r="GNN20" s="64"/>
      <c r="GNO20" s="64"/>
      <c r="GNP20" s="64"/>
      <c r="GNQ20" s="64"/>
      <c r="GNR20" s="64"/>
      <c r="GNS20" s="64"/>
      <c r="GNT20" s="64"/>
      <c r="GNU20" s="64"/>
      <c r="GNV20" s="64"/>
      <c r="GNW20" s="64"/>
      <c r="GNX20" s="64"/>
      <c r="GNY20" s="64"/>
      <c r="GNZ20" s="64"/>
      <c r="GOA20" s="64"/>
      <c r="GOB20" s="64"/>
      <c r="GOC20" s="64"/>
      <c r="GOD20" s="64"/>
      <c r="GOE20" s="64"/>
      <c r="GOF20" s="64"/>
      <c r="GOG20" s="64"/>
      <c r="GOH20" s="64"/>
      <c r="GOI20" s="64"/>
      <c r="GOJ20" s="64"/>
      <c r="GOK20" s="64"/>
      <c r="GOL20" s="64"/>
      <c r="GOM20" s="64"/>
      <c r="GON20" s="64"/>
      <c r="GOO20" s="64"/>
      <c r="GOP20" s="64"/>
      <c r="GOQ20" s="64"/>
      <c r="GOR20" s="64"/>
      <c r="GOS20" s="64"/>
      <c r="GOT20" s="64"/>
      <c r="GOU20" s="64"/>
      <c r="GOV20" s="64"/>
      <c r="GOW20" s="64"/>
      <c r="GOX20" s="64"/>
      <c r="GOY20" s="64"/>
      <c r="GOZ20" s="64"/>
      <c r="GPA20" s="64"/>
      <c r="GPB20" s="64"/>
      <c r="GPC20" s="64"/>
      <c r="GPD20" s="64"/>
      <c r="GPE20" s="64"/>
      <c r="GPF20" s="64"/>
      <c r="GPG20" s="64"/>
      <c r="GPH20" s="64"/>
      <c r="GPI20" s="64"/>
      <c r="GPJ20" s="64"/>
      <c r="GPK20" s="64"/>
      <c r="GPL20" s="64"/>
      <c r="GPM20" s="64"/>
      <c r="GPN20" s="64"/>
      <c r="GPO20" s="64"/>
      <c r="GPP20" s="64"/>
      <c r="GPQ20" s="64"/>
      <c r="GPR20" s="64"/>
      <c r="GPS20" s="64"/>
      <c r="GPT20" s="64"/>
      <c r="GPU20" s="64"/>
      <c r="GPV20" s="64"/>
      <c r="GPW20" s="64"/>
      <c r="GPX20" s="64"/>
      <c r="GPY20" s="64"/>
      <c r="GPZ20" s="64"/>
      <c r="GQA20" s="64"/>
      <c r="GQB20" s="64"/>
      <c r="GQC20" s="64"/>
      <c r="GQD20" s="64"/>
      <c r="GQE20" s="64"/>
      <c r="GQF20" s="64"/>
      <c r="GQG20" s="64"/>
      <c r="GQH20" s="64"/>
      <c r="GQI20" s="64"/>
      <c r="GQJ20" s="64"/>
      <c r="GQK20" s="64"/>
      <c r="GQL20" s="64"/>
      <c r="GQM20" s="64"/>
      <c r="GQN20" s="64"/>
      <c r="GQO20" s="64"/>
      <c r="GQP20" s="64"/>
      <c r="GQQ20" s="64"/>
      <c r="GQR20" s="64"/>
      <c r="GQS20" s="64"/>
      <c r="GQT20" s="64"/>
      <c r="GQU20" s="64"/>
      <c r="GQV20" s="64"/>
      <c r="GQW20" s="64"/>
      <c r="GQX20" s="64"/>
      <c r="GQY20" s="64"/>
      <c r="GQZ20" s="64"/>
      <c r="GRA20" s="64"/>
      <c r="GRB20" s="64"/>
      <c r="GRC20" s="64"/>
      <c r="GRD20" s="64"/>
      <c r="GRE20" s="64"/>
      <c r="GRF20" s="64"/>
      <c r="GRG20" s="64"/>
      <c r="GRH20" s="64"/>
      <c r="GRI20" s="64"/>
      <c r="GRJ20" s="64"/>
      <c r="GRK20" s="64"/>
      <c r="GRL20" s="64"/>
      <c r="GRM20" s="64"/>
      <c r="GRN20" s="64"/>
      <c r="GRO20" s="64"/>
      <c r="GRP20" s="64"/>
      <c r="GRQ20" s="64"/>
      <c r="GRR20" s="64"/>
      <c r="GRS20" s="64"/>
      <c r="GRT20" s="64"/>
      <c r="GRU20" s="64"/>
      <c r="GRV20" s="64"/>
      <c r="GRW20" s="64"/>
      <c r="GRX20" s="64"/>
      <c r="GRY20" s="64"/>
      <c r="GRZ20" s="64"/>
      <c r="GSA20" s="64"/>
      <c r="GSB20" s="64"/>
      <c r="GSC20" s="64"/>
      <c r="GSD20" s="64"/>
      <c r="GSE20" s="64"/>
      <c r="GSF20" s="64"/>
      <c r="GSG20" s="64"/>
      <c r="GSH20" s="64"/>
      <c r="GSI20" s="64"/>
      <c r="GSJ20" s="64"/>
      <c r="GSK20" s="64"/>
      <c r="GSL20" s="64"/>
      <c r="GSM20" s="64"/>
      <c r="GSN20" s="64"/>
      <c r="GSO20" s="64"/>
      <c r="GSP20" s="64"/>
      <c r="GSQ20" s="64"/>
      <c r="GSR20" s="64"/>
      <c r="GSS20" s="64"/>
      <c r="GST20" s="64"/>
      <c r="GSU20" s="64"/>
      <c r="GSV20" s="64"/>
      <c r="GSW20" s="64"/>
      <c r="GSX20" s="64"/>
      <c r="GSY20" s="64"/>
      <c r="GSZ20" s="64"/>
      <c r="GTA20" s="64"/>
      <c r="GTB20" s="64"/>
      <c r="GTC20" s="64"/>
      <c r="GTD20" s="64"/>
      <c r="GTE20" s="64"/>
      <c r="GTF20" s="64"/>
      <c r="GTG20" s="64"/>
      <c r="GTH20" s="64"/>
      <c r="GTI20" s="64"/>
      <c r="GTJ20" s="64"/>
      <c r="GTK20" s="64"/>
      <c r="GTL20" s="64"/>
      <c r="GTM20" s="64"/>
      <c r="GTN20" s="64"/>
      <c r="GTO20" s="64"/>
      <c r="GTP20" s="64"/>
      <c r="GTQ20" s="64"/>
      <c r="GTR20" s="64"/>
      <c r="GTS20" s="64"/>
      <c r="GTT20" s="64"/>
      <c r="GTU20" s="64"/>
      <c r="GTV20" s="64"/>
      <c r="GTW20" s="64"/>
      <c r="GTX20" s="64"/>
      <c r="GTY20" s="64"/>
      <c r="GTZ20" s="64"/>
      <c r="GUA20" s="64"/>
      <c r="GUB20" s="64"/>
      <c r="GUC20" s="64"/>
      <c r="GUD20" s="64"/>
      <c r="GUE20" s="64"/>
      <c r="GUF20" s="64"/>
      <c r="GUG20" s="64"/>
      <c r="GUH20" s="64"/>
      <c r="GUI20" s="64"/>
      <c r="GUJ20" s="64"/>
      <c r="GUK20" s="64"/>
      <c r="GUL20" s="64"/>
      <c r="GUM20" s="64"/>
      <c r="GUN20" s="64"/>
      <c r="GUO20" s="64"/>
      <c r="GUP20" s="64"/>
      <c r="GUQ20" s="64"/>
      <c r="GUR20" s="64"/>
      <c r="GUS20" s="64"/>
      <c r="GUT20" s="64"/>
      <c r="GUU20" s="64"/>
      <c r="GUV20" s="64"/>
      <c r="GUW20" s="64"/>
      <c r="GUX20" s="64"/>
      <c r="GUY20" s="64"/>
      <c r="GUZ20" s="64"/>
      <c r="GVA20" s="64"/>
      <c r="GVB20" s="64"/>
      <c r="GVC20" s="64"/>
      <c r="GVD20" s="64"/>
      <c r="GVE20" s="64"/>
      <c r="GVF20" s="64"/>
      <c r="GVG20" s="64"/>
      <c r="GVH20" s="64"/>
      <c r="GVI20" s="64"/>
      <c r="GVJ20" s="64"/>
      <c r="GVK20" s="64"/>
      <c r="GVL20" s="64"/>
      <c r="GVM20" s="64"/>
      <c r="GVN20" s="64"/>
      <c r="GVO20" s="64"/>
      <c r="GVP20" s="64"/>
      <c r="GVQ20" s="64"/>
      <c r="GVR20" s="64"/>
      <c r="GVS20" s="64"/>
      <c r="GVT20" s="64"/>
      <c r="GVU20" s="64"/>
      <c r="GVV20" s="64"/>
      <c r="GVW20" s="64"/>
      <c r="GVX20" s="64"/>
      <c r="GVY20" s="64"/>
      <c r="GVZ20" s="64"/>
      <c r="GWA20" s="64"/>
      <c r="GWB20" s="64"/>
      <c r="GWC20" s="64"/>
      <c r="GWD20" s="64"/>
      <c r="GWE20" s="64"/>
      <c r="GWF20" s="64"/>
      <c r="GWG20" s="64"/>
      <c r="GWH20" s="64"/>
      <c r="GWI20" s="64"/>
      <c r="GWJ20" s="64"/>
      <c r="GWK20" s="64"/>
      <c r="GWL20" s="64"/>
      <c r="GWM20" s="64"/>
      <c r="GWN20" s="64"/>
      <c r="GWO20" s="64"/>
      <c r="GWP20" s="64"/>
      <c r="GWQ20" s="64"/>
      <c r="GWR20" s="64"/>
      <c r="GWS20" s="64"/>
      <c r="GWT20" s="64"/>
      <c r="GWU20" s="64"/>
      <c r="GWV20" s="64"/>
      <c r="GWW20" s="64"/>
      <c r="GWX20" s="64"/>
      <c r="GWY20" s="64"/>
      <c r="GWZ20" s="64"/>
      <c r="GXA20" s="64"/>
      <c r="GXB20" s="64"/>
      <c r="GXC20" s="64"/>
      <c r="GXD20" s="64"/>
      <c r="GXE20" s="64"/>
      <c r="GXF20" s="64"/>
      <c r="GXG20" s="64"/>
      <c r="GXH20" s="64"/>
      <c r="GXI20" s="64"/>
      <c r="GXJ20" s="64"/>
      <c r="GXK20" s="64"/>
      <c r="GXL20" s="64"/>
      <c r="GXM20" s="64"/>
      <c r="GXN20" s="64"/>
      <c r="GXO20" s="64"/>
      <c r="GXP20" s="64"/>
      <c r="GXQ20" s="64"/>
      <c r="GXR20" s="64"/>
      <c r="GXS20" s="64"/>
      <c r="GXT20" s="64"/>
      <c r="GXU20" s="64"/>
      <c r="GXV20" s="64"/>
      <c r="GXW20" s="64"/>
      <c r="GXX20" s="64"/>
      <c r="GXY20" s="64"/>
      <c r="GXZ20" s="64"/>
      <c r="GYA20" s="64"/>
      <c r="GYB20" s="64"/>
      <c r="GYC20" s="64"/>
      <c r="GYD20" s="64"/>
      <c r="GYE20" s="64"/>
      <c r="GYF20" s="64"/>
      <c r="GYG20" s="64"/>
      <c r="GYH20" s="64"/>
      <c r="GYI20" s="64"/>
      <c r="GYJ20" s="64"/>
      <c r="GYK20" s="64"/>
      <c r="GYL20" s="64"/>
      <c r="GYM20" s="64"/>
      <c r="GYN20" s="64"/>
      <c r="GYO20" s="64"/>
      <c r="GYP20" s="64"/>
      <c r="GYQ20" s="64"/>
      <c r="GYR20" s="64"/>
      <c r="GYS20" s="64"/>
      <c r="GYT20" s="64"/>
      <c r="GYU20" s="64"/>
      <c r="GYV20" s="64"/>
      <c r="GYW20" s="64"/>
      <c r="GYX20" s="64"/>
      <c r="GYY20" s="64"/>
      <c r="GYZ20" s="64"/>
      <c r="GZA20" s="64"/>
      <c r="GZB20" s="64"/>
      <c r="GZC20" s="64"/>
      <c r="GZD20" s="64"/>
      <c r="GZE20" s="64"/>
      <c r="GZF20" s="64"/>
      <c r="GZG20" s="64"/>
      <c r="GZH20" s="64"/>
      <c r="GZI20" s="64"/>
      <c r="GZJ20" s="64"/>
      <c r="GZK20" s="64"/>
      <c r="GZL20" s="64"/>
      <c r="GZM20" s="64"/>
      <c r="GZN20" s="64"/>
      <c r="GZO20" s="64"/>
      <c r="GZP20" s="64"/>
      <c r="GZQ20" s="64"/>
      <c r="GZR20" s="64"/>
      <c r="GZS20" s="64"/>
      <c r="GZT20" s="64"/>
      <c r="GZU20" s="64"/>
      <c r="GZV20" s="64"/>
      <c r="GZW20" s="64"/>
      <c r="GZX20" s="64"/>
      <c r="GZY20" s="64"/>
      <c r="GZZ20" s="64"/>
      <c r="HAA20" s="64"/>
      <c r="HAB20" s="64"/>
      <c r="HAC20" s="64"/>
      <c r="HAD20" s="64"/>
      <c r="HAE20" s="64"/>
      <c r="HAF20" s="64"/>
      <c r="HAG20" s="64"/>
      <c r="HAH20" s="64"/>
      <c r="HAI20" s="64"/>
      <c r="HAJ20" s="64"/>
      <c r="HAK20" s="64"/>
      <c r="HAL20" s="64"/>
      <c r="HAM20" s="64"/>
      <c r="HAN20" s="64"/>
      <c r="HAO20" s="64"/>
      <c r="HAP20" s="64"/>
      <c r="HAQ20" s="64"/>
      <c r="HAR20" s="64"/>
      <c r="HAS20" s="64"/>
      <c r="HAT20" s="64"/>
      <c r="HAU20" s="64"/>
      <c r="HAV20" s="64"/>
      <c r="HAW20" s="64"/>
      <c r="HAX20" s="64"/>
      <c r="HAY20" s="64"/>
      <c r="HAZ20" s="64"/>
      <c r="HBA20" s="64"/>
      <c r="HBB20" s="64"/>
      <c r="HBC20" s="64"/>
      <c r="HBD20" s="64"/>
      <c r="HBE20" s="64"/>
      <c r="HBF20" s="64"/>
      <c r="HBG20" s="64"/>
      <c r="HBH20" s="64"/>
      <c r="HBI20" s="64"/>
      <c r="HBJ20" s="64"/>
      <c r="HBK20" s="64"/>
      <c r="HBL20" s="64"/>
      <c r="HBM20" s="64"/>
      <c r="HBN20" s="64"/>
      <c r="HBO20" s="64"/>
      <c r="HBP20" s="64"/>
      <c r="HBQ20" s="64"/>
      <c r="HBR20" s="64"/>
      <c r="HBS20" s="64"/>
      <c r="HBT20" s="64"/>
      <c r="HBU20" s="64"/>
      <c r="HBV20" s="64"/>
      <c r="HBW20" s="64"/>
      <c r="HBX20" s="64"/>
      <c r="HBY20" s="64"/>
      <c r="HBZ20" s="64"/>
      <c r="HCA20" s="64"/>
      <c r="HCB20" s="64"/>
      <c r="HCC20" s="64"/>
      <c r="HCD20" s="64"/>
      <c r="HCE20" s="64"/>
      <c r="HCF20" s="64"/>
      <c r="HCG20" s="64"/>
      <c r="HCH20" s="64"/>
      <c r="HCI20" s="64"/>
      <c r="HCJ20" s="64"/>
      <c r="HCK20" s="64"/>
      <c r="HCL20" s="64"/>
      <c r="HCM20" s="64"/>
      <c r="HCN20" s="64"/>
      <c r="HCO20" s="64"/>
      <c r="HCP20" s="64"/>
      <c r="HCQ20" s="64"/>
      <c r="HCR20" s="64"/>
      <c r="HCS20" s="64"/>
      <c r="HCT20" s="64"/>
      <c r="HCU20" s="64"/>
      <c r="HCV20" s="64"/>
      <c r="HCW20" s="64"/>
      <c r="HCX20" s="64"/>
      <c r="HCY20" s="64"/>
      <c r="HCZ20" s="64"/>
      <c r="HDA20" s="64"/>
      <c r="HDB20" s="64"/>
      <c r="HDC20" s="64"/>
      <c r="HDD20" s="64"/>
      <c r="HDE20" s="64"/>
      <c r="HDF20" s="64"/>
      <c r="HDG20" s="64"/>
      <c r="HDH20" s="64"/>
      <c r="HDI20" s="64"/>
      <c r="HDJ20" s="64"/>
      <c r="HDK20" s="64"/>
      <c r="HDL20" s="64"/>
      <c r="HDM20" s="64"/>
      <c r="HDN20" s="64"/>
      <c r="HDO20" s="64"/>
      <c r="HDP20" s="64"/>
      <c r="HDQ20" s="64"/>
      <c r="HDR20" s="64"/>
      <c r="HDS20" s="64"/>
      <c r="HDT20" s="64"/>
      <c r="HDU20" s="64"/>
      <c r="HDV20" s="64"/>
      <c r="HDW20" s="64"/>
      <c r="HDX20" s="64"/>
      <c r="HDY20" s="64"/>
      <c r="HDZ20" s="64"/>
      <c r="HEA20" s="64"/>
      <c r="HEB20" s="64"/>
      <c r="HEC20" s="64"/>
      <c r="HED20" s="64"/>
      <c r="HEE20" s="64"/>
      <c r="HEF20" s="64"/>
      <c r="HEG20" s="64"/>
      <c r="HEH20" s="64"/>
      <c r="HEI20" s="64"/>
      <c r="HEJ20" s="64"/>
      <c r="HEK20" s="64"/>
      <c r="HEL20" s="64"/>
      <c r="HEM20" s="64"/>
      <c r="HEN20" s="64"/>
      <c r="HEO20" s="64"/>
      <c r="HEP20" s="64"/>
      <c r="HEQ20" s="64"/>
      <c r="HER20" s="64"/>
      <c r="HES20" s="64"/>
      <c r="HET20" s="64"/>
      <c r="HEU20" s="64"/>
      <c r="HEV20" s="64"/>
      <c r="HEW20" s="64"/>
      <c r="HEX20" s="64"/>
      <c r="HEY20" s="64"/>
      <c r="HEZ20" s="64"/>
      <c r="HFA20" s="64"/>
      <c r="HFB20" s="64"/>
      <c r="HFC20" s="64"/>
      <c r="HFD20" s="64"/>
      <c r="HFE20" s="64"/>
      <c r="HFF20" s="64"/>
      <c r="HFG20" s="64"/>
      <c r="HFH20" s="64"/>
      <c r="HFI20" s="64"/>
      <c r="HFJ20" s="64"/>
      <c r="HFK20" s="64"/>
      <c r="HFL20" s="64"/>
      <c r="HFM20" s="64"/>
      <c r="HFN20" s="64"/>
      <c r="HFO20" s="64"/>
      <c r="HFP20" s="64"/>
      <c r="HFQ20" s="64"/>
      <c r="HFR20" s="64"/>
      <c r="HFS20" s="64"/>
      <c r="HFT20" s="64"/>
      <c r="HFU20" s="64"/>
      <c r="HFV20" s="64"/>
      <c r="HFW20" s="64"/>
      <c r="HFX20" s="64"/>
      <c r="HFY20" s="64"/>
      <c r="HFZ20" s="64"/>
      <c r="HGA20" s="64"/>
      <c r="HGB20" s="64"/>
      <c r="HGC20" s="64"/>
      <c r="HGD20" s="64"/>
      <c r="HGE20" s="64"/>
      <c r="HGF20" s="64"/>
      <c r="HGG20" s="64"/>
      <c r="HGH20" s="64"/>
      <c r="HGI20" s="64"/>
      <c r="HGJ20" s="64"/>
      <c r="HGK20" s="64"/>
      <c r="HGL20" s="64"/>
      <c r="HGM20" s="64"/>
      <c r="HGN20" s="64"/>
      <c r="HGO20" s="64"/>
      <c r="HGP20" s="64"/>
      <c r="HGQ20" s="64"/>
      <c r="HGR20" s="64"/>
      <c r="HGS20" s="64"/>
      <c r="HGT20" s="64"/>
      <c r="HGU20" s="64"/>
      <c r="HGV20" s="64"/>
      <c r="HGW20" s="64"/>
      <c r="HGX20" s="64"/>
      <c r="HGY20" s="64"/>
      <c r="HGZ20" s="64"/>
      <c r="HHA20" s="64"/>
      <c r="HHB20" s="64"/>
      <c r="HHC20" s="64"/>
      <c r="HHD20" s="64"/>
      <c r="HHE20" s="64"/>
      <c r="HHF20" s="64"/>
      <c r="HHG20" s="64"/>
      <c r="HHH20" s="64"/>
      <c r="HHI20" s="64"/>
      <c r="HHJ20" s="64"/>
      <c r="HHK20" s="64"/>
      <c r="HHL20" s="64"/>
      <c r="HHM20" s="64"/>
      <c r="HHN20" s="64"/>
      <c r="HHO20" s="64"/>
      <c r="HHP20" s="64"/>
      <c r="HHQ20" s="64"/>
      <c r="HHR20" s="64"/>
      <c r="HHS20" s="64"/>
      <c r="HHT20" s="64"/>
      <c r="HHU20" s="64"/>
      <c r="HHV20" s="64"/>
      <c r="HHW20" s="64"/>
      <c r="HHX20" s="64"/>
      <c r="HHY20" s="64"/>
      <c r="HHZ20" s="64"/>
      <c r="HIA20" s="64"/>
      <c r="HIB20" s="64"/>
      <c r="HIC20" s="64"/>
      <c r="HID20" s="64"/>
      <c r="HIE20" s="64"/>
      <c r="HIF20" s="64"/>
      <c r="HIG20" s="64"/>
      <c r="HIH20" s="64"/>
      <c r="HII20" s="64"/>
      <c r="HIJ20" s="64"/>
      <c r="HIK20" s="64"/>
      <c r="HIL20" s="64"/>
      <c r="HIM20" s="64"/>
      <c r="HIN20" s="64"/>
      <c r="HIO20" s="64"/>
      <c r="HIP20" s="64"/>
      <c r="HIQ20" s="64"/>
      <c r="HIR20" s="64"/>
      <c r="HIS20" s="64"/>
      <c r="HIT20" s="64"/>
      <c r="HIU20" s="64"/>
      <c r="HIV20" s="64"/>
      <c r="HIW20" s="64"/>
      <c r="HIX20" s="64"/>
      <c r="HIY20" s="64"/>
      <c r="HIZ20" s="64"/>
      <c r="HJA20" s="64"/>
      <c r="HJB20" s="64"/>
      <c r="HJC20" s="64"/>
      <c r="HJD20" s="64"/>
      <c r="HJE20" s="64"/>
      <c r="HJF20" s="64"/>
      <c r="HJG20" s="64"/>
      <c r="HJH20" s="64"/>
      <c r="HJI20" s="64"/>
      <c r="HJJ20" s="64"/>
      <c r="HJK20" s="64"/>
      <c r="HJL20" s="64"/>
      <c r="HJM20" s="64"/>
      <c r="HJN20" s="64"/>
      <c r="HJO20" s="64"/>
      <c r="HJP20" s="64"/>
      <c r="HJQ20" s="64"/>
      <c r="HJR20" s="64"/>
      <c r="HJS20" s="64"/>
      <c r="HJT20" s="64"/>
      <c r="HJU20" s="64"/>
      <c r="HJV20" s="64"/>
      <c r="HJW20" s="64"/>
      <c r="HJX20" s="64"/>
      <c r="HJY20" s="64"/>
      <c r="HJZ20" s="64"/>
      <c r="HKA20" s="64"/>
      <c r="HKB20" s="64"/>
      <c r="HKC20" s="64"/>
      <c r="HKD20" s="64"/>
      <c r="HKE20" s="64"/>
      <c r="HKF20" s="64"/>
      <c r="HKG20" s="64"/>
      <c r="HKH20" s="64"/>
      <c r="HKI20" s="64"/>
      <c r="HKJ20" s="64"/>
      <c r="HKK20" s="64"/>
      <c r="HKL20" s="64"/>
      <c r="HKM20" s="64"/>
      <c r="HKN20" s="64"/>
      <c r="HKO20" s="64"/>
      <c r="HKP20" s="64"/>
      <c r="HKQ20" s="64"/>
      <c r="HKR20" s="64"/>
      <c r="HKS20" s="64"/>
      <c r="HKT20" s="64"/>
      <c r="HKU20" s="64"/>
      <c r="HKV20" s="64"/>
      <c r="HKW20" s="64"/>
      <c r="HKX20" s="64"/>
      <c r="HKY20" s="64"/>
      <c r="HKZ20" s="64"/>
      <c r="HLA20" s="64"/>
      <c r="HLB20" s="64"/>
      <c r="HLC20" s="64"/>
      <c r="HLD20" s="64"/>
      <c r="HLE20" s="64"/>
      <c r="HLF20" s="64"/>
      <c r="HLG20" s="64"/>
      <c r="HLH20" s="64"/>
      <c r="HLI20" s="64"/>
      <c r="HLJ20" s="64"/>
      <c r="HLK20" s="64"/>
      <c r="HLL20" s="64"/>
      <c r="HLM20" s="64"/>
      <c r="HLN20" s="64"/>
      <c r="HLO20" s="64"/>
      <c r="HLP20" s="64"/>
      <c r="HLQ20" s="64"/>
      <c r="HLR20" s="64"/>
      <c r="HLS20" s="64"/>
      <c r="HLT20" s="64"/>
      <c r="HLU20" s="64"/>
      <c r="HLV20" s="64"/>
      <c r="HLW20" s="64"/>
      <c r="HLX20" s="64"/>
      <c r="HLY20" s="64"/>
      <c r="HLZ20" s="64"/>
      <c r="HMA20" s="64"/>
      <c r="HMB20" s="64"/>
      <c r="HMC20" s="64"/>
      <c r="HMD20" s="64"/>
      <c r="HME20" s="64"/>
      <c r="HMF20" s="64"/>
      <c r="HMG20" s="64"/>
      <c r="HMH20" s="64"/>
      <c r="HMI20" s="64"/>
      <c r="HMJ20" s="64"/>
      <c r="HMK20" s="64"/>
      <c r="HML20" s="64"/>
      <c r="HMM20" s="64"/>
      <c r="HMN20" s="64"/>
      <c r="HMO20" s="64"/>
      <c r="HMP20" s="64"/>
      <c r="HMQ20" s="64"/>
      <c r="HMR20" s="64"/>
      <c r="HMS20" s="64"/>
      <c r="HMT20" s="64"/>
      <c r="HMU20" s="64"/>
      <c r="HMV20" s="64"/>
      <c r="HMW20" s="64"/>
      <c r="HMX20" s="64"/>
      <c r="HMY20" s="64"/>
      <c r="HMZ20" s="64"/>
      <c r="HNA20" s="64"/>
      <c r="HNB20" s="64"/>
      <c r="HNC20" s="64"/>
      <c r="HND20" s="64"/>
      <c r="HNE20" s="64"/>
      <c r="HNF20" s="64"/>
      <c r="HNG20" s="64"/>
      <c r="HNH20" s="64"/>
      <c r="HNI20" s="64"/>
      <c r="HNJ20" s="64"/>
      <c r="HNK20" s="64"/>
      <c r="HNL20" s="64"/>
      <c r="HNM20" s="64"/>
      <c r="HNN20" s="64"/>
      <c r="HNO20" s="64"/>
      <c r="HNP20" s="64"/>
      <c r="HNQ20" s="64"/>
      <c r="HNR20" s="64"/>
      <c r="HNS20" s="64"/>
      <c r="HNT20" s="64"/>
      <c r="HNU20" s="64"/>
      <c r="HNV20" s="64"/>
      <c r="HNW20" s="64"/>
      <c r="HNX20" s="64"/>
      <c r="HNY20" s="64"/>
      <c r="HNZ20" s="64"/>
      <c r="HOA20" s="64"/>
      <c r="HOB20" s="64"/>
      <c r="HOC20" s="64"/>
      <c r="HOD20" s="64"/>
      <c r="HOE20" s="64"/>
      <c r="HOF20" s="64"/>
      <c r="HOG20" s="64"/>
      <c r="HOH20" s="64"/>
      <c r="HOI20" s="64"/>
      <c r="HOJ20" s="64"/>
      <c r="HOK20" s="64"/>
      <c r="HOL20" s="64"/>
      <c r="HOM20" s="64"/>
      <c r="HON20" s="64"/>
      <c r="HOO20" s="64"/>
      <c r="HOP20" s="64"/>
      <c r="HOQ20" s="64"/>
      <c r="HOR20" s="64"/>
      <c r="HOS20" s="64"/>
      <c r="HOT20" s="64"/>
      <c r="HOU20" s="64"/>
      <c r="HOV20" s="64"/>
      <c r="HOW20" s="64"/>
      <c r="HOX20" s="64"/>
      <c r="HOY20" s="64"/>
      <c r="HOZ20" s="64"/>
      <c r="HPA20" s="64"/>
      <c r="HPB20" s="64"/>
      <c r="HPC20" s="64"/>
      <c r="HPD20" s="64"/>
      <c r="HPE20" s="64"/>
      <c r="HPF20" s="64"/>
      <c r="HPG20" s="64"/>
      <c r="HPH20" s="64"/>
      <c r="HPI20" s="64"/>
      <c r="HPJ20" s="64"/>
      <c r="HPK20" s="64"/>
      <c r="HPL20" s="64"/>
      <c r="HPM20" s="64"/>
      <c r="HPN20" s="64"/>
      <c r="HPO20" s="64"/>
      <c r="HPP20" s="64"/>
      <c r="HPQ20" s="64"/>
      <c r="HPR20" s="64"/>
      <c r="HPS20" s="64"/>
      <c r="HPT20" s="64"/>
      <c r="HPU20" s="64"/>
      <c r="HPV20" s="64"/>
      <c r="HPW20" s="64"/>
      <c r="HPX20" s="64"/>
      <c r="HPY20" s="64"/>
      <c r="HPZ20" s="64"/>
      <c r="HQA20" s="64"/>
      <c r="HQB20" s="64"/>
      <c r="HQC20" s="64"/>
      <c r="HQD20" s="64"/>
      <c r="HQE20" s="64"/>
      <c r="HQF20" s="64"/>
      <c r="HQG20" s="64"/>
      <c r="HQH20" s="64"/>
      <c r="HQI20" s="64"/>
      <c r="HQJ20" s="64"/>
      <c r="HQK20" s="64"/>
      <c r="HQL20" s="64"/>
      <c r="HQM20" s="64"/>
      <c r="HQN20" s="64"/>
      <c r="HQO20" s="64"/>
      <c r="HQP20" s="64"/>
      <c r="HQQ20" s="64"/>
      <c r="HQR20" s="64"/>
      <c r="HQS20" s="64"/>
      <c r="HQT20" s="64"/>
      <c r="HQU20" s="64"/>
      <c r="HQV20" s="64"/>
      <c r="HQW20" s="64"/>
      <c r="HQX20" s="64"/>
      <c r="HQY20" s="64"/>
      <c r="HQZ20" s="64"/>
      <c r="HRA20" s="64"/>
      <c r="HRB20" s="64"/>
      <c r="HRC20" s="64"/>
      <c r="HRD20" s="64"/>
      <c r="HRE20" s="64"/>
      <c r="HRF20" s="64"/>
      <c r="HRG20" s="64"/>
      <c r="HRH20" s="64"/>
      <c r="HRI20" s="64"/>
      <c r="HRJ20" s="64"/>
      <c r="HRK20" s="64"/>
      <c r="HRL20" s="64"/>
      <c r="HRM20" s="64"/>
      <c r="HRN20" s="64"/>
      <c r="HRO20" s="64"/>
      <c r="HRP20" s="64"/>
      <c r="HRQ20" s="64"/>
      <c r="HRR20" s="64"/>
      <c r="HRS20" s="64"/>
      <c r="HRT20" s="64"/>
      <c r="HRU20" s="64"/>
      <c r="HRV20" s="64"/>
      <c r="HRW20" s="64"/>
      <c r="HRX20" s="64"/>
      <c r="HRY20" s="64"/>
      <c r="HRZ20" s="64"/>
      <c r="HSA20" s="64"/>
      <c r="HSB20" s="64"/>
      <c r="HSC20" s="64"/>
      <c r="HSD20" s="64"/>
      <c r="HSE20" s="64"/>
      <c r="HSF20" s="64"/>
      <c r="HSG20" s="64"/>
      <c r="HSH20" s="64"/>
      <c r="HSI20" s="64"/>
      <c r="HSJ20" s="64"/>
      <c r="HSK20" s="64"/>
      <c r="HSL20" s="64"/>
      <c r="HSM20" s="64"/>
      <c r="HSN20" s="64"/>
      <c r="HSO20" s="64"/>
      <c r="HSP20" s="64"/>
      <c r="HSQ20" s="64"/>
      <c r="HSR20" s="64"/>
      <c r="HSS20" s="64"/>
      <c r="HST20" s="64"/>
      <c r="HSU20" s="64"/>
      <c r="HSV20" s="64"/>
      <c r="HSW20" s="64"/>
      <c r="HSX20" s="64"/>
      <c r="HSY20" s="64"/>
      <c r="HSZ20" s="64"/>
      <c r="HTA20" s="64"/>
      <c r="HTB20" s="64"/>
      <c r="HTC20" s="64"/>
      <c r="HTD20" s="64"/>
      <c r="HTE20" s="64"/>
      <c r="HTF20" s="64"/>
      <c r="HTG20" s="64"/>
      <c r="HTH20" s="64"/>
      <c r="HTI20" s="64"/>
      <c r="HTJ20" s="64"/>
      <c r="HTK20" s="64"/>
      <c r="HTL20" s="64"/>
      <c r="HTM20" s="64"/>
      <c r="HTN20" s="64"/>
      <c r="HTO20" s="64"/>
      <c r="HTP20" s="64"/>
      <c r="HTQ20" s="64"/>
      <c r="HTR20" s="64"/>
      <c r="HTS20" s="64"/>
      <c r="HTT20" s="64"/>
      <c r="HTU20" s="64"/>
      <c r="HTV20" s="64"/>
      <c r="HTW20" s="64"/>
      <c r="HTX20" s="64"/>
      <c r="HTY20" s="64"/>
      <c r="HTZ20" s="64"/>
      <c r="HUA20" s="64"/>
      <c r="HUB20" s="64"/>
      <c r="HUC20" s="64"/>
      <c r="HUD20" s="64"/>
      <c r="HUE20" s="64"/>
      <c r="HUF20" s="64"/>
      <c r="HUG20" s="64"/>
      <c r="HUH20" s="64"/>
      <c r="HUI20" s="64"/>
      <c r="HUJ20" s="64"/>
      <c r="HUK20" s="64"/>
      <c r="HUL20" s="64"/>
      <c r="HUM20" s="64"/>
      <c r="HUN20" s="64"/>
      <c r="HUO20" s="64"/>
      <c r="HUP20" s="64"/>
      <c r="HUQ20" s="64"/>
      <c r="HUR20" s="64"/>
      <c r="HUS20" s="64"/>
      <c r="HUT20" s="64"/>
      <c r="HUU20" s="64"/>
      <c r="HUV20" s="64"/>
      <c r="HUW20" s="64"/>
      <c r="HUX20" s="64"/>
      <c r="HUY20" s="64"/>
      <c r="HUZ20" s="64"/>
      <c r="HVA20" s="64"/>
      <c r="HVB20" s="64"/>
      <c r="HVC20" s="64"/>
      <c r="HVD20" s="64"/>
      <c r="HVE20" s="64"/>
      <c r="HVF20" s="64"/>
      <c r="HVG20" s="64"/>
      <c r="HVH20" s="64"/>
      <c r="HVI20" s="64"/>
      <c r="HVJ20" s="64"/>
      <c r="HVK20" s="64"/>
      <c r="HVL20" s="64"/>
      <c r="HVM20" s="64"/>
      <c r="HVN20" s="64"/>
      <c r="HVO20" s="64"/>
      <c r="HVP20" s="64"/>
      <c r="HVQ20" s="64"/>
      <c r="HVR20" s="64"/>
      <c r="HVS20" s="64"/>
      <c r="HVT20" s="64"/>
      <c r="HVU20" s="64"/>
      <c r="HVV20" s="64"/>
      <c r="HVW20" s="64"/>
      <c r="HVX20" s="64"/>
      <c r="HVY20" s="64"/>
      <c r="HVZ20" s="64"/>
      <c r="HWA20" s="64"/>
      <c r="HWB20" s="64"/>
      <c r="HWC20" s="64"/>
      <c r="HWD20" s="64"/>
      <c r="HWE20" s="64"/>
      <c r="HWF20" s="64"/>
      <c r="HWG20" s="64"/>
      <c r="HWH20" s="64"/>
      <c r="HWI20" s="64"/>
      <c r="HWJ20" s="64"/>
      <c r="HWK20" s="64"/>
      <c r="HWL20" s="64"/>
      <c r="HWM20" s="64"/>
      <c r="HWN20" s="64"/>
      <c r="HWO20" s="64"/>
      <c r="HWP20" s="64"/>
      <c r="HWQ20" s="64"/>
      <c r="HWR20" s="64"/>
      <c r="HWS20" s="64"/>
      <c r="HWT20" s="64"/>
      <c r="HWU20" s="64"/>
      <c r="HWV20" s="64"/>
      <c r="HWW20" s="64"/>
      <c r="HWX20" s="64"/>
      <c r="HWY20" s="64"/>
      <c r="HWZ20" s="64"/>
      <c r="HXA20" s="64"/>
      <c r="HXB20" s="64"/>
      <c r="HXC20" s="64"/>
      <c r="HXD20" s="64"/>
      <c r="HXE20" s="64"/>
      <c r="HXF20" s="64"/>
      <c r="HXG20" s="64"/>
      <c r="HXH20" s="64"/>
      <c r="HXI20" s="64"/>
      <c r="HXJ20" s="64"/>
      <c r="HXK20" s="64"/>
      <c r="HXL20" s="64"/>
      <c r="HXM20" s="64"/>
      <c r="HXN20" s="64"/>
      <c r="HXO20" s="64"/>
      <c r="HXP20" s="64"/>
      <c r="HXQ20" s="64"/>
      <c r="HXR20" s="64"/>
      <c r="HXS20" s="64"/>
      <c r="HXT20" s="64"/>
      <c r="HXU20" s="64"/>
      <c r="HXV20" s="64"/>
      <c r="HXW20" s="64"/>
      <c r="HXX20" s="64"/>
      <c r="HXY20" s="64"/>
      <c r="HXZ20" s="64"/>
      <c r="HYA20" s="64"/>
      <c r="HYB20" s="64"/>
      <c r="HYC20" s="64"/>
      <c r="HYD20" s="64"/>
      <c r="HYE20" s="64"/>
      <c r="HYF20" s="64"/>
      <c r="HYG20" s="64"/>
      <c r="HYH20" s="64"/>
      <c r="HYI20" s="64"/>
      <c r="HYJ20" s="64"/>
      <c r="HYK20" s="64"/>
      <c r="HYL20" s="64"/>
      <c r="HYM20" s="64"/>
      <c r="HYN20" s="64"/>
      <c r="HYO20" s="64"/>
      <c r="HYP20" s="64"/>
      <c r="HYQ20" s="64"/>
      <c r="HYR20" s="64"/>
      <c r="HYS20" s="64"/>
      <c r="HYT20" s="64"/>
      <c r="HYU20" s="64"/>
      <c r="HYV20" s="64"/>
      <c r="HYW20" s="64"/>
      <c r="HYX20" s="64"/>
      <c r="HYY20" s="64"/>
      <c r="HYZ20" s="64"/>
      <c r="HZA20" s="64"/>
      <c r="HZB20" s="64"/>
      <c r="HZC20" s="64"/>
      <c r="HZD20" s="64"/>
      <c r="HZE20" s="64"/>
      <c r="HZF20" s="64"/>
      <c r="HZG20" s="64"/>
      <c r="HZH20" s="64"/>
      <c r="HZI20" s="64"/>
      <c r="HZJ20" s="64"/>
      <c r="HZK20" s="64"/>
      <c r="HZL20" s="64"/>
      <c r="HZM20" s="64"/>
      <c r="HZN20" s="64"/>
      <c r="HZO20" s="64"/>
      <c r="HZP20" s="64"/>
      <c r="HZQ20" s="64"/>
      <c r="HZR20" s="64"/>
      <c r="HZS20" s="64"/>
      <c r="HZT20" s="64"/>
      <c r="HZU20" s="64"/>
      <c r="HZV20" s="64"/>
      <c r="HZW20" s="64"/>
      <c r="HZX20" s="64"/>
      <c r="HZY20" s="64"/>
      <c r="HZZ20" s="64"/>
      <c r="IAA20" s="64"/>
      <c r="IAB20" s="64"/>
      <c r="IAC20" s="64"/>
      <c r="IAD20" s="64"/>
      <c r="IAE20" s="64"/>
      <c r="IAF20" s="64"/>
      <c r="IAG20" s="64"/>
      <c r="IAH20" s="64"/>
      <c r="IAI20" s="64"/>
      <c r="IAJ20" s="64"/>
      <c r="IAK20" s="64"/>
      <c r="IAL20" s="64"/>
      <c r="IAM20" s="64"/>
      <c r="IAN20" s="64"/>
      <c r="IAO20" s="64"/>
      <c r="IAP20" s="64"/>
      <c r="IAQ20" s="64"/>
      <c r="IAR20" s="64"/>
      <c r="IAS20" s="64"/>
      <c r="IAT20" s="64"/>
      <c r="IAU20" s="64"/>
      <c r="IAV20" s="64"/>
      <c r="IAW20" s="64"/>
      <c r="IAX20" s="64"/>
      <c r="IAY20" s="64"/>
      <c r="IAZ20" s="64"/>
      <c r="IBA20" s="64"/>
      <c r="IBB20" s="64"/>
      <c r="IBC20" s="64"/>
      <c r="IBD20" s="64"/>
      <c r="IBE20" s="64"/>
      <c r="IBF20" s="64"/>
      <c r="IBG20" s="64"/>
      <c r="IBH20" s="64"/>
      <c r="IBI20" s="64"/>
      <c r="IBJ20" s="64"/>
      <c r="IBK20" s="64"/>
      <c r="IBL20" s="64"/>
      <c r="IBM20" s="64"/>
      <c r="IBN20" s="64"/>
      <c r="IBO20" s="64"/>
      <c r="IBP20" s="64"/>
      <c r="IBQ20" s="64"/>
      <c r="IBR20" s="64"/>
      <c r="IBS20" s="64"/>
      <c r="IBT20" s="64"/>
      <c r="IBU20" s="64"/>
      <c r="IBV20" s="64"/>
      <c r="IBW20" s="64"/>
      <c r="IBX20" s="64"/>
      <c r="IBY20" s="64"/>
      <c r="IBZ20" s="64"/>
      <c r="ICA20" s="64"/>
      <c r="ICB20" s="64"/>
      <c r="ICC20" s="64"/>
      <c r="ICD20" s="64"/>
      <c r="ICE20" s="64"/>
      <c r="ICF20" s="64"/>
      <c r="ICG20" s="64"/>
      <c r="ICH20" s="64"/>
      <c r="ICI20" s="64"/>
      <c r="ICJ20" s="64"/>
      <c r="ICK20" s="64"/>
      <c r="ICL20" s="64"/>
      <c r="ICM20" s="64"/>
      <c r="ICN20" s="64"/>
      <c r="ICO20" s="64"/>
      <c r="ICP20" s="64"/>
      <c r="ICQ20" s="64"/>
      <c r="ICR20" s="64"/>
      <c r="ICS20" s="64"/>
      <c r="ICT20" s="64"/>
      <c r="ICU20" s="64"/>
      <c r="ICV20" s="64"/>
      <c r="ICW20" s="64"/>
      <c r="ICX20" s="64"/>
      <c r="ICY20" s="64"/>
      <c r="ICZ20" s="64"/>
      <c r="IDA20" s="64"/>
      <c r="IDB20" s="64"/>
      <c r="IDC20" s="64"/>
      <c r="IDD20" s="64"/>
      <c r="IDE20" s="64"/>
      <c r="IDF20" s="64"/>
      <c r="IDG20" s="64"/>
      <c r="IDH20" s="64"/>
      <c r="IDI20" s="64"/>
      <c r="IDJ20" s="64"/>
      <c r="IDK20" s="64"/>
      <c r="IDL20" s="64"/>
      <c r="IDM20" s="64"/>
      <c r="IDN20" s="64"/>
      <c r="IDO20" s="64"/>
      <c r="IDP20" s="64"/>
      <c r="IDQ20" s="64"/>
      <c r="IDR20" s="64"/>
      <c r="IDS20" s="64"/>
      <c r="IDT20" s="64"/>
      <c r="IDU20" s="64"/>
      <c r="IDV20" s="64"/>
      <c r="IDW20" s="64"/>
      <c r="IDX20" s="64"/>
      <c r="IDY20" s="64"/>
      <c r="IDZ20" s="64"/>
      <c r="IEA20" s="64"/>
      <c r="IEB20" s="64"/>
      <c r="IEC20" s="64"/>
      <c r="IED20" s="64"/>
      <c r="IEE20" s="64"/>
      <c r="IEF20" s="64"/>
      <c r="IEG20" s="64"/>
      <c r="IEH20" s="64"/>
      <c r="IEI20" s="64"/>
      <c r="IEJ20" s="64"/>
      <c r="IEK20" s="64"/>
      <c r="IEL20" s="64"/>
      <c r="IEM20" s="64"/>
      <c r="IEN20" s="64"/>
      <c r="IEO20" s="64"/>
      <c r="IEP20" s="64"/>
      <c r="IEQ20" s="64"/>
      <c r="IER20" s="64"/>
      <c r="IES20" s="64"/>
      <c r="IET20" s="64"/>
      <c r="IEU20" s="64"/>
      <c r="IEV20" s="64"/>
      <c r="IEW20" s="64"/>
      <c r="IEX20" s="64"/>
      <c r="IEY20" s="64"/>
      <c r="IEZ20" s="64"/>
      <c r="IFA20" s="64"/>
      <c r="IFB20" s="64"/>
      <c r="IFC20" s="64"/>
      <c r="IFD20" s="64"/>
      <c r="IFE20" s="64"/>
      <c r="IFF20" s="64"/>
      <c r="IFG20" s="64"/>
      <c r="IFH20" s="64"/>
      <c r="IFI20" s="64"/>
      <c r="IFJ20" s="64"/>
      <c r="IFK20" s="64"/>
      <c r="IFL20" s="64"/>
      <c r="IFM20" s="64"/>
      <c r="IFN20" s="64"/>
      <c r="IFO20" s="64"/>
      <c r="IFP20" s="64"/>
      <c r="IFQ20" s="64"/>
      <c r="IFR20" s="64"/>
      <c r="IFS20" s="64"/>
      <c r="IFT20" s="64"/>
      <c r="IFU20" s="64"/>
      <c r="IFV20" s="64"/>
      <c r="IFW20" s="64"/>
      <c r="IFX20" s="64"/>
      <c r="IFY20" s="64"/>
      <c r="IFZ20" s="64"/>
      <c r="IGA20" s="64"/>
      <c r="IGB20" s="64"/>
      <c r="IGC20" s="64"/>
      <c r="IGD20" s="64"/>
      <c r="IGE20" s="64"/>
      <c r="IGF20" s="64"/>
      <c r="IGG20" s="64"/>
      <c r="IGH20" s="64"/>
      <c r="IGI20" s="64"/>
      <c r="IGJ20" s="64"/>
      <c r="IGK20" s="64"/>
      <c r="IGL20" s="64"/>
      <c r="IGM20" s="64"/>
      <c r="IGN20" s="64"/>
      <c r="IGO20" s="64"/>
      <c r="IGP20" s="64"/>
      <c r="IGQ20" s="64"/>
      <c r="IGR20" s="64"/>
      <c r="IGS20" s="64"/>
      <c r="IGT20" s="64"/>
      <c r="IGU20" s="64"/>
      <c r="IGV20" s="64"/>
      <c r="IGW20" s="64"/>
      <c r="IGX20" s="64"/>
      <c r="IGY20" s="64"/>
      <c r="IGZ20" s="64"/>
      <c r="IHA20" s="64"/>
      <c r="IHB20" s="64"/>
      <c r="IHC20" s="64"/>
      <c r="IHD20" s="64"/>
      <c r="IHE20" s="64"/>
      <c r="IHF20" s="64"/>
      <c r="IHG20" s="64"/>
      <c r="IHH20" s="64"/>
      <c r="IHI20" s="64"/>
      <c r="IHJ20" s="64"/>
      <c r="IHK20" s="64"/>
      <c r="IHL20" s="64"/>
      <c r="IHM20" s="64"/>
      <c r="IHN20" s="64"/>
      <c r="IHO20" s="64"/>
      <c r="IHP20" s="64"/>
      <c r="IHQ20" s="64"/>
      <c r="IHR20" s="64"/>
      <c r="IHS20" s="64"/>
      <c r="IHT20" s="64"/>
      <c r="IHU20" s="64"/>
      <c r="IHV20" s="64"/>
      <c r="IHW20" s="64"/>
      <c r="IHX20" s="64"/>
      <c r="IHY20" s="64"/>
      <c r="IHZ20" s="64"/>
      <c r="IIA20" s="64"/>
      <c r="IIB20" s="64"/>
      <c r="IIC20" s="64"/>
      <c r="IID20" s="64"/>
      <c r="IIE20" s="64"/>
      <c r="IIF20" s="64"/>
      <c r="IIG20" s="64"/>
      <c r="IIH20" s="64"/>
      <c r="III20" s="64"/>
      <c r="IIJ20" s="64"/>
      <c r="IIK20" s="64"/>
      <c r="IIL20" s="64"/>
      <c r="IIM20" s="64"/>
      <c r="IIN20" s="64"/>
      <c r="IIO20" s="64"/>
      <c r="IIP20" s="64"/>
      <c r="IIQ20" s="64"/>
      <c r="IIR20" s="64"/>
      <c r="IIS20" s="64"/>
      <c r="IIT20" s="64"/>
      <c r="IIU20" s="64"/>
      <c r="IIV20" s="64"/>
      <c r="IIW20" s="64"/>
      <c r="IIX20" s="64"/>
      <c r="IIY20" s="64"/>
      <c r="IIZ20" s="64"/>
      <c r="IJA20" s="64"/>
      <c r="IJB20" s="64"/>
      <c r="IJC20" s="64"/>
      <c r="IJD20" s="64"/>
      <c r="IJE20" s="64"/>
      <c r="IJF20" s="64"/>
      <c r="IJG20" s="64"/>
      <c r="IJH20" s="64"/>
      <c r="IJI20" s="64"/>
      <c r="IJJ20" s="64"/>
      <c r="IJK20" s="64"/>
      <c r="IJL20" s="64"/>
      <c r="IJM20" s="64"/>
      <c r="IJN20" s="64"/>
      <c r="IJO20" s="64"/>
      <c r="IJP20" s="64"/>
      <c r="IJQ20" s="64"/>
      <c r="IJR20" s="64"/>
      <c r="IJS20" s="64"/>
      <c r="IJT20" s="64"/>
      <c r="IJU20" s="64"/>
      <c r="IJV20" s="64"/>
      <c r="IJW20" s="64"/>
      <c r="IJX20" s="64"/>
      <c r="IJY20" s="64"/>
      <c r="IJZ20" s="64"/>
      <c r="IKA20" s="64"/>
      <c r="IKB20" s="64"/>
      <c r="IKC20" s="64"/>
      <c r="IKD20" s="64"/>
      <c r="IKE20" s="64"/>
      <c r="IKF20" s="64"/>
      <c r="IKG20" s="64"/>
      <c r="IKH20" s="64"/>
      <c r="IKI20" s="64"/>
      <c r="IKJ20" s="64"/>
      <c r="IKK20" s="64"/>
      <c r="IKL20" s="64"/>
      <c r="IKM20" s="64"/>
      <c r="IKN20" s="64"/>
      <c r="IKO20" s="64"/>
      <c r="IKP20" s="64"/>
      <c r="IKQ20" s="64"/>
      <c r="IKR20" s="64"/>
      <c r="IKS20" s="64"/>
      <c r="IKT20" s="64"/>
      <c r="IKU20" s="64"/>
      <c r="IKV20" s="64"/>
      <c r="IKW20" s="64"/>
      <c r="IKX20" s="64"/>
      <c r="IKY20" s="64"/>
      <c r="IKZ20" s="64"/>
      <c r="ILA20" s="64"/>
      <c r="ILB20" s="64"/>
      <c r="ILC20" s="64"/>
      <c r="ILD20" s="64"/>
      <c r="ILE20" s="64"/>
      <c r="ILF20" s="64"/>
      <c r="ILG20" s="64"/>
      <c r="ILH20" s="64"/>
      <c r="ILI20" s="64"/>
      <c r="ILJ20" s="64"/>
      <c r="ILK20" s="64"/>
      <c r="ILL20" s="64"/>
      <c r="ILM20" s="64"/>
      <c r="ILN20" s="64"/>
      <c r="ILO20" s="64"/>
      <c r="ILP20" s="64"/>
      <c r="ILQ20" s="64"/>
      <c r="ILR20" s="64"/>
      <c r="ILS20" s="64"/>
      <c r="ILT20" s="64"/>
      <c r="ILU20" s="64"/>
      <c r="ILV20" s="64"/>
      <c r="ILW20" s="64"/>
      <c r="ILX20" s="64"/>
      <c r="ILY20" s="64"/>
      <c r="ILZ20" s="64"/>
      <c r="IMA20" s="64"/>
      <c r="IMB20" s="64"/>
      <c r="IMC20" s="64"/>
      <c r="IMD20" s="64"/>
      <c r="IME20" s="64"/>
      <c r="IMF20" s="64"/>
      <c r="IMG20" s="64"/>
      <c r="IMH20" s="64"/>
      <c r="IMI20" s="64"/>
      <c r="IMJ20" s="64"/>
      <c r="IMK20" s="64"/>
      <c r="IML20" s="64"/>
      <c r="IMM20" s="64"/>
      <c r="IMN20" s="64"/>
      <c r="IMO20" s="64"/>
      <c r="IMP20" s="64"/>
      <c r="IMQ20" s="64"/>
      <c r="IMR20" s="64"/>
      <c r="IMS20" s="64"/>
      <c r="IMT20" s="64"/>
      <c r="IMU20" s="64"/>
      <c r="IMV20" s="64"/>
      <c r="IMW20" s="64"/>
      <c r="IMX20" s="64"/>
      <c r="IMY20" s="64"/>
      <c r="IMZ20" s="64"/>
      <c r="INA20" s="64"/>
      <c r="INB20" s="64"/>
      <c r="INC20" s="64"/>
      <c r="IND20" s="64"/>
      <c r="INE20" s="64"/>
      <c r="INF20" s="64"/>
      <c r="ING20" s="64"/>
      <c r="INH20" s="64"/>
      <c r="INI20" s="64"/>
      <c r="INJ20" s="64"/>
      <c r="INK20" s="64"/>
      <c r="INL20" s="64"/>
      <c r="INM20" s="64"/>
      <c r="INN20" s="64"/>
      <c r="INO20" s="64"/>
      <c r="INP20" s="64"/>
      <c r="INQ20" s="64"/>
      <c r="INR20" s="64"/>
      <c r="INS20" s="64"/>
      <c r="INT20" s="64"/>
      <c r="INU20" s="64"/>
      <c r="INV20" s="64"/>
      <c r="INW20" s="64"/>
      <c r="INX20" s="64"/>
      <c r="INY20" s="64"/>
      <c r="INZ20" s="64"/>
      <c r="IOA20" s="64"/>
      <c r="IOB20" s="64"/>
      <c r="IOC20" s="64"/>
      <c r="IOD20" s="64"/>
      <c r="IOE20" s="64"/>
      <c r="IOF20" s="64"/>
      <c r="IOG20" s="64"/>
      <c r="IOH20" s="64"/>
      <c r="IOI20" s="64"/>
      <c r="IOJ20" s="64"/>
      <c r="IOK20" s="64"/>
      <c r="IOL20" s="64"/>
      <c r="IOM20" s="64"/>
      <c r="ION20" s="64"/>
      <c r="IOO20" s="64"/>
      <c r="IOP20" s="64"/>
      <c r="IOQ20" s="64"/>
      <c r="IOR20" s="64"/>
      <c r="IOS20" s="64"/>
      <c r="IOT20" s="64"/>
      <c r="IOU20" s="64"/>
      <c r="IOV20" s="64"/>
      <c r="IOW20" s="64"/>
      <c r="IOX20" s="64"/>
      <c r="IOY20" s="64"/>
      <c r="IOZ20" s="64"/>
      <c r="IPA20" s="64"/>
      <c r="IPB20" s="64"/>
      <c r="IPC20" s="64"/>
      <c r="IPD20" s="64"/>
      <c r="IPE20" s="64"/>
      <c r="IPF20" s="64"/>
      <c r="IPG20" s="64"/>
      <c r="IPH20" s="64"/>
      <c r="IPI20" s="64"/>
      <c r="IPJ20" s="64"/>
      <c r="IPK20" s="64"/>
      <c r="IPL20" s="64"/>
      <c r="IPM20" s="64"/>
      <c r="IPN20" s="64"/>
      <c r="IPO20" s="64"/>
      <c r="IPP20" s="64"/>
      <c r="IPQ20" s="64"/>
      <c r="IPR20" s="64"/>
      <c r="IPS20" s="64"/>
      <c r="IPT20" s="64"/>
      <c r="IPU20" s="64"/>
      <c r="IPV20" s="64"/>
      <c r="IPW20" s="64"/>
      <c r="IPX20" s="64"/>
      <c r="IPY20" s="64"/>
      <c r="IPZ20" s="64"/>
      <c r="IQA20" s="64"/>
      <c r="IQB20" s="64"/>
      <c r="IQC20" s="64"/>
      <c r="IQD20" s="64"/>
      <c r="IQE20" s="64"/>
      <c r="IQF20" s="64"/>
      <c r="IQG20" s="64"/>
      <c r="IQH20" s="64"/>
      <c r="IQI20" s="64"/>
      <c r="IQJ20" s="64"/>
      <c r="IQK20" s="64"/>
      <c r="IQL20" s="64"/>
      <c r="IQM20" s="64"/>
      <c r="IQN20" s="64"/>
      <c r="IQO20" s="64"/>
      <c r="IQP20" s="64"/>
      <c r="IQQ20" s="64"/>
      <c r="IQR20" s="64"/>
      <c r="IQS20" s="64"/>
      <c r="IQT20" s="64"/>
      <c r="IQU20" s="64"/>
      <c r="IQV20" s="64"/>
      <c r="IQW20" s="64"/>
      <c r="IQX20" s="64"/>
      <c r="IQY20" s="64"/>
      <c r="IQZ20" s="64"/>
      <c r="IRA20" s="64"/>
      <c r="IRB20" s="64"/>
      <c r="IRC20" s="64"/>
      <c r="IRD20" s="64"/>
      <c r="IRE20" s="64"/>
      <c r="IRF20" s="64"/>
      <c r="IRG20" s="64"/>
      <c r="IRH20" s="64"/>
      <c r="IRI20" s="64"/>
      <c r="IRJ20" s="64"/>
      <c r="IRK20" s="64"/>
      <c r="IRL20" s="64"/>
      <c r="IRM20" s="64"/>
      <c r="IRN20" s="64"/>
      <c r="IRO20" s="64"/>
      <c r="IRP20" s="64"/>
      <c r="IRQ20" s="64"/>
      <c r="IRR20" s="64"/>
      <c r="IRS20" s="64"/>
      <c r="IRT20" s="64"/>
      <c r="IRU20" s="64"/>
      <c r="IRV20" s="64"/>
      <c r="IRW20" s="64"/>
      <c r="IRX20" s="64"/>
      <c r="IRY20" s="64"/>
      <c r="IRZ20" s="64"/>
      <c r="ISA20" s="64"/>
      <c r="ISB20" s="64"/>
      <c r="ISC20" s="64"/>
      <c r="ISD20" s="64"/>
      <c r="ISE20" s="64"/>
      <c r="ISF20" s="64"/>
      <c r="ISG20" s="64"/>
      <c r="ISH20" s="64"/>
      <c r="ISI20" s="64"/>
      <c r="ISJ20" s="64"/>
      <c r="ISK20" s="64"/>
      <c r="ISL20" s="64"/>
      <c r="ISM20" s="64"/>
      <c r="ISN20" s="64"/>
      <c r="ISO20" s="64"/>
      <c r="ISP20" s="64"/>
      <c r="ISQ20" s="64"/>
      <c r="ISR20" s="64"/>
      <c r="ISS20" s="64"/>
      <c r="IST20" s="64"/>
      <c r="ISU20" s="64"/>
      <c r="ISV20" s="64"/>
      <c r="ISW20" s="64"/>
      <c r="ISX20" s="64"/>
      <c r="ISY20" s="64"/>
      <c r="ISZ20" s="64"/>
      <c r="ITA20" s="64"/>
      <c r="ITB20" s="64"/>
      <c r="ITC20" s="64"/>
      <c r="ITD20" s="64"/>
      <c r="ITE20" s="64"/>
      <c r="ITF20" s="64"/>
      <c r="ITG20" s="64"/>
      <c r="ITH20" s="64"/>
      <c r="ITI20" s="64"/>
      <c r="ITJ20" s="64"/>
      <c r="ITK20" s="64"/>
      <c r="ITL20" s="64"/>
      <c r="ITM20" s="64"/>
      <c r="ITN20" s="64"/>
      <c r="ITO20" s="64"/>
      <c r="ITP20" s="64"/>
      <c r="ITQ20" s="64"/>
      <c r="ITR20" s="64"/>
      <c r="ITS20" s="64"/>
      <c r="ITT20" s="64"/>
      <c r="ITU20" s="64"/>
      <c r="ITV20" s="64"/>
      <c r="ITW20" s="64"/>
      <c r="ITX20" s="64"/>
      <c r="ITY20" s="64"/>
      <c r="ITZ20" s="64"/>
      <c r="IUA20" s="64"/>
      <c r="IUB20" s="64"/>
      <c r="IUC20" s="64"/>
      <c r="IUD20" s="64"/>
      <c r="IUE20" s="64"/>
      <c r="IUF20" s="64"/>
      <c r="IUG20" s="64"/>
      <c r="IUH20" s="64"/>
      <c r="IUI20" s="64"/>
      <c r="IUJ20" s="64"/>
      <c r="IUK20" s="64"/>
      <c r="IUL20" s="64"/>
      <c r="IUM20" s="64"/>
      <c r="IUN20" s="64"/>
      <c r="IUO20" s="64"/>
      <c r="IUP20" s="64"/>
      <c r="IUQ20" s="64"/>
      <c r="IUR20" s="64"/>
      <c r="IUS20" s="64"/>
      <c r="IUT20" s="64"/>
      <c r="IUU20" s="64"/>
      <c r="IUV20" s="64"/>
      <c r="IUW20" s="64"/>
      <c r="IUX20" s="64"/>
      <c r="IUY20" s="64"/>
      <c r="IUZ20" s="64"/>
      <c r="IVA20" s="64"/>
      <c r="IVB20" s="64"/>
      <c r="IVC20" s="64"/>
      <c r="IVD20" s="64"/>
      <c r="IVE20" s="64"/>
      <c r="IVF20" s="64"/>
      <c r="IVG20" s="64"/>
      <c r="IVH20" s="64"/>
      <c r="IVI20" s="64"/>
      <c r="IVJ20" s="64"/>
      <c r="IVK20" s="64"/>
      <c r="IVL20" s="64"/>
      <c r="IVM20" s="64"/>
      <c r="IVN20" s="64"/>
      <c r="IVO20" s="64"/>
      <c r="IVP20" s="64"/>
      <c r="IVQ20" s="64"/>
      <c r="IVR20" s="64"/>
      <c r="IVS20" s="64"/>
      <c r="IVT20" s="64"/>
      <c r="IVU20" s="64"/>
      <c r="IVV20" s="64"/>
      <c r="IVW20" s="64"/>
      <c r="IVX20" s="64"/>
      <c r="IVY20" s="64"/>
      <c r="IVZ20" s="64"/>
      <c r="IWA20" s="64"/>
      <c r="IWB20" s="64"/>
      <c r="IWC20" s="64"/>
      <c r="IWD20" s="64"/>
      <c r="IWE20" s="64"/>
      <c r="IWF20" s="64"/>
      <c r="IWG20" s="64"/>
      <c r="IWH20" s="64"/>
      <c r="IWI20" s="64"/>
      <c r="IWJ20" s="64"/>
      <c r="IWK20" s="64"/>
      <c r="IWL20" s="64"/>
      <c r="IWM20" s="64"/>
      <c r="IWN20" s="64"/>
      <c r="IWO20" s="64"/>
      <c r="IWP20" s="64"/>
      <c r="IWQ20" s="64"/>
      <c r="IWR20" s="64"/>
      <c r="IWS20" s="64"/>
      <c r="IWT20" s="64"/>
      <c r="IWU20" s="64"/>
      <c r="IWV20" s="64"/>
      <c r="IWW20" s="64"/>
      <c r="IWX20" s="64"/>
      <c r="IWY20" s="64"/>
      <c r="IWZ20" s="64"/>
      <c r="IXA20" s="64"/>
      <c r="IXB20" s="64"/>
      <c r="IXC20" s="64"/>
      <c r="IXD20" s="64"/>
      <c r="IXE20" s="64"/>
      <c r="IXF20" s="64"/>
      <c r="IXG20" s="64"/>
      <c r="IXH20" s="64"/>
      <c r="IXI20" s="64"/>
      <c r="IXJ20" s="64"/>
      <c r="IXK20" s="64"/>
      <c r="IXL20" s="64"/>
      <c r="IXM20" s="64"/>
      <c r="IXN20" s="64"/>
      <c r="IXO20" s="64"/>
      <c r="IXP20" s="64"/>
      <c r="IXQ20" s="64"/>
      <c r="IXR20" s="64"/>
      <c r="IXS20" s="64"/>
      <c r="IXT20" s="64"/>
      <c r="IXU20" s="64"/>
      <c r="IXV20" s="64"/>
      <c r="IXW20" s="64"/>
      <c r="IXX20" s="64"/>
      <c r="IXY20" s="64"/>
      <c r="IXZ20" s="64"/>
      <c r="IYA20" s="64"/>
      <c r="IYB20" s="64"/>
      <c r="IYC20" s="64"/>
      <c r="IYD20" s="64"/>
      <c r="IYE20" s="64"/>
      <c r="IYF20" s="64"/>
      <c r="IYG20" s="64"/>
      <c r="IYH20" s="64"/>
      <c r="IYI20" s="64"/>
      <c r="IYJ20" s="64"/>
      <c r="IYK20" s="64"/>
      <c r="IYL20" s="64"/>
      <c r="IYM20" s="64"/>
      <c r="IYN20" s="64"/>
      <c r="IYO20" s="64"/>
      <c r="IYP20" s="64"/>
      <c r="IYQ20" s="64"/>
      <c r="IYR20" s="64"/>
      <c r="IYS20" s="64"/>
      <c r="IYT20" s="64"/>
      <c r="IYU20" s="64"/>
      <c r="IYV20" s="64"/>
      <c r="IYW20" s="64"/>
      <c r="IYX20" s="64"/>
      <c r="IYY20" s="64"/>
      <c r="IYZ20" s="64"/>
      <c r="IZA20" s="64"/>
      <c r="IZB20" s="64"/>
      <c r="IZC20" s="64"/>
      <c r="IZD20" s="64"/>
      <c r="IZE20" s="64"/>
      <c r="IZF20" s="64"/>
      <c r="IZG20" s="64"/>
      <c r="IZH20" s="64"/>
      <c r="IZI20" s="64"/>
      <c r="IZJ20" s="64"/>
      <c r="IZK20" s="64"/>
      <c r="IZL20" s="64"/>
      <c r="IZM20" s="64"/>
      <c r="IZN20" s="64"/>
      <c r="IZO20" s="64"/>
      <c r="IZP20" s="64"/>
      <c r="IZQ20" s="64"/>
      <c r="IZR20" s="64"/>
      <c r="IZS20" s="64"/>
      <c r="IZT20" s="64"/>
      <c r="IZU20" s="64"/>
      <c r="IZV20" s="64"/>
      <c r="IZW20" s="64"/>
      <c r="IZX20" s="64"/>
      <c r="IZY20" s="64"/>
      <c r="IZZ20" s="64"/>
      <c r="JAA20" s="64"/>
      <c r="JAB20" s="64"/>
      <c r="JAC20" s="64"/>
      <c r="JAD20" s="64"/>
      <c r="JAE20" s="64"/>
      <c r="JAF20" s="64"/>
      <c r="JAG20" s="64"/>
      <c r="JAH20" s="64"/>
      <c r="JAI20" s="64"/>
      <c r="JAJ20" s="64"/>
      <c r="JAK20" s="64"/>
      <c r="JAL20" s="64"/>
      <c r="JAM20" s="64"/>
      <c r="JAN20" s="64"/>
      <c r="JAO20" s="64"/>
      <c r="JAP20" s="64"/>
      <c r="JAQ20" s="64"/>
      <c r="JAR20" s="64"/>
      <c r="JAS20" s="64"/>
      <c r="JAT20" s="64"/>
      <c r="JAU20" s="64"/>
      <c r="JAV20" s="64"/>
      <c r="JAW20" s="64"/>
      <c r="JAX20" s="64"/>
      <c r="JAY20" s="64"/>
      <c r="JAZ20" s="64"/>
      <c r="JBA20" s="64"/>
      <c r="JBB20" s="64"/>
      <c r="JBC20" s="64"/>
      <c r="JBD20" s="64"/>
      <c r="JBE20" s="64"/>
      <c r="JBF20" s="64"/>
      <c r="JBG20" s="64"/>
      <c r="JBH20" s="64"/>
      <c r="JBI20" s="64"/>
      <c r="JBJ20" s="64"/>
      <c r="JBK20" s="64"/>
      <c r="JBL20" s="64"/>
      <c r="JBM20" s="64"/>
      <c r="JBN20" s="64"/>
      <c r="JBO20" s="64"/>
      <c r="JBP20" s="64"/>
      <c r="JBQ20" s="64"/>
      <c r="JBR20" s="64"/>
      <c r="JBS20" s="64"/>
      <c r="JBT20" s="64"/>
      <c r="JBU20" s="64"/>
      <c r="JBV20" s="64"/>
      <c r="JBW20" s="64"/>
      <c r="JBX20" s="64"/>
      <c r="JBY20" s="64"/>
      <c r="JBZ20" s="64"/>
      <c r="JCA20" s="64"/>
      <c r="JCB20" s="64"/>
      <c r="JCC20" s="64"/>
      <c r="JCD20" s="64"/>
      <c r="JCE20" s="64"/>
      <c r="JCF20" s="64"/>
      <c r="JCG20" s="64"/>
      <c r="JCH20" s="64"/>
      <c r="JCI20" s="64"/>
      <c r="JCJ20" s="64"/>
      <c r="JCK20" s="64"/>
      <c r="JCL20" s="64"/>
      <c r="JCM20" s="64"/>
      <c r="JCN20" s="64"/>
      <c r="JCO20" s="64"/>
      <c r="JCP20" s="64"/>
      <c r="JCQ20" s="64"/>
      <c r="JCR20" s="64"/>
      <c r="JCS20" s="64"/>
      <c r="JCT20" s="64"/>
      <c r="JCU20" s="64"/>
      <c r="JCV20" s="64"/>
      <c r="JCW20" s="64"/>
      <c r="JCX20" s="64"/>
      <c r="JCY20" s="64"/>
      <c r="JCZ20" s="64"/>
      <c r="JDA20" s="64"/>
      <c r="JDB20" s="64"/>
      <c r="JDC20" s="64"/>
      <c r="JDD20" s="64"/>
      <c r="JDE20" s="64"/>
      <c r="JDF20" s="64"/>
      <c r="JDG20" s="64"/>
      <c r="JDH20" s="64"/>
      <c r="JDI20" s="64"/>
      <c r="JDJ20" s="64"/>
      <c r="JDK20" s="64"/>
      <c r="JDL20" s="64"/>
      <c r="JDM20" s="64"/>
      <c r="JDN20" s="64"/>
      <c r="JDO20" s="64"/>
      <c r="JDP20" s="64"/>
      <c r="JDQ20" s="64"/>
      <c r="JDR20" s="64"/>
      <c r="JDS20" s="64"/>
      <c r="JDT20" s="64"/>
      <c r="JDU20" s="64"/>
      <c r="JDV20" s="64"/>
      <c r="JDW20" s="64"/>
      <c r="JDX20" s="64"/>
      <c r="JDY20" s="64"/>
      <c r="JDZ20" s="64"/>
      <c r="JEA20" s="64"/>
      <c r="JEB20" s="64"/>
      <c r="JEC20" s="64"/>
      <c r="JED20" s="64"/>
      <c r="JEE20" s="64"/>
      <c r="JEF20" s="64"/>
      <c r="JEG20" s="64"/>
      <c r="JEH20" s="64"/>
      <c r="JEI20" s="64"/>
      <c r="JEJ20" s="64"/>
      <c r="JEK20" s="64"/>
      <c r="JEL20" s="64"/>
      <c r="JEM20" s="64"/>
      <c r="JEN20" s="64"/>
      <c r="JEO20" s="64"/>
      <c r="JEP20" s="64"/>
      <c r="JEQ20" s="64"/>
      <c r="JER20" s="64"/>
      <c r="JES20" s="64"/>
      <c r="JET20" s="64"/>
      <c r="JEU20" s="64"/>
      <c r="JEV20" s="64"/>
      <c r="JEW20" s="64"/>
      <c r="JEX20" s="64"/>
      <c r="JEY20" s="64"/>
      <c r="JEZ20" s="64"/>
      <c r="JFA20" s="64"/>
      <c r="JFB20" s="64"/>
      <c r="JFC20" s="64"/>
      <c r="JFD20" s="64"/>
      <c r="JFE20" s="64"/>
      <c r="JFF20" s="64"/>
      <c r="JFG20" s="64"/>
      <c r="JFH20" s="64"/>
      <c r="JFI20" s="64"/>
      <c r="JFJ20" s="64"/>
      <c r="JFK20" s="64"/>
      <c r="JFL20" s="64"/>
      <c r="JFM20" s="64"/>
      <c r="JFN20" s="64"/>
      <c r="JFO20" s="64"/>
      <c r="JFP20" s="64"/>
      <c r="JFQ20" s="64"/>
      <c r="JFR20" s="64"/>
      <c r="JFS20" s="64"/>
      <c r="JFT20" s="64"/>
      <c r="JFU20" s="64"/>
      <c r="JFV20" s="64"/>
      <c r="JFW20" s="64"/>
      <c r="JFX20" s="64"/>
      <c r="JFY20" s="64"/>
      <c r="JFZ20" s="64"/>
      <c r="JGA20" s="64"/>
      <c r="JGB20" s="64"/>
      <c r="JGC20" s="64"/>
      <c r="JGD20" s="64"/>
      <c r="JGE20" s="64"/>
      <c r="JGF20" s="64"/>
      <c r="JGG20" s="64"/>
      <c r="JGH20" s="64"/>
      <c r="JGI20" s="64"/>
      <c r="JGJ20" s="64"/>
      <c r="JGK20" s="64"/>
      <c r="JGL20" s="64"/>
      <c r="JGM20" s="64"/>
      <c r="JGN20" s="64"/>
      <c r="JGO20" s="64"/>
      <c r="JGP20" s="64"/>
      <c r="JGQ20" s="64"/>
      <c r="JGR20" s="64"/>
      <c r="JGS20" s="64"/>
      <c r="JGT20" s="64"/>
      <c r="JGU20" s="64"/>
      <c r="JGV20" s="64"/>
      <c r="JGW20" s="64"/>
      <c r="JGX20" s="64"/>
      <c r="JGY20" s="64"/>
      <c r="JGZ20" s="64"/>
      <c r="JHA20" s="64"/>
      <c r="JHB20" s="64"/>
      <c r="JHC20" s="64"/>
      <c r="JHD20" s="64"/>
      <c r="JHE20" s="64"/>
      <c r="JHF20" s="64"/>
      <c r="JHG20" s="64"/>
      <c r="JHH20" s="64"/>
      <c r="JHI20" s="64"/>
      <c r="JHJ20" s="64"/>
      <c r="JHK20" s="64"/>
      <c r="JHL20" s="64"/>
      <c r="JHM20" s="64"/>
      <c r="JHN20" s="64"/>
      <c r="JHO20" s="64"/>
      <c r="JHP20" s="64"/>
      <c r="JHQ20" s="64"/>
      <c r="JHR20" s="64"/>
      <c r="JHS20" s="64"/>
      <c r="JHT20" s="64"/>
      <c r="JHU20" s="64"/>
      <c r="JHV20" s="64"/>
      <c r="JHW20" s="64"/>
      <c r="JHX20" s="64"/>
      <c r="JHY20" s="64"/>
      <c r="JHZ20" s="64"/>
      <c r="JIA20" s="64"/>
      <c r="JIB20" s="64"/>
      <c r="JIC20" s="64"/>
      <c r="JID20" s="64"/>
      <c r="JIE20" s="64"/>
      <c r="JIF20" s="64"/>
      <c r="JIG20" s="64"/>
      <c r="JIH20" s="64"/>
      <c r="JII20" s="64"/>
      <c r="JIJ20" s="64"/>
      <c r="JIK20" s="64"/>
      <c r="JIL20" s="64"/>
      <c r="JIM20" s="64"/>
      <c r="JIN20" s="64"/>
      <c r="JIO20" s="64"/>
      <c r="JIP20" s="64"/>
      <c r="JIQ20" s="64"/>
      <c r="JIR20" s="64"/>
      <c r="JIS20" s="64"/>
      <c r="JIT20" s="64"/>
      <c r="JIU20" s="64"/>
      <c r="JIV20" s="64"/>
      <c r="JIW20" s="64"/>
      <c r="JIX20" s="64"/>
      <c r="JIY20" s="64"/>
      <c r="JIZ20" s="64"/>
      <c r="JJA20" s="64"/>
      <c r="JJB20" s="64"/>
      <c r="JJC20" s="64"/>
      <c r="JJD20" s="64"/>
      <c r="JJE20" s="64"/>
      <c r="JJF20" s="64"/>
      <c r="JJG20" s="64"/>
      <c r="JJH20" s="64"/>
      <c r="JJI20" s="64"/>
      <c r="JJJ20" s="64"/>
      <c r="JJK20" s="64"/>
      <c r="JJL20" s="64"/>
      <c r="JJM20" s="64"/>
      <c r="JJN20" s="64"/>
      <c r="JJO20" s="64"/>
      <c r="JJP20" s="64"/>
      <c r="JJQ20" s="64"/>
      <c r="JJR20" s="64"/>
      <c r="JJS20" s="64"/>
      <c r="JJT20" s="64"/>
      <c r="JJU20" s="64"/>
      <c r="JJV20" s="64"/>
      <c r="JJW20" s="64"/>
      <c r="JJX20" s="64"/>
      <c r="JJY20" s="64"/>
      <c r="JJZ20" s="64"/>
      <c r="JKA20" s="64"/>
      <c r="JKB20" s="64"/>
      <c r="JKC20" s="64"/>
      <c r="JKD20" s="64"/>
      <c r="JKE20" s="64"/>
      <c r="JKF20" s="64"/>
      <c r="JKG20" s="64"/>
      <c r="JKH20" s="64"/>
      <c r="JKI20" s="64"/>
      <c r="JKJ20" s="64"/>
      <c r="JKK20" s="64"/>
      <c r="JKL20" s="64"/>
      <c r="JKM20" s="64"/>
      <c r="JKN20" s="64"/>
      <c r="JKO20" s="64"/>
      <c r="JKP20" s="64"/>
      <c r="JKQ20" s="64"/>
      <c r="JKR20" s="64"/>
      <c r="JKS20" s="64"/>
      <c r="JKT20" s="64"/>
      <c r="JKU20" s="64"/>
      <c r="JKV20" s="64"/>
      <c r="JKW20" s="64"/>
      <c r="JKX20" s="64"/>
      <c r="JKY20" s="64"/>
      <c r="JKZ20" s="64"/>
      <c r="JLA20" s="64"/>
      <c r="JLB20" s="64"/>
      <c r="JLC20" s="64"/>
      <c r="JLD20" s="64"/>
      <c r="JLE20" s="64"/>
      <c r="JLF20" s="64"/>
      <c r="JLG20" s="64"/>
      <c r="JLH20" s="64"/>
      <c r="JLI20" s="64"/>
      <c r="JLJ20" s="64"/>
      <c r="JLK20" s="64"/>
      <c r="JLL20" s="64"/>
      <c r="JLM20" s="64"/>
      <c r="JLN20" s="64"/>
      <c r="JLO20" s="64"/>
      <c r="JLP20" s="64"/>
      <c r="JLQ20" s="64"/>
      <c r="JLR20" s="64"/>
      <c r="JLS20" s="64"/>
      <c r="JLT20" s="64"/>
      <c r="JLU20" s="64"/>
      <c r="JLV20" s="64"/>
      <c r="JLW20" s="64"/>
      <c r="JLX20" s="64"/>
      <c r="JLY20" s="64"/>
      <c r="JLZ20" s="64"/>
      <c r="JMA20" s="64"/>
      <c r="JMB20" s="64"/>
      <c r="JMC20" s="64"/>
      <c r="JMD20" s="64"/>
      <c r="JME20" s="64"/>
      <c r="JMF20" s="64"/>
      <c r="JMG20" s="64"/>
      <c r="JMH20" s="64"/>
      <c r="JMI20" s="64"/>
      <c r="JMJ20" s="64"/>
      <c r="JMK20" s="64"/>
      <c r="JML20" s="64"/>
      <c r="JMM20" s="64"/>
      <c r="JMN20" s="64"/>
      <c r="JMO20" s="64"/>
      <c r="JMP20" s="64"/>
      <c r="JMQ20" s="64"/>
      <c r="JMR20" s="64"/>
      <c r="JMS20" s="64"/>
      <c r="JMT20" s="64"/>
      <c r="JMU20" s="64"/>
      <c r="JMV20" s="64"/>
      <c r="JMW20" s="64"/>
      <c r="JMX20" s="64"/>
      <c r="JMY20" s="64"/>
      <c r="JMZ20" s="64"/>
      <c r="JNA20" s="64"/>
      <c r="JNB20" s="64"/>
      <c r="JNC20" s="64"/>
      <c r="JND20" s="64"/>
      <c r="JNE20" s="64"/>
      <c r="JNF20" s="64"/>
      <c r="JNG20" s="64"/>
      <c r="JNH20" s="64"/>
      <c r="JNI20" s="64"/>
      <c r="JNJ20" s="64"/>
      <c r="JNK20" s="64"/>
      <c r="JNL20" s="64"/>
      <c r="JNM20" s="64"/>
      <c r="JNN20" s="64"/>
      <c r="JNO20" s="64"/>
      <c r="JNP20" s="64"/>
      <c r="JNQ20" s="64"/>
      <c r="JNR20" s="64"/>
      <c r="JNS20" s="64"/>
      <c r="JNT20" s="64"/>
      <c r="JNU20" s="64"/>
      <c r="JNV20" s="64"/>
      <c r="JNW20" s="64"/>
      <c r="JNX20" s="64"/>
      <c r="JNY20" s="64"/>
      <c r="JNZ20" s="64"/>
      <c r="JOA20" s="64"/>
      <c r="JOB20" s="64"/>
      <c r="JOC20" s="64"/>
      <c r="JOD20" s="64"/>
      <c r="JOE20" s="64"/>
      <c r="JOF20" s="64"/>
      <c r="JOG20" s="64"/>
      <c r="JOH20" s="64"/>
      <c r="JOI20" s="64"/>
      <c r="JOJ20" s="64"/>
      <c r="JOK20" s="64"/>
      <c r="JOL20" s="64"/>
      <c r="JOM20" s="64"/>
      <c r="JON20" s="64"/>
      <c r="JOO20" s="64"/>
      <c r="JOP20" s="64"/>
      <c r="JOQ20" s="64"/>
      <c r="JOR20" s="64"/>
      <c r="JOS20" s="64"/>
      <c r="JOT20" s="64"/>
      <c r="JOU20" s="64"/>
      <c r="JOV20" s="64"/>
      <c r="JOW20" s="64"/>
      <c r="JOX20" s="64"/>
      <c r="JOY20" s="64"/>
      <c r="JOZ20" s="64"/>
      <c r="JPA20" s="64"/>
      <c r="JPB20" s="64"/>
      <c r="JPC20" s="64"/>
      <c r="JPD20" s="64"/>
      <c r="JPE20" s="64"/>
      <c r="JPF20" s="64"/>
      <c r="JPG20" s="64"/>
      <c r="JPH20" s="64"/>
      <c r="JPI20" s="64"/>
      <c r="JPJ20" s="64"/>
      <c r="JPK20" s="64"/>
      <c r="JPL20" s="64"/>
      <c r="JPM20" s="64"/>
      <c r="JPN20" s="64"/>
      <c r="JPO20" s="64"/>
      <c r="JPP20" s="64"/>
      <c r="JPQ20" s="64"/>
      <c r="JPR20" s="64"/>
      <c r="JPS20" s="64"/>
      <c r="JPT20" s="64"/>
      <c r="JPU20" s="64"/>
      <c r="JPV20" s="64"/>
      <c r="JPW20" s="64"/>
      <c r="JPX20" s="64"/>
      <c r="JPY20" s="64"/>
      <c r="JPZ20" s="64"/>
      <c r="JQA20" s="64"/>
      <c r="JQB20" s="64"/>
      <c r="JQC20" s="64"/>
      <c r="JQD20" s="64"/>
      <c r="JQE20" s="64"/>
      <c r="JQF20" s="64"/>
      <c r="JQG20" s="64"/>
      <c r="JQH20" s="64"/>
      <c r="JQI20" s="64"/>
      <c r="JQJ20" s="64"/>
      <c r="JQK20" s="64"/>
      <c r="JQL20" s="64"/>
      <c r="JQM20" s="64"/>
      <c r="JQN20" s="64"/>
      <c r="JQO20" s="64"/>
      <c r="JQP20" s="64"/>
      <c r="JQQ20" s="64"/>
      <c r="JQR20" s="64"/>
      <c r="JQS20" s="64"/>
      <c r="JQT20" s="64"/>
      <c r="JQU20" s="64"/>
      <c r="JQV20" s="64"/>
      <c r="JQW20" s="64"/>
      <c r="JQX20" s="64"/>
      <c r="JQY20" s="64"/>
      <c r="JQZ20" s="64"/>
      <c r="JRA20" s="64"/>
      <c r="JRB20" s="64"/>
      <c r="JRC20" s="64"/>
      <c r="JRD20" s="64"/>
      <c r="JRE20" s="64"/>
      <c r="JRF20" s="64"/>
      <c r="JRG20" s="64"/>
      <c r="JRH20" s="64"/>
      <c r="JRI20" s="64"/>
      <c r="JRJ20" s="64"/>
      <c r="JRK20" s="64"/>
      <c r="JRL20" s="64"/>
      <c r="JRM20" s="64"/>
      <c r="JRN20" s="64"/>
      <c r="JRO20" s="64"/>
      <c r="JRP20" s="64"/>
      <c r="JRQ20" s="64"/>
      <c r="JRR20" s="64"/>
      <c r="JRS20" s="64"/>
      <c r="JRT20" s="64"/>
      <c r="JRU20" s="64"/>
      <c r="JRV20" s="64"/>
      <c r="JRW20" s="64"/>
      <c r="JRX20" s="64"/>
      <c r="JRY20" s="64"/>
      <c r="JRZ20" s="64"/>
      <c r="JSA20" s="64"/>
      <c r="JSB20" s="64"/>
      <c r="JSC20" s="64"/>
      <c r="JSD20" s="64"/>
      <c r="JSE20" s="64"/>
      <c r="JSF20" s="64"/>
      <c r="JSG20" s="64"/>
      <c r="JSH20" s="64"/>
      <c r="JSI20" s="64"/>
      <c r="JSJ20" s="64"/>
      <c r="JSK20" s="64"/>
      <c r="JSL20" s="64"/>
      <c r="JSM20" s="64"/>
      <c r="JSN20" s="64"/>
      <c r="JSO20" s="64"/>
      <c r="JSP20" s="64"/>
      <c r="JSQ20" s="64"/>
      <c r="JSR20" s="64"/>
      <c r="JSS20" s="64"/>
      <c r="JST20" s="64"/>
      <c r="JSU20" s="64"/>
      <c r="JSV20" s="64"/>
      <c r="JSW20" s="64"/>
      <c r="JSX20" s="64"/>
      <c r="JSY20" s="64"/>
      <c r="JSZ20" s="64"/>
      <c r="JTA20" s="64"/>
      <c r="JTB20" s="64"/>
      <c r="JTC20" s="64"/>
      <c r="JTD20" s="64"/>
      <c r="JTE20" s="64"/>
      <c r="JTF20" s="64"/>
      <c r="JTG20" s="64"/>
      <c r="JTH20" s="64"/>
      <c r="JTI20" s="64"/>
      <c r="JTJ20" s="64"/>
      <c r="JTK20" s="64"/>
      <c r="JTL20" s="64"/>
      <c r="JTM20" s="64"/>
      <c r="JTN20" s="64"/>
      <c r="JTO20" s="64"/>
      <c r="JTP20" s="64"/>
      <c r="JTQ20" s="64"/>
      <c r="JTR20" s="64"/>
      <c r="JTS20" s="64"/>
      <c r="JTT20" s="64"/>
      <c r="JTU20" s="64"/>
      <c r="JTV20" s="64"/>
      <c r="JTW20" s="64"/>
      <c r="JTX20" s="64"/>
      <c r="JTY20" s="64"/>
      <c r="JTZ20" s="64"/>
      <c r="JUA20" s="64"/>
      <c r="JUB20" s="64"/>
      <c r="JUC20" s="64"/>
      <c r="JUD20" s="64"/>
      <c r="JUE20" s="64"/>
      <c r="JUF20" s="64"/>
      <c r="JUG20" s="64"/>
      <c r="JUH20" s="64"/>
      <c r="JUI20" s="64"/>
      <c r="JUJ20" s="64"/>
      <c r="JUK20" s="64"/>
      <c r="JUL20" s="64"/>
      <c r="JUM20" s="64"/>
      <c r="JUN20" s="64"/>
      <c r="JUO20" s="64"/>
      <c r="JUP20" s="64"/>
      <c r="JUQ20" s="64"/>
      <c r="JUR20" s="64"/>
      <c r="JUS20" s="64"/>
      <c r="JUT20" s="64"/>
      <c r="JUU20" s="64"/>
      <c r="JUV20" s="64"/>
      <c r="JUW20" s="64"/>
      <c r="JUX20" s="64"/>
      <c r="JUY20" s="64"/>
      <c r="JUZ20" s="64"/>
      <c r="JVA20" s="64"/>
      <c r="JVB20" s="64"/>
      <c r="JVC20" s="64"/>
      <c r="JVD20" s="64"/>
      <c r="JVE20" s="64"/>
      <c r="JVF20" s="64"/>
      <c r="JVG20" s="64"/>
      <c r="JVH20" s="64"/>
      <c r="JVI20" s="64"/>
      <c r="JVJ20" s="64"/>
      <c r="JVK20" s="64"/>
      <c r="JVL20" s="64"/>
      <c r="JVM20" s="64"/>
      <c r="JVN20" s="64"/>
      <c r="JVO20" s="64"/>
      <c r="JVP20" s="64"/>
      <c r="JVQ20" s="64"/>
      <c r="JVR20" s="64"/>
      <c r="JVS20" s="64"/>
      <c r="JVT20" s="64"/>
      <c r="JVU20" s="64"/>
      <c r="JVV20" s="64"/>
      <c r="JVW20" s="64"/>
      <c r="JVX20" s="64"/>
      <c r="JVY20" s="64"/>
      <c r="JVZ20" s="64"/>
      <c r="JWA20" s="64"/>
      <c r="JWB20" s="64"/>
      <c r="JWC20" s="64"/>
      <c r="JWD20" s="64"/>
      <c r="JWE20" s="64"/>
      <c r="JWF20" s="64"/>
      <c r="JWG20" s="64"/>
      <c r="JWH20" s="64"/>
      <c r="JWI20" s="64"/>
      <c r="JWJ20" s="64"/>
      <c r="JWK20" s="64"/>
      <c r="JWL20" s="64"/>
      <c r="JWM20" s="64"/>
      <c r="JWN20" s="64"/>
      <c r="JWO20" s="64"/>
      <c r="JWP20" s="64"/>
      <c r="JWQ20" s="64"/>
      <c r="JWR20" s="64"/>
      <c r="JWS20" s="64"/>
      <c r="JWT20" s="64"/>
      <c r="JWU20" s="64"/>
      <c r="JWV20" s="64"/>
      <c r="JWW20" s="64"/>
      <c r="JWX20" s="64"/>
      <c r="JWY20" s="64"/>
      <c r="JWZ20" s="64"/>
      <c r="JXA20" s="64"/>
      <c r="JXB20" s="64"/>
      <c r="JXC20" s="64"/>
      <c r="JXD20" s="64"/>
      <c r="JXE20" s="64"/>
      <c r="JXF20" s="64"/>
      <c r="JXG20" s="64"/>
      <c r="JXH20" s="64"/>
      <c r="JXI20" s="64"/>
      <c r="JXJ20" s="64"/>
      <c r="JXK20" s="64"/>
      <c r="JXL20" s="64"/>
      <c r="JXM20" s="64"/>
      <c r="JXN20" s="64"/>
      <c r="JXO20" s="64"/>
      <c r="JXP20" s="64"/>
      <c r="JXQ20" s="64"/>
      <c r="JXR20" s="64"/>
      <c r="JXS20" s="64"/>
      <c r="JXT20" s="64"/>
      <c r="JXU20" s="64"/>
      <c r="JXV20" s="64"/>
      <c r="JXW20" s="64"/>
      <c r="JXX20" s="64"/>
      <c r="JXY20" s="64"/>
      <c r="JXZ20" s="64"/>
      <c r="JYA20" s="64"/>
      <c r="JYB20" s="64"/>
      <c r="JYC20" s="64"/>
      <c r="JYD20" s="64"/>
      <c r="JYE20" s="64"/>
      <c r="JYF20" s="64"/>
      <c r="JYG20" s="64"/>
      <c r="JYH20" s="64"/>
      <c r="JYI20" s="64"/>
      <c r="JYJ20" s="64"/>
      <c r="JYK20" s="64"/>
      <c r="JYL20" s="64"/>
      <c r="JYM20" s="64"/>
      <c r="JYN20" s="64"/>
      <c r="JYO20" s="64"/>
      <c r="JYP20" s="64"/>
      <c r="JYQ20" s="64"/>
      <c r="JYR20" s="64"/>
      <c r="JYS20" s="64"/>
      <c r="JYT20" s="64"/>
      <c r="JYU20" s="64"/>
      <c r="JYV20" s="64"/>
      <c r="JYW20" s="64"/>
      <c r="JYX20" s="64"/>
      <c r="JYY20" s="64"/>
      <c r="JYZ20" s="64"/>
      <c r="JZA20" s="64"/>
      <c r="JZB20" s="64"/>
      <c r="JZC20" s="64"/>
      <c r="JZD20" s="64"/>
      <c r="JZE20" s="64"/>
      <c r="JZF20" s="64"/>
      <c r="JZG20" s="64"/>
      <c r="JZH20" s="64"/>
      <c r="JZI20" s="64"/>
      <c r="JZJ20" s="64"/>
      <c r="JZK20" s="64"/>
      <c r="JZL20" s="64"/>
      <c r="JZM20" s="64"/>
      <c r="JZN20" s="64"/>
      <c r="JZO20" s="64"/>
      <c r="JZP20" s="64"/>
      <c r="JZQ20" s="64"/>
      <c r="JZR20" s="64"/>
      <c r="JZS20" s="64"/>
      <c r="JZT20" s="64"/>
      <c r="JZU20" s="64"/>
      <c r="JZV20" s="64"/>
      <c r="JZW20" s="64"/>
      <c r="JZX20" s="64"/>
      <c r="JZY20" s="64"/>
      <c r="JZZ20" s="64"/>
      <c r="KAA20" s="64"/>
      <c r="KAB20" s="64"/>
      <c r="KAC20" s="64"/>
      <c r="KAD20" s="64"/>
      <c r="KAE20" s="64"/>
      <c r="KAF20" s="64"/>
      <c r="KAG20" s="64"/>
      <c r="KAH20" s="64"/>
      <c r="KAI20" s="64"/>
      <c r="KAJ20" s="64"/>
      <c r="KAK20" s="64"/>
      <c r="KAL20" s="64"/>
      <c r="KAM20" s="64"/>
      <c r="KAN20" s="64"/>
      <c r="KAO20" s="64"/>
      <c r="KAP20" s="64"/>
      <c r="KAQ20" s="64"/>
      <c r="KAR20" s="64"/>
      <c r="KAS20" s="64"/>
      <c r="KAT20" s="64"/>
      <c r="KAU20" s="64"/>
      <c r="KAV20" s="64"/>
      <c r="KAW20" s="64"/>
      <c r="KAX20" s="64"/>
      <c r="KAY20" s="64"/>
      <c r="KAZ20" s="64"/>
      <c r="KBA20" s="64"/>
      <c r="KBB20" s="64"/>
      <c r="KBC20" s="64"/>
      <c r="KBD20" s="64"/>
      <c r="KBE20" s="64"/>
      <c r="KBF20" s="64"/>
      <c r="KBG20" s="64"/>
      <c r="KBH20" s="64"/>
      <c r="KBI20" s="64"/>
      <c r="KBJ20" s="64"/>
      <c r="KBK20" s="64"/>
      <c r="KBL20" s="64"/>
      <c r="KBM20" s="64"/>
      <c r="KBN20" s="64"/>
      <c r="KBO20" s="64"/>
      <c r="KBP20" s="64"/>
      <c r="KBQ20" s="64"/>
      <c r="KBR20" s="64"/>
      <c r="KBS20" s="64"/>
      <c r="KBT20" s="64"/>
      <c r="KBU20" s="64"/>
      <c r="KBV20" s="64"/>
      <c r="KBW20" s="64"/>
      <c r="KBX20" s="64"/>
      <c r="KBY20" s="64"/>
      <c r="KBZ20" s="64"/>
      <c r="KCA20" s="64"/>
      <c r="KCB20" s="64"/>
      <c r="KCC20" s="64"/>
      <c r="KCD20" s="64"/>
      <c r="KCE20" s="64"/>
      <c r="KCF20" s="64"/>
      <c r="KCG20" s="64"/>
      <c r="KCH20" s="64"/>
      <c r="KCI20" s="64"/>
      <c r="KCJ20" s="64"/>
      <c r="KCK20" s="64"/>
      <c r="KCL20" s="64"/>
      <c r="KCM20" s="64"/>
      <c r="KCN20" s="64"/>
      <c r="KCO20" s="64"/>
      <c r="KCP20" s="64"/>
      <c r="KCQ20" s="64"/>
      <c r="KCR20" s="64"/>
      <c r="KCS20" s="64"/>
      <c r="KCT20" s="64"/>
      <c r="KCU20" s="64"/>
      <c r="KCV20" s="64"/>
      <c r="KCW20" s="64"/>
      <c r="KCX20" s="64"/>
      <c r="KCY20" s="64"/>
      <c r="KCZ20" s="64"/>
      <c r="KDA20" s="64"/>
      <c r="KDB20" s="64"/>
      <c r="KDC20" s="64"/>
      <c r="KDD20" s="64"/>
      <c r="KDE20" s="64"/>
      <c r="KDF20" s="64"/>
      <c r="KDG20" s="64"/>
      <c r="KDH20" s="64"/>
      <c r="KDI20" s="64"/>
      <c r="KDJ20" s="64"/>
      <c r="KDK20" s="64"/>
      <c r="KDL20" s="64"/>
      <c r="KDM20" s="64"/>
      <c r="KDN20" s="64"/>
      <c r="KDO20" s="64"/>
      <c r="KDP20" s="64"/>
      <c r="KDQ20" s="64"/>
      <c r="KDR20" s="64"/>
      <c r="KDS20" s="64"/>
      <c r="KDT20" s="64"/>
      <c r="KDU20" s="64"/>
      <c r="KDV20" s="64"/>
      <c r="KDW20" s="64"/>
      <c r="KDX20" s="64"/>
      <c r="KDY20" s="64"/>
      <c r="KDZ20" s="64"/>
      <c r="KEA20" s="64"/>
      <c r="KEB20" s="64"/>
      <c r="KEC20" s="64"/>
      <c r="KED20" s="64"/>
      <c r="KEE20" s="64"/>
      <c r="KEF20" s="64"/>
      <c r="KEG20" s="64"/>
      <c r="KEH20" s="64"/>
      <c r="KEI20" s="64"/>
      <c r="KEJ20" s="64"/>
      <c r="KEK20" s="64"/>
      <c r="KEL20" s="64"/>
      <c r="KEM20" s="64"/>
      <c r="KEN20" s="64"/>
      <c r="KEO20" s="64"/>
      <c r="KEP20" s="64"/>
      <c r="KEQ20" s="64"/>
      <c r="KER20" s="64"/>
      <c r="KES20" s="64"/>
      <c r="KET20" s="64"/>
      <c r="KEU20" s="64"/>
      <c r="KEV20" s="64"/>
      <c r="KEW20" s="64"/>
      <c r="KEX20" s="64"/>
      <c r="KEY20" s="64"/>
      <c r="KEZ20" s="64"/>
      <c r="KFA20" s="64"/>
      <c r="KFB20" s="64"/>
      <c r="KFC20" s="64"/>
      <c r="KFD20" s="64"/>
      <c r="KFE20" s="64"/>
      <c r="KFF20" s="64"/>
      <c r="KFG20" s="64"/>
      <c r="KFH20" s="64"/>
      <c r="KFI20" s="64"/>
      <c r="KFJ20" s="64"/>
      <c r="KFK20" s="64"/>
      <c r="KFL20" s="64"/>
      <c r="KFM20" s="64"/>
      <c r="KFN20" s="64"/>
      <c r="KFO20" s="64"/>
      <c r="KFP20" s="64"/>
      <c r="KFQ20" s="64"/>
      <c r="KFR20" s="64"/>
      <c r="KFS20" s="64"/>
      <c r="KFT20" s="64"/>
      <c r="KFU20" s="64"/>
      <c r="KFV20" s="64"/>
      <c r="KFW20" s="64"/>
      <c r="KFX20" s="64"/>
      <c r="KFY20" s="64"/>
      <c r="KFZ20" s="64"/>
      <c r="KGA20" s="64"/>
      <c r="KGB20" s="64"/>
      <c r="KGC20" s="64"/>
      <c r="KGD20" s="64"/>
      <c r="KGE20" s="64"/>
      <c r="KGF20" s="64"/>
      <c r="KGG20" s="64"/>
      <c r="KGH20" s="64"/>
      <c r="KGI20" s="64"/>
      <c r="KGJ20" s="64"/>
      <c r="KGK20" s="64"/>
      <c r="KGL20" s="64"/>
      <c r="KGM20" s="64"/>
      <c r="KGN20" s="64"/>
      <c r="KGO20" s="64"/>
      <c r="KGP20" s="64"/>
      <c r="KGQ20" s="64"/>
      <c r="KGR20" s="64"/>
      <c r="KGS20" s="64"/>
      <c r="KGT20" s="64"/>
      <c r="KGU20" s="64"/>
      <c r="KGV20" s="64"/>
      <c r="KGW20" s="64"/>
      <c r="KGX20" s="64"/>
      <c r="KGY20" s="64"/>
      <c r="KGZ20" s="64"/>
      <c r="KHA20" s="64"/>
      <c r="KHB20" s="64"/>
      <c r="KHC20" s="64"/>
      <c r="KHD20" s="64"/>
      <c r="KHE20" s="64"/>
      <c r="KHF20" s="64"/>
      <c r="KHG20" s="64"/>
      <c r="KHH20" s="64"/>
      <c r="KHI20" s="64"/>
      <c r="KHJ20" s="64"/>
      <c r="KHK20" s="64"/>
      <c r="KHL20" s="64"/>
      <c r="KHM20" s="64"/>
      <c r="KHN20" s="64"/>
      <c r="KHO20" s="64"/>
      <c r="KHP20" s="64"/>
      <c r="KHQ20" s="64"/>
      <c r="KHR20" s="64"/>
      <c r="KHS20" s="64"/>
      <c r="KHT20" s="64"/>
      <c r="KHU20" s="64"/>
      <c r="KHV20" s="64"/>
      <c r="KHW20" s="64"/>
      <c r="KHX20" s="64"/>
      <c r="KHY20" s="64"/>
      <c r="KHZ20" s="64"/>
      <c r="KIA20" s="64"/>
      <c r="KIB20" s="64"/>
      <c r="KIC20" s="64"/>
      <c r="KID20" s="64"/>
      <c r="KIE20" s="64"/>
      <c r="KIF20" s="64"/>
      <c r="KIG20" s="64"/>
      <c r="KIH20" s="64"/>
      <c r="KII20" s="64"/>
      <c r="KIJ20" s="64"/>
      <c r="KIK20" s="64"/>
      <c r="KIL20" s="64"/>
      <c r="KIM20" s="64"/>
      <c r="KIN20" s="64"/>
      <c r="KIO20" s="64"/>
      <c r="KIP20" s="64"/>
      <c r="KIQ20" s="64"/>
      <c r="KIR20" s="64"/>
      <c r="KIS20" s="64"/>
      <c r="KIT20" s="64"/>
      <c r="KIU20" s="64"/>
      <c r="KIV20" s="64"/>
      <c r="KIW20" s="64"/>
      <c r="KIX20" s="64"/>
      <c r="KIY20" s="64"/>
      <c r="KIZ20" s="64"/>
      <c r="KJA20" s="64"/>
      <c r="KJB20" s="64"/>
      <c r="KJC20" s="64"/>
      <c r="KJD20" s="64"/>
      <c r="KJE20" s="64"/>
      <c r="KJF20" s="64"/>
      <c r="KJG20" s="64"/>
      <c r="KJH20" s="64"/>
      <c r="KJI20" s="64"/>
      <c r="KJJ20" s="64"/>
      <c r="KJK20" s="64"/>
      <c r="KJL20" s="64"/>
      <c r="KJM20" s="64"/>
      <c r="KJN20" s="64"/>
      <c r="KJO20" s="64"/>
      <c r="KJP20" s="64"/>
      <c r="KJQ20" s="64"/>
      <c r="KJR20" s="64"/>
      <c r="KJS20" s="64"/>
      <c r="KJT20" s="64"/>
      <c r="KJU20" s="64"/>
      <c r="KJV20" s="64"/>
      <c r="KJW20" s="64"/>
      <c r="KJX20" s="64"/>
      <c r="KJY20" s="64"/>
      <c r="KJZ20" s="64"/>
      <c r="KKA20" s="64"/>
      <c r="KKB20" s="64"/>
      <c r="KKC20" s="64"/>
      <c r="KKD20" s="64"/>
      <c r="KKE20" s="64"/>
      <c r="KKF20" s="64"/>
      <c r="KKG20" s="64"/>
      <c r="KKH20" s="64"/>
      <c r="KKI20" s="64"/>
      <c r="KKJ20" s="64"/>
      <c r="KKK20" s="64"/>
      <c r="KKL20" s="64"/>
      <c r="KKM20" s="64"/>
      <c r="KKN20" s="64"/>
      <c r="KKO20" s="64"/>
      <c r="KKP20" s="64"/>
      <c r="KKQ20" s="64"/>
      <c r="KKR20" s="64"/>
      <c r="KKS20" s="64"/>
      <c r="KKT20" s="64"/>
      <c r="KKU20" s="64"/>
      <c r="KKV20" s="64"/>
      <c r="KKW20" s="64"/>
      <c r="KKX20" s="64"/>
      <c r="KKY20" s="64"/>
      <c r="KKZ20" s="64"/>
      <c r="KLA20" s="64"/>
      <c r="KLB20" s="64"/>
      <c r="KLC20" s="64"/>
      <c r="KLD20" s="64"/>
      <c r="KLE20" s="64"/>
      <c r="KLF20" s="64"/>
      <c r="KLG20" s="64"/>
      <c r="KLH20" s="64"/>
      <c r="KLI20" s="64"/>
      <c r="KLJ20" s="64"/>
      <c r="KLK20" s="64"/>
      <c r="KLL20" s="64"/>
      <c r="KLM20" s="64"/>
      <c r="KLN20" s="64"/>
      <c r="KLO20" s="64"/>
      <c r="KLP20" s="64"/>
      <c r="KLQ20" s="64"/>
      <c r="KLR20" s="64"/>
      <c r="KLS20" s="64"/>
      <c r="KLT20" s="64"/>
      <c r="KLU20" s="64"/>
      <c r="KLV20" s="64"/>
      <c r="KLW20" s="64"/>
      <c r="KLX20" s="64"/>
      <c r="KLY20" s="64"/>
      <c r="KLZ20" s="64"/>
      <c r="KMA20" s="64"/>
      <c r="KMB20" s="64"/>
      <c r="KMC20" s="64"/>
      <c r="KMD20" s="64"/>
      <c r="KME20" s="64"/>
      <c r="KMF20" s="64"/>
      <c r="KMG20" s="64"/>
      <c r="KMH20" s="64"/>
      <c r="KMI20" s="64"/>
      <c r="KMJ20" s="64"/>
      <c r="KMK20" s="64"/>
      <c r="KML20" s="64"/>
      <c r="KMM20" s="64"/>
      <c r="KMN20" s="64"/>
      <c r="KMO20" s="64"/>
      <c r="KMP20" s="64"/>
      <c r="KMQ20" s="64"/>
      <c r="KMR20" s="64"/>
      <c r="KMS20" s="64"/>
      <c r="KMT20" s="64"/>
      <c r="KMU20" s="64"/>
      <c r="KMV20" s="64"/>
      <c r="KMW20" s="64"/>
      <c r="KMX20" s="64"/>
      <c r="KMY20" s="64"/>
      <c r="KMZ20" s="64"/>
      <c r="KNA20" s="64"/>
      <c r="KNB20" s="64"/>
      <c r="KNC20" s="64"/>
      <c r="KND20" s="64"/>
      <c r="KNE20" s="64"/>
      <c r="KNF20" s="64"/>
      <c r="KNG20" s="64"/>
      <c r="KNH20" s="64"/>
      <c r="KNI20" s="64"/>
      <c r="KNJ20" s="64"/>
      <c r="KNK20" s="64"/>
      <c r="KNL20" s="64"/>
      <c r="KNM20" s="64"/>
      <c r="KNN20" s="64"/>
      <c r="KNO20" s="64"/>
      <c r="KNP20" s="64"/>
      <c r="KNQ20" s="64"/>
      <c r="KNR20" s="64"/>
      <c r="KNS20" s="64"/>
      <c r="KNT20" s="64"/>
      <c r="KNU20" s="64"/>
      <c r="KNV20" s="64"/>
      <c r="KNW20" s="64"/>
      <c r="KNX20" s="64"/>
      <c r="KNY20" s="64"/>
      <c r="KNZ20" s="64"/>
      <c r="KOA20" s="64"/>
      <c r="KOB20" s="64"/>
      <c r="KOC20" s="64"/>
      <c r="KOD20" s="64"/>
      <c r="KOE20" s="64"/>
      <c r="KOF20" s="64"/>
      <c r="KOG20" s="64"/>
      <c r="KOH20" s="64"/>
      <c r="KOI20" s="64"/>
      <c r="KOJ20" s="64"/>
      <c r="KOK20" s="64"/>
      <c r="KOL20" s="64"/>
      <c r="KOM20" s="64"/>
      <c r="KON20" s="64"/>
      <c r="KOO20" s="64"/>
      <c r="KOP20" s="64"/>
      <c r="KOQ20" s="64"/>
      <c r="KOR20" s="64"/>
      <c r="KOS20" s="64"/>
      <c r="KOT20" s="64"/>
      <c r="KOU20" s="64"/>
      <c r="KOV20" s="64"/>
      <c r="KOW20" s="64"/>
      <c r="KOX20" s="64"/>
      <c r="KOY20" s="64"/>
      <c r="KOZ20" s="64"/>
      <c r="KPA20" s="64"/>
      <c r="KPB20" s="64"/>
      <c r="KPC20" s="64"/>
      <c r="KPD20" s="64"/>
      <c r="KPE20" s="64"/>
      <c r="KPF20" s="64"/>
      <c r="KPG20" s="64"/>
      <c r="KPH20" s="64"/>
      <c r="KPI20" s="64"/>
      <c r="KPJ20" s="64"/>
      <c r="KPK20" s="64"/>
      <c r="KPL20" s="64"/>
      <c r="KPM20" s="64"/>
      <c r="KPN20" s="64"/>
      <c r="KPO20" s="64"/>
      <c r="KPP20" s="64"/>
      <c r="KPQ20" s="64"/>
      <c r="KPR20" s="64"/>
      <c r="KPS20" s="64"/>
      <c r="KPT20" s="64"/>
      <c r="KPU20" s="64"/>
      <c r="KPV20" s="64"/>
      <c r="KPW20" s="64"/>
      <c r="KPX20" s="64"/>
      <c r="KPY20" s="64"/>
      <c r="KPZ20" s="64"/>
      <c r="KQA20" s="64"/>
      <c r="KQB20" s="64"/>
      <c r="KQC20" s="64"/>
      <c r="KQD20" s="64"/>
      <c r="KQE20" s="64"/>
      <c r="KQF20" s="64"/>
      <c r="KQG20" s="64"/>
      <c r="KQH20" s="64"/>
      <c r="KQI20" s="64"/>
      <c r="KQJ20" s="64"/>
      <c r="KQK20" s="64"/>
      <c r="KQL20" s="64"/>
      <c r="KQM20" s="64"/>
      <c r="KQN20" s="64"/>
      <c r="KQO20" s="64"/>
      <c r="KQP20" s="64"/>
      <c r="KQQ20" s="64"/>
      <c r="KQR20" s="64"/>
      <c r="KQS20" s="64"/>
      <c r="KQT20" s="64"/>
      <c r="KQU20" s="64"/>
      <c r="KQV20" s="64"/>
      <c r="KQW20" s="64"/>
      <c r="KQX20" s="64"/>
      <c r="KQY20" s="64"/>
      <c r="KQZ20" s="64"/>
      <c r="KRA20" s="64"/>
      <c r="KRB20" s="64"/>
      <c r="KRC20" s="64"/>
      <c r="KRD20" s="64"/>
      <c r="KRE20" s="64"/>
      <c r="KRF20" s="64"/>
      <c r="KRG20" s="64"/>
      <c r="KRH20" s="64"/>
      <c r="KRI20" s="64"/>
      <c r="KRJ20" s="64"/>
      <c r="KRK20" s="64"/>
      <c r="KRL20" s="64"/>
      <c r="KRM20" s="64"/>
      <c r="KRN20" s="64"/>
      <c r="KRO20" s="64"/>
      <c r="KRP20" s="64"/>
      <c r="KRQ20" s="64"/>
      <c r="KRR20" s="64"/>
      <c r="KRS20" s="64"/>
      <c r="KRT20" s="64"/>
      <c r="KRU20" s="64"/>
      <c r="KRV20" s="64"/>
      <c r="KRW20" s="64"/>
      <c r="KRX20" s="64"/>
      <c r="KRY20" s="64"/>
      <c r="KRZ20" s="64"/>
      <c r="KSA20" s="64"/>
      <c r="KSB20" s="64"/>
      <c r="KSC20" s="64"/>
      <c r="KSD20" s="64"/>
      <c r="KSE20" s="64"/>
      <c r="KSF20" s="64"/>
      <c r="KSG20" s="64"/>
      <c r="KSH20" s="64"/>
      <c r="KSI20" s="64"/>
      <c r="KSJ20" s="64"/>
      <c r="KSK20" s="64"/>
      <c r="KSL20" s="64"/>
      <c r="KSM20" s="64"/>
      <c r="KSN20" s="64"/>
      <c r="KSO20" s="64"/>
      <c r="KSP20" s="64"/>
      <c r="KSQ20" s="64"/>
      <c r="KSR20" s="64"/>
      <c r="KSS20" s="64"/>
      <c r="KST20" s="64"/>
      <c r="KSU20" s="64"/>
      <c r="KSV20" s="64"/>
      <c r="KSW20" s="64"/>
      <c r="KSX20" s="64"/>
      <c r="KSY20" s="64"/>
      <c r="KSZ20" s="64"/>
      <c r="KTA20" s="64"/>
      <c r="KTB20" s="64"/>
      <c r="KTC20" s="64"/>
      <c r="KTD20" s="64"/>
      <c r="KTE20" s="64"/>
      <c r="KTF20" s="64"/>
      <c r="KTG20" s="64"/>
      <c r="KTH20" s="64"/>
      <c r="KTI20" s="64"/>
      <c r="KTJ20" s="64"/>
      <c r="KTK20" s="64"/>
      <c r="KTL20" s="64"/>
      <c r="KTM20" s="64"/>
      <c r="KTN20" s="64"/>
      <c r="KTO20" s="64"/>
      <c r="KTP20" s="64"/>
      <c r="KTQ20" s="64"/>
      <c r="KTR20" s="64"/>
      <c r="KTS20" s="64"/>
      <c r="KTT20" s="64"/>
      <c r="KTU20" s="64"/>
      <c r="KTV20" s="64"/>
      <c r="KTW20" s="64"/>
      <c r="KTX20" s="64"/>
      <c r="KTY20" s="64"/>
      <c r="KTZ20" s="64"/>
      <c r="KUA20" s="64"/>
      <c r="KUB20" s="64"/>
      <c r="KUC20" s="64"/>
      <c r="KUD20" s="64"/>
      <c r="KUE20" s="64"/>
      <c r="KUF20" s="64"/>
      <c r="KUG20" s="64"/>
      <c r="KUH20" s="64"/>
      <c r="KUI20" s="64"/>
      <c r="KUJ20" s="64"/>
      <c r="KUK20" s="64"/>
      <c r="KUL20" s="64"/>
      <c r="KUM20" s="64"/>
      <c r="KUN20" s="64"/>
      <c r="KUO20" s="64"/>
      <c r="KUP20" s="64"/>
      <c r="KUQ20" s="64"/>
      <c r="KUR20" s="64"/>
      <c r="KUS20" s="64"/>
      <c r="KUT20" s="64"/>
      <c r="KUU20" s="64"/>
      <c r="KUV20" s="64"/>
      <c r="KUW20" s="64"/>
      <c r="KUX20" s="64"/>
      <c r="KUY20" s="64"/>
      <c r="KUZ20" s="64"/>
      <c r="KVA20" s="64"/>
      <c r="KVB20" s="64"/>
      <c r="KVC20" s="64"/>
      <c r="KVD20" s="64"/>
      <c r="KVE20" s="64"/>
      <c r="KVF20" s="64"/>
      <c r="KVG20" s="64"/>
      <c r="KVH20" s="64"/>
      <c r="KVI20" s="64"/>
      <c r="KVJ20" s="64"/>
      <c r="KVK20" s="64"/>
      <c r="KVL20" s="64"/>
      <c r="KVM20" s="64"/>
      <c r="KVN20" s="64"/>
      <c r="KVO20" s="64"/>
      <c r="KVP20" s="64"/>
      <c r="KVQ20" s="64"/>
      <c r="KVR20" s="64"/>
      <c r="KVS20" s="64"/>
      <c r="KVT20" s="64"/>
      <c r="KVU20" s="64"/>
      <c r="KVV20" s="64"/>
      <c r="KVW20" s="64"/>
      <c r="KVX20" s="64"/>
      <c r="KVY20" s="64"/>
      <c r="KVZ20" s="64"/>
      <c r="KWA20" s="64"/>
      <c r="KWB20" s="64"/>
      <c r="KWC20" s="64"/>
      <c r="KWD20" s="64"/>
      <c r="KWE20" s="64"/>
      <c r="KWF20" s="64"/>
      <c r="KWG20" s="64"/>
      <c r="KWH20" s="64"/>
      <c r="KWI20" s="64"/>
      <c r="KWJ20" s="64"/>
      <c r="KWK20" s="64"/>
      <c r="KWL20" s="64"/>
      <c r="KWM20" s="64"/>
      <c r="KWN20" s="64"/>
      <c r="KWO20" s="64"/>
      <c r="KWP20" s="64"/>
      <c r="KWQ20" s="64"/>
      <c r="KWR20" s="64"/>
      <c r="KWS20" s="64"/>
      <c r="KWT20" s="64"/>
      <c r="KWU20" s="64"/>
      <c r="KWV20" s="64"/>
      <c r="KWW20" s="64"/>
      <c r="KWX20" s="64"/>
      <c r="KWY20" s="64"/>
      <c r="KWZ20" s="64"/>
      <c r="KXA20" s="64"/>
      <c r="KXB20" s="64"/>
      <c r="KXC20" s="64"/>
      <c r="KXD20" s="64"/>
      <c r="KXE20" s="64"/>
      <c r="KXF20" s="64"/>
      <c r="KXG20" s="64"/>
      <c r="KXH20" s="64"/>
      <c r="KXI20" s="64"/>
      <c r="KXJ20" s="64"/>
      <c r="KXK20" s="64"/>
      <c r="KXL20" s="64"/>
      <c r="KXM20" s="64"/>
      <c r="KXN20" s="64"/>
      <c r="KXO20" s="64"/>
      <c r="KXP20" s="64"/>
      <c r="KXQ20" s="64"/>
      <c r="KXR20" s="64"/>
      <c r="KXS20" s="64"/>
      <c r="KXT20" s="64"/>
      <c r="KXU20" s="64"/>
      <c r="KXV20" s="64"/>
      <c r="KXW20" s="64"/>
      <c r="KXX20" s="64"/>
      <c r="KXY20" s="64"/>
      <c r="KXZ20" s="64"/>
      <c r="KYA20" s="64"/>
      <c r="KYB20" s="64"/>
      <c r="KYC20" s="64"/>
      <c r="KYD20" s="64"/>
      <c r="KYE20" s="64"/>
      <c r="KYF20" s="64"/>
      <c r="KYG20" s="64"/>
      <c r="KYH20" s="64"/>
      <c r="KYI20" s="64"/>
      <c r="KYJ20" s="64"/>
      <c r="KYK20" s="64"/>
      <c r="KYL20" s="64"/>
      <c r="KYM20" s="64"/>
      <c r="KYN20" s="64"/>
      <c r="KYO20" s="64"/>
      <c r="KYP20" s="64"/>
      <c r="KYQ20" s="64"/>
      <c r="KYR20" s="64"/>
      <c r="KYS20" s="64"/>
      <c r="KYT20" s="64"/>
      <c r="KYU20" s="64"/>
      <c r="KYV20" s="64"/>
      <c r="KYW20" s="64"/>
      <c r="KYX20" s="64"/>
      <c r="KYY20" s="64"/>
      <c r="KYZ20" s="64"/>
      <c r="KZA20" s="64"/>
      <c r="KZB20" s="64"/>
      <c r="KZC20" s="64"/>
      <c r="KZD20" s="64"/>
      <c r="KZE20" s="64"/>
      <c r="KZF20" s="64"/>
      <c r="KZG20" s="64"/>
      <c r="KZH20" s="64"/>
      <c r="KZI20" s="64"/>
      <c r="KZJ20" s="64"/>
      <c r="KZK20" s="64"/>
      <c r="KZL20" s="64"/>
      <c r="KZM20" s="64"/>
      <c r="KZN20" s="64"/>
      <c r="KZO20" s="64"/>
      <c r="KZP20" s="64"/>
      <c r="KZQ20" s="64"/>
      <c r="KZR20" s="64"/>
      <c r="KZS20" s="64"/>
      <c r="KZT20" s="64"/>
      <c r="KZU20" s="64"/>
      <c r="KZV20" s="64"/>
      <c r="KZW20" s="64"/>
      <c r="KZX20" s="64"/>
      <c r="KZY20" s="64"/>
      <c r="KZZ20" s="64"/>
      <c r="LAA20" s="64"/>
      <c r="LAB20" s="64"/>
      <c r="LAC20" s="64"/>
      <c r="LAD20" s="64"/>
      <c r="LAE20" s="64"/>
      <c r="LAF20" s="64"/>
      <c r="LAG20" s="64"/>
      <c r="LAH20" s="64"/>
      <c r="LAI20" s="64"/>
      <c r="LAJ20" s="64"/>
      <c r="LAK20" s="64"/>
      <c r="LAL20" s="64"/>
      <c r="LAM20" s="64"/>
      <c r="LAN20" s="64"/>
      <c r="LAO20" s="64"/>
      <c r="LAP20" s="64"/>
      <c r="LAQ20" s="64"/>
      <c r="LAR20" s="64"/>
      <c r="LAS20" s="64"/>
      <c r="LAT20" s="64"/>
      <c r="LAU20" s="64"/>
      <c r="LAV20" s="64"/>
      <c r="LAW20" s="64"/>
      <c r="LAX20" s="64"/>
      <c r="LAY20" s="64"/>
      <c r="LAZ20" s="64"/>
      <c r="LBA20" s="64"/>
      <c r="LBB20" s="64"/>
      <c r="LBC20" s="64"/>
      <c r="LBD20" s="64"/>
      <c r="LBE20" s="64"/>
      <c r="LBF20" s="64"/>
      <c r="LBG20" s="64"/>
      <c r="LBH20" s="64"/>
      <c r="LBI20" s="64"/>
      <c r="LBJ20" s="64"/>
      <c r="LBK20" s="64"/>
      <c r="LBL20" s="64"/>
      <c r="LBM20" s="64"/>
      <c r="LBN20" s="64"/>
      <c r="LBO20" s="64"/>
      <c r="LBP20" s="64"/>
      <c r="LBQ20" s="64"/>
      <c r="LBR20" s="64"/>
      <c r="LBS20" s="64"/>
      <c r="LBT20" s="64"/>
      <c r="LBU20" s="64"/>
      <c r="LBV20" s="64"/>
      <c r="LBW20" s="64"/>
      <c r="LBX20" s="64"/>
      <c r="LBY20" s="64"/>
      <c r="LBZ20" s="64"/>
      <c r="LCA20" s="64"/>
      <c r="LCB20" s="64"/>
      <c r="LCC20" s="64"/>
      <c r="LCD20" s="64"/>
      <c r="LCE20" s="64"/>
      <c r="LCF20" s="64"/>
      <c r="LCG20" s="64"/>
      <c r="LCH20" s="64"/>
      <c r="LCI20" s="64"/>
      <c r="LCJ20" s="64"/>
      <c r="LCK20" s="64"/>
      <c r="LCL20" s="64"/>
      <c r="LCM20" s="64"/>
      <c r="LCN20" s="64"/>
      <c r="LCO20" s="64"/>
      <c r="LCP20" s="64"/>
      <c r="LCQ20" s="64"/>
      <c r="LCR20" s="64"/>
      <c r="LCS20" s="64"/>
      <c r="LCT20" s="64"/>
      <c r="LCU20" s="64"/>
      <c r="LCV20" s="64"/>
      <c r="LCW20" s="64"/>
      <c r="LCX20" s="64"/>
      <c r="LCY20" s="64"/>
      <c r="LCZ20" s="64"/>
      <c r="LDA20" s="64"/>
      <c r="LDB20" s="64"/>
      <c r="LDC20" s="64"/>
      <c r="LDD20" s="64"/>
      <c r="LDE20" s="64"/>
      <c r="LDF20" s="64"/>
      <c r="LDG20" s="64"/>
      <c r="LDH20" s="64"/>
      <c r="LDI20" s="64"/>
      <c r="LDJ20" s="64"/>
      <c r="LDK20" s="64"/>
      <c r="LDL20" s="64"/>
      <c r="LDM20" s="64"/>
      <c r="LDN20" s="64"/>
      <c r="LDO20" s="64"/>
      <c r="LDP20" s="64"/>
      <c r="LDQ20" s="64"/>
      <c r="LDR20" s="64"/>
      <c r="LDS20" s="64"/>
      <c r="LDT20" s="64"/>
      <c r="LDU20" s="64"/>
      <c r="LDV20" s="64"/>
      <c r="LDW20" s="64"/>
      <c r="LDX20" s="64"/>
      <c r="LDY20" s="64"/>
      <c r="LDZ20" s="64"/>
      <c r="LEA20" s="64"/>
      <c r="LEB20" s="64"/>
      <c r="LEC20" s="64"/>
      <c r="LED20" s="64"/>
      <c r="LEE20" s="64"/>
      <c r="LEF20" s="64"/>
      <c r="LEG20" s="64"/>
      <c r="LEH20" s="64"/>
      <c r="LEI20" s="64"/>
      <c r="LEJ20" s="64"/>
      <c r="LEK20" s="64"/>
      <c r="LEL20" s="64"/>
      <c r="LEM20" s="64"/>
      <c r="LEN20" s="64"/>
      <c r="LEO20" s="64"/>
      <c r="LEP20" s="64"/>
      <c r="LEQ20" s="64"/>
      <c r="LER20" s="64"/>
      <c r="LES20" s="64"/>
      <c r="LET20" s="64"/>
      <c r="LEU20" s="64"/>
      <c r="LEV20" s="64"/>
      <c r="LEW20" s="64"/>
      <c r="LEX20" s="64"/>
      <c r="LEY20" s="64"/>
      <c r="LEZ20" s="64"/>
      <c r="LFA20" s="64"/>
      <c r="LFB20" s="64"/>
      <c r="LFC20" s="64"/>
      <c r="LFD20" s="64"/>
      <c r="LFE20" s="64"/>
      <c r="LFF20" s="64"/>
      <c r="LFG20" s="64"/>
      <c r="LFH20" s="64"/>
      <c r="LFI20" s="64"/>
      <c r="LFJ20" s="64"/>
      <c r="LFK20" s="64"/>
      <c r="LFL20" s="64"/>
      <c r="LFM20" s="64"/>
      <c r="LFN20" s="64"/>
      <c r="LFO20" s="64"/>
      <c r="LFP20" s="64"/>
      <c r="LFQ20" s="64"/>
      <c r="LFR20" s="64"/>
      <c r="LFS20" s="64"/>
      <c r="LFT20" s="64"/>
      <c r="LFU20" s="64"/>
      <c r="LFV20" s="64"/>
      <c r="LFW20" s="64"/>
      <c r="LFX20" s="64"/>
      <c r="LFY20" s="64"/>
      <c r="LFZ20" s="64"/>
      <c r="LGA20" s="64"/>
      <c r="LGB20" s="64"/>
      <c r="LGC20" s="64"/>
      <c r="LGD20" s="64"/>
      <c r="LGE20" s="64"/>
      <c r="LGF20" s="64"/>
      <c r="LGG20" s="64"/>
      <c r="LGH20" s="64"/>
      <c r="LGI20" s="64"/>
      <c r="LGJ20" s="64"/>
      <c r="LGK20" s="64"/>
      <c r="LGL20" s="64"/>
      <c r="LGM20" s="64"/>
      <c r="LGN20" s="64"/>
      <c r="LGO20" s="64"/>
      <c r="LGP20" s="64"/>
      <c r="LGQ20" s="64"/>
      <c r="LGR20" s="64"/>
      <c r="LGS20" s="64"/>
      <c r="LGT20" s="64"/>
      <c r="LGU20" s="64"/>
      <c r="LGV20" s="64"/>
      <c r="LGW20" s="64"/>
      <c r="LGX20" s="64"/>
      <c r="LGY20" s="64"/>
      <c r="LGZ20" s="64"/>
      <c r="LHA20" s="64"/>
      <c r="LHB20" s="64"/>
      <c r="LHC20" s="64"/>
      <c r="LHD20" s="64"/>
      <c r="LHE20" s="64"/>
      <c r="LHF20" s="64"/>
      <c r="LHG20" s="64"/>
      <c r="LHH20" s="64"/>
      <c r="LHI20" s="64"/>
      <c r="LHJ20" s="64"/>
      <c r="LHK20" s="64"/>
      <c r="LHL20" s="64"/>
      <c r="LHM20" s="64"/>
      <c r="LHN20" s="64"/>
      <c r="LHO20" s="64"/>
      <c r="LHP20" s="64"/>
      <c r="LHQ20" s="64"/>
      <c r="LHR20" s="64"/>
      <c r="LHS20" s="64"/>
      <c r="LHT20" s="64"/>
      <c r="LHU20" s="64"/>
      <c r="LHV20" s="64"/>
      <c r="LHW20" s="64"/>
      <c r="LHX20" s="64"/>
      <c r="LHY20" s="64"/>
      <c r="LHZ20" s="64"/>
      <c r="LIA20" s="64"/>
      <c r="LIB20" s="64"/>
      <c r="LIC20" s="64"/>
      <c r="LID20" s="64"/>
      <c r="LIE20" s="64"/>
      <c r="LIF20" s="64"/>
      <c r="LIG20" s="64"/>
      <c r="LIH20" s="64"/>
      <c r="LII20" s="64"/>
      <c r="LIJ20" s="64"/>
      <c r="LIK20" s="64"/>
      <c r="LIL20" s="64"/>
      <c r="LIM20" s="64"/>
      <c r="LIN20" s="64"/>
      <c r="LIO20" s="64"/>
      <c r="LIP20" s="64"/>
      <c r="LIQ20" s="64"/>
      <c r="LIR20" s="64"/>
      <c r="LIS20" s="64"/>
      <c r="LIT20" s="64"/>
      <c r="LIU20" s="64"/>
      <c r="LIV20" s="64"/>
      <c r="LIW20" s="64"/>
      <c r="LIX20" s="64"/>
      <c r="LIY20" s="64"/>
      <c r="LIZ20" s="64"/>
      <c r="LJA20" s="64"/>
      <c r="LJB20" s="64"/>
      <c r="LJC20" s="64"/>
      <c r="LJD20" s="64"/>
      <c r="LJE20" s="64"/>
      <c r="LJF20" s="64"/>
      <c r="LJG20" s="64"/>
      <c r="LJH20" s="64"/>
      <c r="LJI20" s="64"/>
      <c r="LJJ20" s="64"/>
      <c r="LJK20" s="64"/>
      <c r="LJL20" s="64"/>
      <c r="LJM20" s="64"/>
      <c r="LJN20" s="64"/>
      <c r="LJO20" s="64"/>
      <c r="LJP20" s="64"/>
      <c r="LJQ20" s="64"/>
      <c r="LJR20" s="64"/>
      <c r="LJS20" s="64"/>
      <c r="LJT20" s="64"/>
      <c r="LJU20" s="64"/>
      <c r="LJV20" s="64"/>
      <c r="LJW20" s="64"/>
      <c r="LJX20" s="64"/>
      <c r="LJY20" s="64"/>
      <c r="LJZ20" s="64"/>
      <c r="LKA20" s="64"/>
      <c r="LKB20" s="64"/>
      <c r="LKC20" s="64"/>
      <c r="LKD20" s="64"/>
      <c r="LKE20" s="64"/>
      <c r="LKF20" s="64"/>
      <c r="LKG20" s="64"/>
      <c r="LKH20" s="64"/>
      <c r="LKI20" s="64"/>
      <c r="LKJ20" s="64"/>
      <c r="LKK20" s="64"/>
      <c r="LKL20" s="64"/>
      <c r="LKM20" s="64"/>
      <c r="LKN20" s="64"/>
      <c r="LKO20" s="64"/>
      <c r="LKP20" s="64"/>
      <c r="LKQ20" s="64"/>
      <c r="LKR20" s="64"/>
      <c r="LKS20" s="64"/>
      <c r="LKT20" s="64"/>
      <c r="LKU20" s="64"/>
      <c r="LKV20" s="64"/>
      <c r="LKW20" s="64"/>
      <c r="LKX20" s="64"/>
      <c r="LKY20" s="64"/>
      <c r="LKZ20" s="64"/>
      <c r="LLA20" s="64"/>
      <c r="LLB20" s="64"/>
      <c r="LLC20" s="64"/>
      <c r="LLD20" s="64"/>
      <c r="LLE20" s="64"/>
      <c r="LLF20" s="64"/>
      <c r="LLG20" s="64"/>
      <c r="LLH20" s="64"/>
      <c r="LLI20" s="64"/>
      <c r="LLJ20" s="64"/>
      <c r="LLK20" s="64"/>
      <c r="LLL20" s="64"/>
      <c r="LLM20" s="64"/>
      <c r="LLN20" s="64"/>
      <c r="LLO20" s="64"/>
      <c r="LLP20" s="64"/>
      <c r="LLQ20" s="64"/>
      <c r="LLR20" s="64"/>
      <c r="LLS20" s="64"/>
      <c r="LLT20" s="64"/>
      <c r="LLU20" s="64"/>
      <c r="LLV20" s="64"/>
      <c r="LLW20" s="64"/>
      <c r="LLX20" s="64"/>
      <c r="LLY20" s="64"/>
      <c r="LLZ20" s="64"/>
      <c r="LMA20" s="64"/>
      <c r="LMB20" s="64"/>
      <c r="LMC20" s="64"/>
      <c r="LMD20" s="64"/>
      <c r="LME20" s="64"/>
      <c r="LMF20" s="64"/>
      <c r="LMG20" s="64"/>
      <c r="LMH20" s="64"/>
      <c r="LMI20" s="64"/>
      <c r="LMJ20" s="64"/>
      <c r="LMK20" s="64"/>
      <c r="LML20" s="64"/>
      <c r="LMM20" s="64"/>
      <c r="LMN20" s="64"/>
      <c r="LMO20" s="64"/>
      <c r="LMP20" s="64"/>
      <c r="LMQ20" s="64"/>
      <c r="LMR20" s="64"/>
      <c r="LMS20" s="64"/>
      <c r="LMT20" s="64"/>
      <c r="LMU20" s="64"/>
      <c r="LMV20" s="64"/>
      <c r="LMW20" s="64"/>
      <c r="LMX20" s="64"/>
      <c r="LMY20" s="64"/>
      <c r="LMZ20" s="64"/>
      <c r="LNA20" s="64"/>
      <c r="LNB20" s="64"/>
      <c r="LNC20" s="64"/>
      <c r="LND20" s="64"/>
      <c r="LNE20" s="64"/>
      <c r="LNF20" s="64"/>
      <c r="LNG20" s="64"/>
      <c r="LNH20" s="64"/>
      <c r="LNI20" s="64"/>
      <c r="LNJ20" s="64"/>
      <c r="LNK20" s="64"/>
      <c r="LNL20" s="64"/>
      <c r="LNM20" s="64"/>
      <c r="LNN20" s="64"/>
      <c r="LNO20" s="64"/>
      <c r="LNP20" s="64"/>
      <c r="LNQ20" s="64"/>
      <c r="LNR20" s="64"/>
      <c r="LNS20" s="64"/>
      <c r="LNT20" s="64"/>
      <c r="LNU20" s="64"/>
      <c r="LNV20" s="64"/>
      <c r="LNW20" s="64"/>
      <c r="LNX20" s="64"/>
      <c r="LNY20" s="64"/>
      <c r="LNZ20" s="64"/>
      <c r="LOA20" s="64"/>
      <c r="LOB20" s="64"/>
      <c r="LOC20" s="64"/>
      <c r="LOD20" s="64"/>
      <c r="LOE20" s="64"/>
      <c r="LOF20" s="64"/>
      <c r="LOG20" s="64"/>
      <c r="LOH20" s="64"/>
      <c r="LOI20" s="64"/>
      <c r="LOJ20" s="64"/>
      <c r="LOK20" s="64"/>
      <c r="LOL20" s="64"/>
      <c r="LOM20" s="64"/>
      <c r="LON20" s="64"/>
      <c r="LOO20" s="64"/>
      <c r="LOP20" s="64"/>
      <c r="LOQ20" s="64"/>
      <c r="LOR20" s="64"/>
      <c r="LOS20" s="64"/>
      <c r="LOT20" s="64"/>
      <c r="LOU20" s="64"/>
      <c r="LOV20" s="64"/>
      <c r="LOW20" s="64"/>
      <c r="LOX20" s="64"/>
      <c r="LOY20" s="64"/>
      <c r="LOZ20" s="64"/>
      <c r="LPA20" s="64"/>
      <c r="LPB20" s="64"/>
      <c r="LPC20" s="64"/>
      <c r="LPD20" s="64"/>
      <c r="LPE20" s="64"/>
      <c r="LPF20" s="64"/>
      <c r="LPG20" s="64"/>
      <c r="LPH20" s="64"/>
      <c r="LPI20" s="64"/>
      <c r="LPJ20" s="64"/>
      <c r="LPK20" s="64"/>
      <c r="LPL20" s="64"/>
      <c r="LPM20" s="64"/>
      <c r="LPN20" s="64"/>
      <c r="LPO20" s="64"/>
      <c r="LPP20" s="64"/>
      <c r="LPQ20" s="64"/>
      <c r="LPR20" s="64"/>
      <c r="LPS20" s="64"/>
      <c r="LPT20" s="64"/>
      <c r="LPU20" s="64"/>
      <c r="LPV20" s="64"/>
      <c r="LPW20" s="64"/>
      <c r="LPX20" s="64"/>
      <c r="LPY20" s="64"/>
      <c r="LPZ20" s="64"/>
      <c r="LQA20" s="64"/>
      <c r="LQB20" s="64"/>
      <c r="LQC20" s="64"/>
      <c r="LQD20" s="64"/>
      <c r="LQE20" s="64"/>
      <c r="LQF20" s="64"/>
      <c r="LQG20" s="64"/>
      <c r="LQH20" s="64"/>
      <c r="LQI20" s="64"/>
      <c r="LQJ20" s="64"/>
      <c r="LQK20" s="64"/>
      <c r="LQL20" s="64"/>
      <c r="LQM20" s="64"/>
      <c r="LQN20" s="64"/>
      <c r="LQO20" s="64"/>
      <c r="LQP20" s="64"/>
      <c r="LQQ20" s="64"/>
      <c r="LQR20" s="64"/>
      <c r="LQS20" s="64"/>
      <c r="LQT20" s="64"/>
      <c r="LQU20" s="64"/>
      <c r="LQV20" s="64"/>
      <c r="LQW20" s="64"/>
      <c r="LQX20" s="64"/>
      <c r="LQY20" s="64"/>
      <c r="LQZ20" s="64"/>
      <c r="LRA20" s="64"/>
      <c r="LRB20" s="64"/>
      <c r="LRC20" s="64"/>
      <c r="LRD20" s="64"/>
      <c r="LRE20" s="64"/>
      <c r="LRF20" s="64"/>
      <c r="LRG20" s="64"/>
      <c r="LRH20" s="64"/>
      <c r="LRI20" s="64"/>
      <c r="LRJ20" s="64"/>
      <c r="LRK20" s="64"/>
      <c r="LRL20" s="64"/>
      <c r="LRM20" s="64"/>
      <c r="LRN20" s="64"/>
      <c r="LRO20" s="64"/>
      <c r="LRP20" s="64"/>
      <c r="LRQ20" s="64"/>
      <c r="LRR20" s="64"/>
      <c r="LRS20" s="64"/>
      <c r="LRT20" s="64"/>
      <c r="LRU20" s="64"/>
      <c r="LRV20" s="64"/>
      <c r="LRW20" s="64"/>
      <c r="LRX20" s="64"/>
      <c r="LRY20" s="64"/>
      <c r="LRZ20" s="64"/>
      <c r="LSA20" s="64"/>
      <c r="LSB20" s="64"/>
      <c r="LSC20" s="64"/>
      <c r="LSD20" s="64"/>
      <c r="LSE20" s="64"/>
      <c r="LSF20" s="64"/>
      <c r="LSG20" s="64"/>
      <c r="LSH20" s="64"/>
      <c r="LSI20" s="64"/>
      <c r="LSJ20" s="64"/>
      <c r="LSK20" s="64"/>
      <c r="LSL20" s="64"/>
      <c r="LSM20" s="64"/>
      <c r="LSN20" s="64"/>
      <c r="LSO20" s="64"/>
      <c r="LSP20" s="64"/>
      <c r="LSQ20" s="64"/>
      <c r="LSR20" s="64"/>
      <c r="LSS20" s="64"/>
      <c r="LST20" s="64"/>
      <c r="LSU20" s="64"/>
      <c r="LSV20" s="64"/>
      <c r="LSW20" s="64"/>
      <c r="LSX20" s="64"/>
      <c r="LSY20" s="64"/>
      <c r="LSZ20" s="64"/>
      <c r="LTA20" s="64"/>
      <c r="LTB20" s="64"/>
      <c r="LTC20" s="64"/>
      <c r="LTD20" s="64"/>
      <c r="LTE20" s="64"/>
      <c r="LTF20" s="64"/>
      <c r="LTG20" s="64"/>
      <c r="LTH20" s="64"/>
      <c r="LTI20" s="64"/>
      <c r="LTJ20" s="64"/>
      <c r="LTK20" s="64"/>
      <c r="LTL20" s="64"/>
      <c r="LTM20" s="64"/>
      <c r="LTN20" s="64"/>
      <c r="LTO20" s="64"/>
      <c r="LTP20" s="64"/>
      <c r="LTQ20" s="64"/>
      <c r="LTR20" s="64"/>
      <c r="LTS20" s="64"/>
      <c r="LTT20" s="64"/>
      <c r="LTU20" s="64"/>
      <c r="LTV20" s="64"/>
      <c r="LTW20" s="64"/>
      <c r="LTX20" s="64"/>
      <c r="LTY20" s="64"/>
      <c r="LTZ20" s="64"/>
      <c r="LUA20" s="64"/>
      <c r="LUB20" s="64"/>
      <c r="LUC20" s="64"/>
      <c r="LUD20" s="64"/>
      <c r="LUE20" s="64"/>
      <c r="LUF20" s="64"/>
      <c r="LUG20" s="64"/>
      <c r="LUH20" s="64"/>
      <c r="LUI20" s="64"/>
      <c r="LUJ20" s="64"/>
      <c r="LUK20" s="64"/>
      <c r="LUL20" s="64"/>
      <c r="LUM20" s="64"/>
      <c r="LUN20" s="64"/>
      <c r="LUO20" s="64"/>
      <c r="LUP20" s="64"/>
      <c r="LUQ20" s="64"/>
      <c r="LUR20" s="64"/>
      <c r="LUS20" s="64"/>
      <c r="LUT20" s="64"/>
      <c r="LUU20" s="64"/>
      <c r="LUV20" s="64"/>
      <c r="LUW20" s="64"/>
      <c r="LUX20" s="64"/>
      <c r="LUY20" s="64"/>
      <c r="LUZ20" s="64"/>
      <c r="LVA20" s="64"/>
      <c r="LVB20" s="64"/>
      <c r="LVC20" s="64"/>
      <c r="LVD20" s="64"/>
      <c r="LVE20" s="64"/>
      <c r="LVF20" s="64"/>
      <c r="LVG20" s="64"/>
      <c r="LVH20" s="64"/>
      <c r="LVI20" s="64"/>
      <c r="LVJ20" s="64"/>
      <c r="LVK20" s="64"/>
      <c r="LVL20" s="64"/>
      <c r="LVM20" s="64"/>
      <c r="LVN20" s="64"/>
      <c r="LVO20" s="64"/>
      <c r="LVP20" s="64"/>
      <c r="LVQ20" s="64"/>
      <c r="LVR20" s="64"/>
      <c r="LVS20" s="64"/>
      <c r="LVT20" s="64"/>
      <c r="LVU20" s="64"/>
      <c r="LVV20" s="64"/>
      <c r="LVW20" s="64"/>
      <c r="LVX20" s="64"/>
      <c r="LVY20" s="64"/>
      <c r="LVZ20" s="64"/>
      <c r="LWA20" s="64"/>
      <c r="LWB20" s="64"/>
      <c r="LWC20" s="64"/>
      <c r="LWD20" s="64"/>
      <c r="LWE20" s="64"/>
      <c r="LWF20" s="64"/>
      <c r="LWG20" s="64"/>
      <c r="LWH20" s="64"/>
      <c r="LWI20" s="64"/>
      <c r="LWJ20" s="64"/>
      <c r="LWK20" s="64"/>
      <c r="LWL20" s="64"/>
      <c r="LWM20" s="64"/>
      <c r="LWN20" s="64"/>
      <c r="LWO20" s="64"/>
      <c r="LWP20" s="64"/>
      <c r="LWQ20" s="64"/>
      <c r="LWR20" s="64"/>
      <c r="LWS20" s="64"/>
      <c r="LWT20" s="64"/>
      <c r="LWU20" s="64"/>
      <c r="LWV20" s="64"/>
      <c r="LWW20" s="64"/>
      <c r="LWX20" s="64"/>
      <c r="LWY20" s="64"/>
      <c r="LWZ20" s="64"/>
      <c r="LXA20" s="64"/>
      <c r="LXB20" s="64"/>
      <c r="LXC20" s="64"/>
      <c r="LXD20" s="64"/>
      <c r="LXE20" s="64"/>
      <c r="LXF20" s="64"/>
      <c r="LXG20" s="64"/>
      <c r="LXH20" s="64"/>
      <c r="LXI20" s="64"/>
      <c r="LXJ20" s="64"/>
      <c r="LXK20" s="64"/>
      <c r="LXL20" s="64"/>
      <c r="LXM20" s="64"/>
      <c r="LXN20" s="64"/>
      <c r="LXO20" s="64"/>
      <c r="LXP20" s="64"/>
      <c r="LXQ20" s="64"/>
      <c r="LXR20" s="64"/>
      <c r="LXS20" s="64"/>
      <c r="LXT20" s="64"/>
      <c r="LXU20" s="64"/>
      <c r="LXV20" s="64"/>
      <c r="LXW20" s="64"/>
      <c r="LXX20" s="64"/>
      <c r="LXY20" s="64"/>
      <c r="LXZ20" s="64"/>
      <c r="LYA20" s="64"/>
      <c r="LYB20" s="64"/>
      <c r="LYC20" s="64"/>
      <c r="LYD20" s="64"/>
      <c r="LYE20" s="64"/>
      <c r="LYF20" s="64"/>
      <c r="LYG20" s="64"/>
      <c r="LYH20" s="64"/>
      <c r="LYI20" s="64"/>
      <c r="LYJ20" s="64"/>
      <c r="LYK20" s="64"/>
      <c r="LYL20" s="64"/>
      <c r="LYM20" s="64"/>
      <c r="LYN20" s="64"/>
      <c r="LYO20" s="64"/>
      <c r="LYP20" s="64"/>
      <c r="LYQ20" s="64"/>
      <c r="LYR20" s="64"/>
      <c r="LYS20" s="64"/>
      <c r="LYT20" s="64"/>
      <c r="LYU20" s="64"/>
      <c r="LYV20" s="64"/>
      <c r="LYW20" s="64"/>
      <c r="LYX20" s="64"/>
      <c r="LYY20" s="64"/>
      <c r="LYZ20" s="64"/>
      <c r="LZA20" s="64"/>
      <c r="LZB20" s="64"/>
      <c r="LZC20" s="64"/>
      <c r="LZD20" s="64"/>
      <c r="LZE20" s="64"/>
      <c r="LZF20" s="64"/>
      <c r="LZG20" s="64"/>
      <c r="LZH20" s="64"/>
      <c r="LZI20" s="64"/>
      <c r="LZJ20" s="64"/>
      <c r="LZK20" s="64"/>
      <c r="LZL20" s="64"/>
      <c r="LZM20" s="64"/>
      <c r="LZN20" s="64"/>
      <c r="LZO20" s="64"/>
      <c r="LZP20" s="64"/>
      <c r="LZQ20" s="64"/>
      <c r="LZR20" s="64"/>
      <c r="LZS20" s="64"/>
      <c r="LZT20" s="64"/>
      <c r="LZU20" s="64"/>
      <c r="LZV20" s="64"/>
      <c r="LZW20" s="64"/>
      <c r="LZX20" s="64"/>
      <c r="LZY20" s="64"/>
      <c r="LZZ20" s="64"/>
      <c r="MAA20" s="64"/>
      <c r="MAB20" s="64"/>
      <c r="MAC20" s="64"/>
      <c r="MAD20" s="64"/>
      <c r="MAE20" s="64"/>
      <c r="MAF20" s="64"/>
      <c r="MAG20" s="64"/>
      <c r="MAH20" s="64"/>
      <c r="MAI20" s="64"/>
      <c r="MAJ20" s="64"/>
      <c r="MAK20" s="64"/>
      <c r="MAL20" s="64"/>
      <c r="MAM20" s="64"/>
      <c r="MAN20" s="64"/>
      <c r="MAO20" s="64"/>
      <c r="MAP20" s="64"/>
      <c r="MAQ20" s="64"/>
      <c r="MAR20" s="64"/>
      <c r="MAS20" s="64"/>
      <c r="MAT20" s="64"/>
      <c r="MAU20" s="64"/>
      <c r="MAV20" s="64"/>
      <c r="MAW20" s="64"/>
      <c r="MAX20" s="64"/>
      <c r="MAY20" s="64"/>
      <c r="MAZ20" s="64"/>
      <c r="MBA20" s="64"/>
      <c r="MBB20" s="64"/>
      <c r="MBC20" s="64"/>
      <c r="MBD20" s="64"/>
      <c r="MBE20" s="64"/>
      <c r="MBF20" s="64"/>
      <c r="MBG20" s="64"/>
      <c r="MBH20" s="64"/>
      <c r="MBI20" s="64"/>
      <c r="MBJ20" s="64"/>
      <c r="MBK20" s="64"/>
      <c r="MBL20" s="64"/>
      <c r="MBM20" s="64"/>
      <c r="MBN20" s="64"/>
      <c r="MBO20" s="64"/>
      <c r="MBP20" s="64"/>
      <c r="MBQ20" s="64"/>
      <c r="MBR20" s="64"/>
      <c r="MBS20" s="64"/>
      <c r="MBT20" s="64"/>
      <c r="MBU20" s="64"/>
      <c r="MBV20" s="64"/>
      <c r="MBW20" s="64"/>
      <c r="MBX20" s="64"/>
      <c r="MBY20" s="64"/>
      <c r="MBZ20" s="64"/>
      <c r="MCA20" s="64"/>
      <c r="MCB20" s="64"/>
      <c r="MCC20" s="64"/>
      <c r="MCD20" s="64"/>
      <c r="MCE20" s="64"/>
      <c r="MCF20" s="64"/>
      <c r="MCG20" s="64"/>
      <c r="MCH20" s="64"/>
      <c r="MCI20" s="64"/>
      <c r="MCJ20" s="64"/>
      <c r="MCK20" s="64"/>
      <c r="MCL20" s="64"/>
      <c r="MCM20" s="64"/>
      <c r="MCN20" s="64"/>
      <c r="MCO20" s="64"/>
      <c r="MCP20" s="64"/>
      <c r="MCQ20" s="64"/>
      <c r="MCR20" s="64"/>
      <c r="MCS20" s="64"/>
      <c r="MCT20" s="64"/>
      <c r="MCU20" s="64"/>
      <c r="MCV20" s="64"/>
      <c r="MCW20" s="64"/>
      <c r="MCX20" s="64"/>
      <c r="MCY20" s="64"/>
      <c r="MCZ20" s="64"/>
      <c r="MDA20" s="64"/>
      <c r="MDB20" s="64"/>
      <c r="MDC20" s="64"/>
      <c r="MDD20" s="64"/>
      <c r="MDE20" s="64"/>
      <c r="MDF20" s="64"/>
      <c r="MDG20" s="64"/>
      <c r="MDH20" s="64"/>
      <c r="MDI20" s="64"/>
      <c r="MDJ20" s="64"/>
      <c r="MDK20" s="64"/>
      <c r="MDL20" s="64"/>
      <c r="MDM20" s="64"/>
      <c r="MDN20" s="64"/>
      <c r="MDO20" s="64"/>
      <c r="MDP20" s="64"/>
      <c r="MDQ20" s="64"/>
      <c r="MDR20" s="64"/>
      <c r="MDS20" s="64"/>
      <c r="MDT20" s="64"/>
      <c r="MDU20" s="64"/>
      <c r="MDV20" s="64"/>
      <c r="MDW20" s="64"/>
      <c r="MDX20" s="64"/>
      <c r="MDY20" s="64"/>
      <c r="MDZ20" s="64"/>
      <c r="MEA20" s="64"/>
      <c r="MEB20" s="64"/>
      <c r="MEC20" s="64"/>
      <c r="MED20" s="64"/>
      <c r="MEE20" s="64"/>
      <c r="MEF20" s="64"/>
      <c r="MEG20" s="64"/>
      <c r="MEH20" s="64"/>
      <c r="MEI20" s="64"/>
      <c r="MEJ20" s="64"/>
      <c r="MEK20" s="64"/>
      <c r="MEL20" s="64"/>
      <c r="MEM20" s="64"/>
      <c r="MEN20" s="64"/>
      <c r="MEO20" s="64"/>
      <c r="MEP20" s="64"/>
      <c r="MEQ20" s="64"/>
      <c r="MER20" s="64"/>
      <c r="MES20" s="64"/>
      <c r="MET20" s="64"/>
      <c r="MEU20" s="64"/>
      <c r="MEV20" s="64"/>
      <c r="MEW20" s="64"/>
      <c r="MEX20" s="64"/>
      <c r="MEY20" s="64"/>
      <c r="MEZ20" s="64"/>
      <c r="MFA20" s="64"/>
      <c r="MFB20" s="64"/>
      <c r="MFC20" s="64"/>
      <c r="MFD20" s="64"/>
      <c r="MFE20" s="64"/>
      <c r="MFF20" s="64"/>
      <c r="MFG20" s="64"/>
      <c r="MFH20" s="64"/>
      <c r="MFI20" s="64"/>
      <c r="MFJ20" s="64"/>
      <c r="MFK20" s="64"/>
      <c r="MFL20" s="64"/>
      <c r="MFM20" s="64"/>
      <c r="MFN20" s="64"/>
      <c r="MFO20" s="64"/>
      <c r="MFP20" s="64"/>
      <c r="MFQ20" s="64"/>
      <c r="MFR20" s="64"/>
      <c r="MFS20" s="64"/>
      <c r="MFT20" s="64"/>
      <c r="MFU20" s="64"/>
      <c r="MFV20" s="64"/>
      <c r="MFW20" s="64"/>
      <c r="MFX20" s="64"/>
      <c r="MFY20" s="64"/>
      <c r="MFZ20" s="64"/>
      <c r="MGA20" s="64"/>
      <c r="MGB20" s="64"/>
      <c r="MGC20" s="64"/>
      <c r="MGD20" s="64"/>
      <c r="MGE20" s="64"/>
      <c r="MGF20" s="64"/>
      <c r="MGG20" s="64"/>
      <c r="MGH20" s="64"/>
      <c r="MGI20" s="64"/>
      <c r="MGJ20" s="64"/>
      <c r="MGK20" s="64"/>
      <c r="MGL20" s="64"/>
      <c r="MGM20" s="64"/>
      <c r="MGN20" s="64"/>
      <c r="MGO20" s="64"/>
      <c r="MGP20" s="64"/>
      <c r="MGQ20" s="64"/>
      <c r="MGR20" s="64"/>
      <c r="MGS20" s="64"/>
      <c r="MGT20" s="64"/>
      <c r="MGU20" s="64"/>
      <c r="MGV20" s="64"/>
      <c r="MGW20" s="64"/>
      <c r="MGX20" s="64"/>
      <c r="MGY20" s="64"/>
      <c r="MGZ20" s="64"/>
      <c r="MHA20" s="64"/>
      <c r="MHB20" s="64"/>
      <c r="MHC20" s="64"/>
      <c r="MHD20" s="64"/>
      <c r="MHE20" s="64"/>
      <c r="MHF20" s="64"/>
      <c r="MHG20" s="64"/>
      <c r="MHH20" s="64"/>
      <c r="MHI20" s="64"/>
      <c r="MHJ20" s="64"/>
      <c r="MHK20" s="64"/>
      <c r="MHL20" s="64"/>
      <c r="MHM20" s="64"/>
      <c r="MHN20" s="64"/>
      <c r="MHO20" s="64"/>
      <c r="MHP20" s="64"/>
      <c r="MHQ20" s="64"/>
      <c r="MHR20" s="64"/>
      <c r="MHS20" s="64"/>
      <c r="MHT20" s="64"/>
      <c r="MHU20" s="64"/>
      <c r="MHV20" s="64"/>
      <c r="MHW20" s="64"/>
      <c r="MHX20" s="64"/>
      <c r="MHY20" s="64"/>
      <c r="MHZ20" s="64"/>
      <c r="MIA20" s="64"/>
      <c r="MIB20" s="64"/>
      <c r="MIC20" s="64"/>
      <c r="MID20" s="64"/>
      <c r="MIE20" s="64"/>
      <c r="MIF20" s="64"/>
      <c r="MIG20" s="64"/>
      <c r="MIH20" s="64"/>
      <c r="MII20" s="64"/>
      <c r="MIJ20" s="64"/>
      <c r="MIK20" s="64"/>
      <c r="MIL20" s="64"/>
      <c r="MIM20" s="64"/>
      <c r="MIN20" s="64"/>
      <c r="MIO20" s="64"/>
      <c r="MIP20" s="64"/>
      <c r="MIQ20" s="64"/>
      <c r="MIR20" s="64"/>
      <c r="MIS20" s="64"/>
      <c r="MIT20" s="64"/>
      <c r="MIU20" s="64"/>
      <c r="MIV20" s="64"/>
      <c r="MIW20" s="64"/>
      <c r="MIX20" s="64"/>
      <c r="MIY20" s="64"/>
      <c r="MIZ20" s="64"/>
      <c r="MJA20" s="64"/>
      <c r="MJB20" s="64"/>
      <c r="MJC20" s="64"/>
      <c r="MJD20" s="64"/>
      <c r="MJE20" s="64"/>
      <c r="MJF20" s="64"/>
      <c r="MJG20" s="64"/>
      <c r="MJH20" s="64"/>
      <c r="MJI20" s="64"/>
      <c r="MJJ20" s="64"/>
      <c r="MJK20" s="64"/>
      <c r="MJL20" s="64"/>
      <c r="MJM20" s="64"/>
      <c r="MJN20" s="64"/>
      <c r="MJO20" s="64"/>
      <c r="MJP20" s="64"/>
      <c r="MJQ20" s="64"/>
      <c r="MJR20" s="64"/>
      <c r="MJS20" s="64"/>
      <c r="MJT20" s="64"/>
      <c r="MJU20" s="64"/>
      <c r="MJV20" s="64"/>
      <c r="MJW20" s="64"/>
      <c r="MJX20" s="64"/>
      <c r="MJY20" s="64"/>
      <c r="MJZ20" s="64"/>
      <c r="MKA20" s="64"/>
      <c r="MKB20" s="64"/>
      <c r="MKC20" s="64"/>
      <c r="MKD20" s="64"/>
      <c r="MKE20" s="64"/>
      <c r="MKF20" s="64"/>
      <c r="MKG20" s="64"/>
      <c r="MKH20" s="64"/>
      <c r="MKI20" s="64"/>
      <c r="MKJ20" s="64"/>
      <c r="MKK20" s="64"/>
      <c r="MKL20" s="64"/>
      <c r="MKM20" s="64"/>
      <c r="MKN20" s="64"/>
      <c r="MKO20" s="64"/>
      <c r="MKP20" s="64"/>
      <c r="MKQ20" s="64"/>
      <c r="MKR20" s="64"/>
      <c r="MKS20" s="64"/>
      <c r="MKT20" s="64"/>
      <c r="MKU20" s="64"/>
      <c r="MKV20" s="64"/>
      <c r="MKW20" s="64"/>
      <c r="MKX20" s="64"/>
      <c r="MKY20" s="64"/>
      <c r="MKZ20" s="64"/>
      <c r="MLA20" s="64"/>
      <c r="MLB20" s="64"/>
      <c r="MLC20" s="64"/>
      <c r="MLD20" s="64"/>
      <c r="MLE20" s="64"/>
      <c r="MLF20" s="64"/>
      <c r="MLG20" s="64"/>
      <c r="MLH20" s="64"/>
      <c r="MLI20" s="64"/>
      <c r="MLJ20" s="64"/>
      <c r="MLK20" s="64"/>
      <c r="MLL20" s="64"/>
      <c r="MLM20" s="64"/>
      <c r="MLN20" s="64"/>
      <c r="MLO20" s="64"/>
      <c r="MLP20" s="64"/>
      <c r="MLQ20" s="64"/>
      <c r="MLR20" s="64"/>
      <c r="MLS20" s="64"/>
      <c r="MLT20" s="64"/>
      <c r="MLU20" s="64"/>
      <c r="MLV20" s="64"/>
      <c r="MLW20" s="64"/>
      <c r="MLX20" s="64"/>
      <c r="MLY20" s="64"/>
      <c r="MLZ20" s="64"/>
      <c r="MMA20" s="64"/>
      <c r="MMB20" s="64"/>
      <c r="MMC20" s="64"/>
      <c r="MMD20" s="64"/>
      <c r="MME20" s="64"/>
      <c r="MMF20" s="64"/>
      <c r="MMG20" s="64"/>
      <c r="MMH20" s="64"/>
      <c r="MMI20" s="64"/>
      <c r="MMJ20" s="64"/>
      <c r="MMK20" s="64"/>
      <c r="MML20" s="64"/>
      <c r="MMM20" s="64"/>
      <c r="MMN20" s="64"/>
      <c r="MMO20" s="64"/>
      <c r="MMP20" s="64"/>
      <c r="MMQ20" s="64"/>
      <c r="MMR20" s="64"/>
      <c r="MMS20" s="64"/>
      <c r="MMT20" s="64"/>
      <c r="MMU20" s="64"/>
      <c r="MMV20" s="64"/>
      <c r="MMW20" s="64"/>
      <c r="MMX20" s="64"/>
      <c r="MMY20" s="64"/>
      <c r="MMZ20" s="64"/>
      <c r="MNA20" s="64"/>
      <c r="MNB20" s="64"/>
      <c r="MNC20" s="64"/>
      <c r="MND20" s="64"/>
      <c r="MNE20" s="64"/>
      <c r="MNF20" s="64"/>
      <c r="MNG20" s="64"/>
      <c r="MNH20" s="64"/>
      <c r="MNI20" s="64"/>
      <c r="MNJ20" s="64"/>
      <c r="MNK20" s="64"/>
      <c r="MNL20" s="64"/>
      <c r="MNM20" s="64"/>
      <c r="MNN20" s="64"/>
      <c r="MNO20" s="64"/>
      <c r="MNP20" s="64"/>
      <c r="MNQ20" s="64"/>
      <c r="MNR20" s="64"/>
      <c r="MNS20" s="64"/>
      <c r="MNT20" s="64"/>
      <c r="MNU20" s="64"/>
      <c r="MNV20" s="64"/>
      <c r="MNW20" s="64"/>
      <c r="MNX20" s="64"/>
      <c r="MNY20" s="64"/>
      <c r="MNZ20" s="64"/>
      <c r="MOA20" s="64"/>
      <c r="MOB20" s="64"/>
      <c r="MOC20" s="64"/>
      <c r="MOD20" s="64"/>
      <c r="MOE20" s="64"/>
      <c r="MOF20" s="64"/>
      <c r="MOG20" s="64"/>
      <c r="MOH20" s="64"/>
      <c r="MOI20" s="64"/>
      <c r="MOJ20" s="64"/>
      <c r="MOK20" s="64"/>
      <c r="MOL20" s="64"/>
      <c r="MOM20" s="64"/>
      <c r="MON20" s="64"/>
      <c r="MOO20" s="64"/>
      <c r="MOP20" s="64"/>
      <c r="MOQ20" s="64"/>
      <c r="MOR20" s="64"/>
      <c r="MOS20" s="64"/>
      <c r="MOT20" s="64"/>
      <c r="MOU20" s="64"/>
      <c r="MOV20" s="64"/>
      <c r="MOW20" s="64"/>
      <c r="MOX20" s="64"/>
      <c r="MOY20" s="64"/>
      <c r="MOZ20" s="64"/>
      <c r="MPA20" s="64"/>
      <c r="MPB20" s="64"/>
      <c r="MPC20" s="64"/>
      <c r="MPD20" s="64"/>
      <c r="MPE20" s="64"/>
      <c r="MPF20" s="64"/>
      <c r="MPG20" s="64"/>
      <c r="MPH20" s="64"/>
      <c r="MPI20" s="64"/>
      <c r="MPJ20" s="64"/>
      <c r="MPK20" s="64"/>
      <c r="MPL20" s="64"/>
      <c r="MPM20" s="64"/>
      <c r="MPN20" s="64"/>
      <c r="MPO20" s="64"/>
      <c r="MPP20" s="64"/>
      <c r="MPQ20" s="64"/>
      <c r="MPR20" s="64"/>
      <c r="MPS20" s="64"/>
      <c r="MPT20" s="64"/>
      <c r="MPU20" s="64"/>
      <c r="MPV20" s="64"/>
      <c r="MPW20" s="64"/>
      <c r="MPX20" s="64"/>
      <c r="MPY20" s="64"/>
      <c r="MPZ20" s="64"/>
      <c r="MQA20" s="64"/>
      <c r="MQB20" s="64"/>
      <c r="MQC20" s="64"/>
      <c r="MQD20" s="64"/>
      <c r="MQE20" s="64"/>
      <c r="MQF20" s="64"/>
      <c r="MQG20" s="64"/>
      <c r="MQH20" s="64"/>
      <c r="MQI20" s="64"/>
      <c r="MQJ20" s="64"/>
      <c r="MQK20" s="64"/>
      <c r="MQL20" s="64"/>
      <c r="MQM20" s="64"/>
      <c r="MQN20" s="64"/>
      <c r="MQO20" s="64"/>
      <c r="MQP20" s="64"/>
      <c r="MQQ20" s="64"/>
      <c r="MQR20" s="64"/>
      <c r="MQS20" s="64"/>
      <c r="MQT20" s="64"/>
      <c r="MQU20" s="64"/>
      <c r="MQV20" s="64"/>
      <c r="MQW20" s="64"/>
      <c r="MQX20" s="64"/>
      <c r="MQY20" s="64"/>
      <c r="MQZ20" s="64"/>
      <c r="MRA20" s="64"/>
      <c r="MRB20" s="64"/>
      <c r="MRC20" s="64"/>
      <c r="MRD20" s="64"/>
      <c r="MRE20" s="64"/>
      <c r="MRF20" s="64"/>
      <c r="MRG20" s="64"/>
      <c r="MRH20" s="64"/>
      <c r="MRI20" s="64"/>
      <c r="MRJ20" s="64"/>
      <c r="MRK20" s="64"/>
      <c r="MRL20" s="64"/>
      <c r="MRM20" s="64"/>
      <c r="MRN20" s="64"/>
      <c r="MRO20" s="64"/>
      <c r="MRP20" s="64"/>
      <c r="MRQ20" s="64"/>
      <c r="MRR20" s="64"/>
      <c r="MRS20" s="64"/>
      <c r="MRT20" s="64"/>
      <c r="MRU20" s="64"/>
      <c r="MRV20" s="64"/>
      <c r="MRW20" s="64"/>
      <c r="MRX20" s="64"/>
      <c r="MRY20" s="64"/>
      <c r="MRZ20" s="64"/>
      <c r="MSA20" s="64"/>
      <c r="MSB20" s="64"/>
      <c r="MSC20" s="64"/>
      <c r="MSD20" s="64"/>
      <c r="MSE20" s="64"/>
      <c r="MSF20" s="64"/>
      <c r="MSG20" s="64"/>
      <c r="MSH20" s="64"/>
      <c r="MSI20" s="64"/>
      <c r="MSJ20" s="64"/>
      <c r="MSK20" s="64"/>
      <c r="MSL20" s="64"/>
      <c r="MSM20" s="64"/>
      <c r="MSN20" s="64"/>
      <c r="MSO20" s="64"/>
      <c r="MSP20" s="64"/>
      <c r="MSQ20" s="64"/>
      <c r="MSR20" s="64"/>
      <c r="MSS20" s="64"/>
      <c r="MST20" s="64"/>
      <c r="MSU20" s="64"/>
      <c r="MSV20" s="64"/>
      <c r="MSW20" s="64"/>
      <c r="MSX20" s="64"/>
      <c r="MSY20" s="64"/>
      <c r="MSZ20" s="64"/>
      <c r="MTA20" s="64"/>
      <c r="MTB20" s="64"/>
      <c r="MTC20" s="64"/>
      <c r="MTD20" s="64"/>
      <c r="MTE20" s="64"/>
      <c r="MTF20" s="64"/>
      <c r="MTG20" s="64"/>
      <c r="MTH20" s="64"/>
      <c r="MTI20" s="64"/>
      <c r="MTJ20" s="64"/>
      <c r="MTK20" s="64"/>
      <c r="MTL20" s="64"/>
      <c r="MTM20" s="64"/>
      <c r="MTN20" s="64"/>
      <c r="MTO20" s="64"/>
      <c r="MTP20" s="64"/>
      <c r="MTQ20" s="64"/>
      <c r="MTR20" s="64"/>
      <c r="MTS20" s="64"/>
      <c r="MTT20" s="64"/>
      <c r="MTU20" s="64"/>
      <c r="MTV20" s="64"/>
      <c r="MTW20" s="64"/>
      <c r="MTX20" s="64"/>
      <c r="MTY20" s="64"/>
      <c r="MTZ20" s="64"/>
      <c r="MUA20" s="64"/>
      <c r="MUB20" s="64"/>
      <c r="MUC20" s="64"/>
      <c r="MUD20" s="64"/>
      <c r="MUE20" s="64"/>
      <c r="MUF20" s="64"/>
      <c r="MUG20" s="64"/>
      <c r="MUH20" s="64"/>
      <c r="MUI20" s="64"/>
      <c r="MUJ20" s="64"/>
      <c r="MUK20" s="64"/>
      <c r="MUL20" s="64"/>
      <c r="MUM20" s="64"/>
      <c r="MUN20" s="64"/>
      <c r="MUO20" s="64"/>
      <c r="MUP20" s="64"/>
      <c r="MUQ20" s="64"/>
      <c r="MUR20" s="64"/>
      <c r="MUS20" s="64"/>
      <c r="MUT20" s="64"/>
      <c r="MUU20" s="64"/>
      <c r="MUV20" s="64"/>
      <c r="MUW20" s="64"/>
      <c r="MUX20" s="64"/>
      <c r="MUY20" s="64"/>
      <c r="MUZ20" s="64"/>
      <c r="MVA20" s="64"/>
      <c r="MVB20" s="64"/>
      <c r="MVC20" s="64"/>
      <c r="MVD20" s="64"/>
      <c r="MVE20" s="64"/>
      <c r="MVF20" s="64"/>
      <c r="MVG20" s="64"/>
      <c r="MVH20" s="64"/>
      <c r="MVI20" s="64"/>
      <c r="MVJ20" s="64"/>
      <c r="MVK20" s="64"/>
      <c r="MVL20" s="64"/>
      <c r="MVM20" s="64"/>
      <c r="MVN20" s="64"/>
      <c r="MVO20" s="64"/>
      <c r="MVP20" s="64"/>
      <c r="MVQ20" s="64"/>
      <c r="MVR20" s="64"/>
      <c r="MVS20" s="64"/>
      <c r="MVT20" s="64"/>
      <c r="MVU20" s="64"/>
      <c r="MVV20" s="64"/>
      <c r="MVW20" s="64"/>
      <c r="MVX20" s="64"/>
      <c r="MVY20" s="64"/>
      <c r="MVZ20" s="64"/>
      <c r="MWA20" s="64"/>
      <c r="MWB20" s="64"/>
      <c r="MWC20" s="64"/>
      <c r="MWD20" s="64"/>
      <c r="MWE20" s="64"/>
      <c r="MWF20" s="64"/>
      <c r="MWG20" s="64"/>
      <c r="MWH20" s="64"/>
      <c r="MWI20" s="64"/>
      <c r="MWJ20" s="64"/>
      <c r="MWK20" s="64"/>
      <c r="MWL20" s="64"/>
      <c r="MWM20" s="64"/>
      <c r="MWN20" s="64"/>
      <c r="MWO20" s="64"/>
      <c r="MWP20" s="64"/>
      <c r="MWQ20" s="64"/>
      <c r="MWR20" s="64"/>
      <c r="MWS20" s="64"/>
      <c r="MWT20" s="64"/>
      <c r="MWU20" s="64"/>
      <c r="MWV20" s="64"/>
      <c r="MWW20" s="64"/>
      <c r="MWX20" s="64"/>
      <c r="MWY20" s="64"/>
      <c r="MWZ20" s="64"/>
      <c r="MXA20" s="64"/>
      <c r="MXB20" s="64"/>
      <c r="MXC20" s="64"/>
      <c r="MXD20" s="64"/>
      <c r="MXE20" s="64"/>
      <c r="MXF20" s="64"/>
      <c r="MXG20" s="64"/>
      <c r="MXH20" s="64"/>
      <c r="MXI20" s="64"/>
      <c r="MXJ20" s="64"/>
      <c r="MXK20" s="64"/>
      <c r="MXL20" s="64"/>
      <c r="MXM20" s="64"/>
      <c r="MXN20" s="64"/>
      <c r="MXO20" s="64"/>
      <c r="MXP20" s="64"/>
      <c r="MXQ20" s="64"/>
      <c r="MXR20" s="64"/>
      <c r="MXS20" s="64"/>
      <c r="MXT20" s="64"/>
      <c r="MXU20" s="64"/>
      <c r="MXV20" s="64"/>
      <c r="MXW20" s="64"/>
      <c r="MXX20" s="64"/>
      <c r="MXY20" s="64"/>
      <c r="MXZ20" s="64"/>
      <c r="MYA20" s="64"/>
      <c r="MYB20" s="64"/>
      <c r="MYC20" s="64"/>
      <c r="MYD20" s="64"/>
      <c r="MYE20" s="64"/>
      <c r="MYF20" s="64"/>
      <c r="MYG20" s="64"/>
      <c r="MYH20" s="64"/>
      <c r="MYI20" s="64"/>
      <c r="MYJ20" s="64"/>
      <c r="MYK20" s="64"/>
      <c r="MYL20" s="64"/>
      <c r="MYM20" s="64"/>
      <c r="MYN20" s="64"/>
      <c r="MYO20" s="64"/>
      <c r="MYP20" s="64"/>
      <c r="MYQ20" s="64"/>
      <c r="MYR20" s="64"/>
      <c r="MYS20" s="64"/>
      <c r="MYT20" s="64"/>
      <c r="MYU20" s="64"/>
      <c r="MYV20" s="64"/>
      <c r="MYW20" s="64"/>
      <c r="MYX20" s="64"/>
      <c r="MYY20" s="64"/>
      <c r="MYZ20" s="64"/>
      <c r="MZA20" s="64"/>
      <c r="MZB20" s="64"/>
      <c r="MZC20" s="64"/>
      <c r="MZD20" s="64"/>
      <c r="MZE20" s="64"/>
      <c r="MZF20" s="64"/>
      <c r="MZG20" s="64"/>
      <c r="MZH20" s="64"/>
      <c r="MZI20" s="64"/>
      <c r="MZJ20" s="64"/>
      <c r="MZK20" s="64"/>
      <c r="MZL20" s="64"/>
      <c r="MZM20" s="64"/>
      <c r="MZN20" s="64"/>
      <c r="MZO20" s="64"/>
      <c r="MZP20" s="64"/>
      <c r="MZQ20" s="64"/>
      <c r="MZR20" s="64"/>
      <c r="MZS20" s="64"/>
      <c r="MZT20" s="64"/>
      <c r="MZU20" s="64"/>
      <c r="MZV20" s="64"/>
      <c r="MZW20" s="64"/>
      <c r="MZX20" s="64"/>
      <c r="MZY20" s="64"/>
      <c r="MZZ20" s="64"/>
      <c r="NAA20" s="64"/>
      <c r="NAB20" s="64"/>
      <c r="NAC20" s="64"/>
      <c r="NAD20" s="64"/>
      <c r="NAE20" s="64"/>
      <c r="NAF20" s="64"/>
      <c r="NAG20" s="64"/>
      <c r="NAH20" s="64"/>
      <c r="NAI20" s="64"/>
      <c r="NAJ20" s="64"/>
      <c r="NAK20" s="64"/>
      <c r="NAL20" s="64"/>
      <c r="NAM20" s="64"/>
      <c r="NAN20" s="64"/>
      <c r="NAO20" s="64"/>
      <c r="NAP20" s="64"/>
      <c r="NAQ20" s="64"/>
      <c r="NAR20" s="64"/>
      <c r="NAS20" s="64"/>
      <c r="NAT20" s="64"/>
      <c r="NAU20" s="64"/>
      <c r="NAV20" s="64"/>
      <c r="NAW20" s="64"/>
      <c r="NAX20" s="64"/>
      <c r="NAY20" s="64"/>
      <c r="NAZ20" s="64"/>
      <c r="NBA20" s="64"/>
      <c r="NBB20" s="64"/>
      <c r="NBC20" s="64"/>
      <c r="NBD20" s="64"/>
      <c r="NBE20" s="64"/>
      <c r="NBF20" s="64"/>
      <c r="NBG20" s="64"/>
      <c r="NBH20" s="64"/>
      <c r="NBI20" s="64"/>
      <c r="NBJ20" s="64"/>
      <c r="NBK20" s="64"/>
      <c r="NBL20" s="64"/>
      <c r="NBM20" s="64"/>
      <c r="NBN20" s="64"/>
      <c r="NBO20" s="64"/>
      <c r="NBP20" s="64"/>
      <c r="NBQ20" s="64"/>
      <c r="NBR20" s="64"/>
      <c r="NBS20" s="64"/>
      <c r="NBT20" s="64"/>
      <c r="NBU20" s="64"/>
      <c r="NBV20" s="64"/>
      <c r="NBW20" s="64"/>
      <c r="NBX20" s="64"/>
      <c r="NBY20" s="64"/>
      <c r="NBZ20" s="64"/>
      <c r="NCA20" s="64"/>
      <c r="NCB20" s="64"/>
      <c r="NCC20" s="64"/>
      <c r="NCD20" s="64"/>
      <c r="NCE20" s="64"/>
      <c r="NCF20" s="64"/>
      <c r="NCG20" s="64"/>
      <c r="NCH20" s="64"/>
      <c r="NCI20" s="64"/>
      <c r="NCJ20" s="64"/>
      <c r="NCK20" s="64"/>
      <c r="NCL20" s="64"/>
      <c r="NCM20" s="64"/>
      <c r="NCN20" s="64"/>
      <c r="NCO20" s="64"/>
      <c r="NCP20" s="64"/>
      <c r="NCQ20" s="64"/>
      <c r="NCR20" s="64"/>
      <c r="NCS20" s="64"/>
      <c r="NCT20" s="64"/>
      <c r="NCU20" s="64"/>
      <c r="NCV20" s="64"/>
      <c r="NCW20" s="64"/>
      <c r="NCX20" s="64"/>
      <c r="NCY20" s="64"/>
      <c r="NCZ20" s="64"/>
      <c r="NDA20" s="64"/>
      <c r="NDB20" s="64"/>
      <c r="NDC20" s="64"/>
      <c r="NDD20" s="64"/>
      <c r="NDE20" s="64"/>
      <c r="NDF20" s="64"/>
      <c r="NDG20" s="64"/>
      <c r="NDH20" s="64"/>
      <c r="NDI20" s="64"/>
      <c r="NDJ20" s="64"/>
      <c r="NDK20" s="64"/>
      <c r="NDL20" s="64"/>
      <c r="NDM20" s="64"/>
      <c r="NDN20" s="64"/>
      <c r="NDO20" s="64"/>
      <c r="NDP20" s="64"/>
      <c r="NDQ20" s="64"/>
      <c r="NDR20" s="64"/>
      <c r="NDS20" s="64"/>
      <c r="NDT20" s="64"/>
      <c r="NDU20" s="64"/>
      <c r="NDV20" s="64"/>
      <c r="NDW20" s="64"/>
      <c r="NDX20" s="64"/>
      <c r="NDY20" s="64"/>
      <c r="NDZ20" s="64"/>
      <c r="NEA20" s="64"/>
      <c r="NEB20" s="64"/>
      <c r="NEC20" s="64"/>
      <c r="NED20" s="64"/>
      <c r="NEE20" s="64"/>
      <c r="NEF20" s="64"/>
      <c r="NEG20" s="64"/>
      <c r="NEH20" s="64"/>
      <c r="NEI20" s="64"/>
      <c r="NEJ20" s="64"/>
      <c r="NEK20" s="64"/>
      <c r="NEL20" s="64"/>
      <c r="NEM20" s="64"/>
      <c r="NEN20" s="64"/>
      <c r="NEO20" s="64"/>
      <c r="NEP20" s="64"/>
      <c r="NEQ20" s="64"/>
      <c r="NER20" s="64"/>
      <c r="NES20" s="64"/>
      <c r="NET20" s="64"/>
      <c r="NEU20" s="64"/>
      <c r="NEV20" s="64"/>
      <c r="NEW20" s="64"/>
      <c r="NEX20" s="64"/>
      <c r="NEY20" s="64"/>
      <c r="NEZ20" s="64"/>
      <c r="NFA20" s="64"/>
      <c r="NFB20" s="64"/>
      <c r="NFC20" s="64"/>
      <c r="NFD20" s="64"/>
      <c r="NFE20" s="64"/>
      <c r="NFF20" s="64"/>
      <c r="NFG20" s="64"/>
      <c r="NFH20" s="64"/>
      <c r="NFI20" s="64"/>
      <c r="NFJ20" s="64"/>
      <c r="NFK20" s="64"/>
      <c r="NFL20" s="64"/>
      <c r="NFM20" s="64"/>
      <c r="NFN20" s="64"/>
      <c r="NFO20" s="64"/>
      <c r="NFP20" s="64"/>
      <c r="NFQ20" s="64"/>
      <c r="NFR20" s="64"/>
      <c r="NFS20" s="64"/>
      <c r="NFT20" s="64"/>
      <c r="NFU20" s="64"/>
      <c r="NFV20" s="64"/>
      <c r="NFW20" s="64"/>
      <c r="NFX20" s="64"/>
      <c r="NFY20" s="64"/>
      <c r="NFZ20" s="64"/>
      <c r="NGA20" s="64"/>
      <c r="NGB20" s="64"/>
      <c r="NGC20" s="64"/>
      <c r="NGD20" s="64"/>
      <c r="NGE20" s="64"/>
      <c r="NGF20" s="64"/>
      <c r="NGG20" s="64"/>
      <c r="NGH20" s="64"/>
      <c r="NGI20" s="64"/>
      <c r="NGJ20" s="64"/>
      <c r="NGK20" s="64"/>
      <c r="NGL20" s="64"/>
      <c r="NGM20" s="64"/>
      <c r="NGN20" s="64"/>
      <c r="NGO20" s="64"/>
      <c r="NGP20" s="64"/>
      <c r="NGQ20" s="64"/>
      <c r="NGR20" s="64"/>
      <c r="NGS20" s="64"/>
      <c r="NGT20" s="64"/>
      <c r="NGU20" s="64"/>
      <c r="NGV20" s="64"/>
      <c r="NGW20" s="64"/>
      <c r="NGX20" s="64"/>
      <c r="NGY20" s="64"/>
      <c r="NGZ20" s="64"/>
      <c r="NHA20" s="64"/>
      <c r="NHB20" s="64"/>
      <c r="NHC20" s="64"/>
      <c r="NHD20" s="64"/>
      <c r="NHE20" s="64"/>
      <c r="NHF20" s="64"/>
      <c r="NHG20" s="64"/>
      <c r="NHH20" s="64"/>
      <c r="NHI20" s="64"/>
      <c r="NHJ20" s="64"/>
      <c r="NHK20" s="64"/>
      <c r="NHL20" s="64"/>
      <c r="NHM20" s="64"/>
      <c r="NHN20" s="64"/>
      <c r="NHO20" s="64"/>
      <c r="NHP20" s="64"/>
      <c r="NHQ20" s="64"/>
      <c r="NHR20" s="64"/>
      <c r="NHS20" s="64"/>
      <c r="NHT20" s="64"/>
      <c r="NHU20" s="64"/>
      <c r="NHV20" s="64"/>
      <c r="NHW20" s="64"/>
      <c r="NHX20" s="64"/>
      <c r="NHY20" s="64"/>
      <c r="NHZ20" s="64"/>
      <c r="NIA20" s="64"/>
      <c r="NIB20" s="64"/>
      <c r="NIC20" s="64"/>
      <c r="NID20" s="64"/>
      <c r="NIE20" s="64"/>
      <c r="NIF20" s="64"/>
      <c r="NIG20" s="64"/>
      <c r="NIH20" s="64"/>
      <c r="NII20" s="64"/>
      <c r="NIJ20" s="64"/>
      <c r="NIK20" s="64"/>
      <c r="NIL20" s="64"/>
      <c r="NIM20" s="64"/>
      <c r="NIN20" s="64"/>
      <c r="NIO20" s="64"/>
      <c r="NIP20" s="64"/>
      <c r="NIQ20" s="64"/>
      <c r="NIR20" s="64"/>
      <c r="NIS20" s="64"/>
      <c r="NIT20" s="64"/>
      <c r="NIU20" s="64"/>
      <c r="NIV20" s="64"/>
      <c r="NIW20" s="64"/>
      <c r="NIX20" s="64"/>
      <c r="NIY20" s="64"/>
      <c r="NIZ20" s="64"/>
      <c r="NJA20" s="64"/>
      <c r="NJB20" s="64"/>
      <c r="NJC20" s="64"/>
      <c r="NJD20" s="64"/>
      <c r="NJE20" s="64"/>
      <c r="NJF20" s="64"/>
      <c r="NJG20" s="64"/>
      <c r="NJH20" s="64"/>
      <c r="NJI20" s="64"/>
      <c r="NJJ20" s="64"/>
      <c r="NJK20" s="64"/>
      <c r="NJL20" s="64"/>
      <c r="NJM20" s="64"/>
      <c r="NJN20" s="64"/>
      <c r="NJO20" s="64"/>
      <c r="NJP20" s="64"/>
      <c r="NJQ20" s="64"/>
      <c r="NJR20" s="64"/>
      <c r="NJS20" s="64"/>
      <c r="NJT20" s="64"/>
      <c r="NJU20" s="64"/>
      <c r="NJV20" s="64"/>
      <c r="NJW20" s="64"/>
      <c r="NJX20" s="64"/>
      <c r="NJY20" s="64"/>
      <c r="NJZ20" s="64"/>
      <c r="NKA20" s="64"/>
      <c r="NKB20" s="64"/>
      <c r="NKC20" s="64"/>
      <c r="NKD20" s="64"/>
      <c r="NKE20" s="64"/>
      <c r="NKF20" s="64"/>
      <c r="NKG20" s="64"/>
      <c r="NKH20" s="64"/>
      <c r="NKI20" s="64"/>
      <c r="NKJ20" s="64"/>
      <c r="NKK20" s="64"/>
      <c r="NKL20" s="64"/>
      <c r="NKM20" s="64"/>
      <c r="NKN20" s="64"/>
      <c r="NKO20" s="64"/>
      <c r="NKP20" s="64"/>
      <c r="NKQ20" s="64"/>
      <c r="NKR20" s="64"/>
      <c r="NKS20" s="64"/>
      <c r="NKT20" s="64"/>
      <c r="NKU20" s="64"/>
      <c r="NKV20" s="64"/>
      <c r="NKW20" s="64"/>
      <c r="NKX20" s="64"/>
      <c r="NKY20" s="64"/>
      <c r="NKZ20" s="64"/>
      <c r="NLA20" s="64"/>
      <c r="NLB20" s="64"/>
      <c r="NLC20" s="64"/>
      <c r="NLD20" s="64"/>
      <c r="NLE20" s="64"/>
      <c r="NLF20" s="64"/>
      <c r="NLG20" s="64"/>
      <c r="NLH20" s="64"/>
      <c r="NLI20" s="64"/>
      <c r="NLJ20" s="64"/>
      <c r="NLK20" s="64"/>
      <c r="NLL20" s="64"/>
      <c r="NLM20" s="64"/>
      <c r="NLN20" s="64"/>
      <c r="NLO20" s="64"/>
      <c r="NLP20" s="64"/>
      <c r="NLQ20" s="64"/>
      <c r="NLR20" s="64"/>
      <c r="NLS20" s="64"/>
      <c r="NLT20" s="64"/>
      <c r="NLU20" s="64"/>
      <c r="NLV20" s="64"/>
      <c r="NLW20" s="64"/>
      <c r="NLX20" s="64"/>
      <c r="NLY20" s="64"/>
      <c r="NLZ20" s="64"/>
      <c r="NMA20" s="64"/>
      <c r="NMB20" s="64"/>
      <c r="NMC20" s="64"/>
      <c r="NMD20" s="64"/>
      <c r="NME20" s="64"/>
      <c r="NMF20" s="64"/>
      <c r="NMG20" s="64"/>
      <c r="NMH20" s="64"/>
      <c r="NMI20" s="64"/>
      <c r="NMJ20" s="64"/>
      <c r="NMK20" s="64"/>
      <c r="NML20" s="64"/>
      <c r="NMM20" s="64"/>
      <c r="NMN20" s="64"/>
      <c r="NMO20" s="64"/>
      <c r="NMP20" s="64"/>
      <c r="NMQ20" s="64"/>
      <c r="NMR20" s="64"/>
      <c r="NMS20" s="64"/>
      <c r="NMT20" s="64"/>
      <c r="NMU20" s="64"/>
      <c r="NMV20" s="64"/>
      <c r="NMW20" s="64"/>
      <c r="NMX20" s="64"/>
      <c r="NMY20" s="64"/>
      <c r="NMZ20" s="64"/>
      <c r="NNA20" s="64"/>
      <c r="NNB20" s="64"/>
      <c r="NNC20" s="64"/>
      <c r="NND20" s="64"/>
      <c r="NNE20" s="64"/>
      <c r="NNF20" s="64"/>
      <c r="NNG20" s="64"/>
      <c r="NNH20" s="64"/>
      <c r="NNI20" s="64"/>
      <c r="NNJ20" s="64"/>
      <c r="NNK20" s="64"/>
      <c r="NNL20" s="64"/>
      <c r="NNM20" s="64"/>
      <c r="NNN20" s="64"/>
      <c r="NNO20" s="64"/>
      <c r="NNP20" s="64"/>
      <c r="NNQ20" s="64"/>
      <c r="NNR20" s="64"/>
      <c r="NNS20" s="64"/>
      <c r="NNT20" s="64"/>
      <c r="NNU20" s="64"/>
      <c r="NNV20" s="64"/>
      <c r="NNW20" s="64"/>
      <c r="NNX20" s="64"/>
      <c r="NNY20" s="64"/>
      <c r="NNZ20" s="64"/>
      <c r="NOA20" s="64"/>
      <c r="NOB20" s="64"/>
      <c r="NOC20" s="64"/>
      <c r="NOD20" s="64"/>
      <c r="NOE20" s="64"/>
      <c r="NOF20" s="64"/>
      <c r="NOG20" s="64"/>
      <c r="NOH20" s="64"/>
      <c r="NOI20" s="64"/>
      <c r="NOJ20" s="64"/>
      <c r="NOK20" s="64"/>
      <c r="NOL20" s="64"/>
      <c r="NOM20" s="64"/>
      <c r="NON20" s="64"/>
      <c r="NOO20" s="64"/>
      <c r="NOP20" s="64"/>
      <c r="NOQ20" s="64"/>
      <c r="NOR20" s="64"/>
      <c r="NOS20" s="64"/>
      <c r="NOT20" s="64"/>
      <c r="NOU20" s="64"/>
      <c r="NOV20" s="64"/>
      <c r="NOW20" s="64"/>
      <c r="NOX20" s="64"/>
      <c r="NOY20" s="64"/>
      <c r="NOZ20" s="64"/>
      <c r="NPA20" s="64"/>
      <c r="NPB20" s="64"/>
      <c r="NPC20" s="64"/>
      <c r="NPD20" s="64"/>
      <c r="NPE20" s="64"/>
      <c r="NPF20" s="64"/>
      <c r="NPG20" s="64"/>
      <c r="NPH20" s="64"/>
      <c r="NPI20" s="64"/>
      <c r="NPJ20" s="64"/>
      <c r="NPK20" s="64"/>
      <c r="NPL20" s="64"/>
      <c r="NPM20" s="64"/>
      <c r="NPN20" s="64"/>
      <c r="NPO20" s="64"/>
      <c r="NPP20" s="64"/>
      <c r="NPQ20" s="64"/>
      <c r="NPR20" s="64"/>
      <c r="NPS20" s="64"/>
      <c r="NPT20" s="64"/>
      <c r="NPU20" s="64"/>
      <c r="NPV20" s="64"/>
      <c r="NPW20" s="64"/>
      <c r="NPX20" s="64"/>
      <c r="NPY20" s="64"/>
      <c r="NPZ20" s="64"/>
      <c r="NQA20" s="64"/>
      <c r="NQB20" s="64"/>
      <c r="NQC20" s="64"/>
      <c r="NQD20" s="64"/>
      <c r="NQE20" s="64"/>
      <c r="NQF20" s="64"/>
      <c r="NQG20" s="64"/>
      <c r="NQH20" s="64"/>
      <c r="NQI20" s="64"/>
      <c r="NQJ20" s="64"/>
      <c r="NQK20" s="64"/>
      <c r="NQL20" s="64"/>
      <c r="NQM20" s="64"/>
      <c r="NQN20" s="64"/>
      <c r="NQO20" s="64"/>
      <c r="NQP20" s="64"/>
      <c r="NQQ20" s="64"/>
      <c r="NQR20" s="64"/>
      <c r="NQS20" s="64"/>
      <c r="NQT20" s="64"/>
      <c r="NQU20" s="64"/>
      <c r="NQV20" s="64"/>
      <c r="NQW20" s="64"/>
      <c r="NQX20" s="64"/>
      <c r="NQY20" s="64"/>
      <c r="NQZ20" s="64"/>
      <c r="NRA20" s="64"/>
      <c r="NRB20" s="64"/>
      <c r="NRC20" s="64"/>
      <c r="NRD20" s="64"/>
      <c r="NRE20" s="64"/>
      <c r="NRF20" s="64"/>
      <c r="NRG20" s="64"/>
      <c r="NRH20" s="64"/>
      <c r="NRI20" s="64"/>
      <c r="NRJ20" s="64"/>
      <c r="NRK20" s="64"/>
      <c r="NRL20" s="64"/>
      <c r="NRM20" s="64"/>
      <c r="NRN20" s="64"/>
      <c r="NRO20" s="64"/>
      <c r="NRP20" s="64"/>
      <c r="NRQ20" s="64"/>
      <c r="NRR20" s="64"/>
      <c r="NRS20" s="64"/>
      <c r="NRT20" s="64"/>
      <c r="NRU20" s="64"/>
      <c r="NRV20" s="64"/>
      <c r="NRW20" s="64"/>
      <c r="NRX20" s="64"/>
      <c r="NRY20" s="64"/>
      <c r="NRZ20" s="64"/>
      <c r="NSA20" s="64"/>
      <c r="NSB20" s="64"/>
      <c r="NSC20" s="64"/>
      <c r="NSD20" s="64"/>
      <c r="NSE20" s="64"/>
      <c r="NSF20" s="64"/>
      <c r="NSG20" s="64"/>
      <c r="NSH20" s="64"/>
      <c r="NSI20" s="64"/>
      <c r="NSJ20" s="64"/>
      <c r="NSK20" s="64"/>
      <c r="NSL20" s="64"/>
      <c r="NSM20" s="64"/>
      <c r="NSN20" s="64"/>
      <c r="NSO20" s="64"/>
      <c r="NSP20" s="64"/>
      <c r="NSQ20" s="64"/>
      <c r="NSR20" s="64"/>
      <c r="NSS20" s="64"/>
      <c r="NST20" s="64"/>
      <c r="NSU20" s="64"/>
      <c r="NSV20" s="64"/>
      <c r="NSW20" s="64"/>
      <c r="NSX20" s="64"/>
      <c r="NSY20" s="64"/>
      <c r="NSZ20" s="64"/>
      <c r="NTA20" s="64"/>
      <c r="NTB20" s="64"/>
      <c r="NTC20" s="64"/>
      <c r="NTD20" s="64"/>
      <c r="NTE20" s="64"/>
      <c r="NTF20" s="64"/>
      <c r="NTG20" s="64"/>
      <c r="NTH20" s="64"/>
      <c r="NTI20" s="64"/>
      <c r="NTJ20" s="64"/>
      <c r="NTK20" s="64"/>
      <c r="NTL20" s="64"/>
      <c r="NTM20" s="64"/>
      <c r="NTN20" s="64"/>
      <c r="NTO20" s="64"/>
      <c r="NTP20" s="64"/>
      <c r="NTQ20" s="64"/>
      <c r="NTR20" s="64"/>
      <c r="NTS20" s="64"/>
      <c r="NTT20" s="64"/>
      <c r="NTU20" s="64"/>
      <c r="NTV20" s="64"/>
      <c r="NTW20" s="64"/>
      <c r="NTX20" s="64"/>
      <c r="NTY20" s="64"/>
      <c r="NTZ20" s="64"/>
      <c r="NUA20" s="64"/>
      <c r="NUB20" s="64"/>
      <c r="NUC20" s="64"/>
      <c r="NUD20" s="64"/>
      <c r="NUE20" s="64"/>
      <c r="NUF20" s="64"/>
      <c r="NUG20" s="64"/>
      <c r="NUH20" s="64"/>
      <c r="NUI20" s="64"/>
      <c r="NUJ20" s="64"/>
      <c r="NUK20" s="64"/>
      <c r="NUL20" s="64"/>
      <c r="NUM20" s="64"/>
      <c r="NUN20" s="64"/>
      <c r="NUO20" s="64"/>
      <c r="NUP20" s="64"/>
      <c r="NUQ20" s="64"/>
      <c r="NUR20" s="64"/>
      <c r="NUS20" s="64"/>
      <c r="NUT20" s="64"/>
      <c r="NUU20" s="64"/>
      <c r="NUV20" s="64"/>
      <c r="NUW20" s="64"/>
      <c r="NUX20" s="64"/>
      <c r="NUY20" s="64"/>
      <c r="NUZ20" s="64"/>
      <c r="NVA20" s="64"/>
      <c r="NVB20" s="64"/>
      <c r="NVC20" s="64"/>
      <c r="NVD20" s="64"/>
      <c r="NVE20" s="64"/>
      <c r="NVF20" s="64"/>
      <c r="NVG20" s="64"/>
      <c r="NVH20" s="64"/>
      <c r="NVI20" s="64"/>
      <c r="NVJ20" s="64"/>
      <c r="NVK20" s="64"/>
      <c r="NVL20" s="64"/>
      <c r="NVM20" s="64"/>
      <c r="NVN20" s="64"/>
      <c r="NVO20" s="64"/>
      <c r="NVP20" s="64"/>
      <c r="NVQ20" s="64"/>
      <c r="NVR20" s="64"/>
      <c r="NVS20" s="64"/>
      <c r="NVT20" s="64"/>
      <c r="NVU20" s="64"/>
      <c r="NVV20" s="64"/>
      <c r="NVW20" s="64"/>
      <c r="NVX20" s="64"/>
      <c r="NVY20" s="64"/>
      <c r="NVZ20" s="64"/>
      <c r="NWA20" s="64"/>
      <c r="NWB20" s="64"/>
      <c r="NWC20" s="64"/>
      <c r="NWD20" s="64"/>
      <c r="NWE20" s="64"/>
      <c r="NWF20" s="64"/>
      <c r="NWG20" s="64"/>
      <c r="NWH20" s="64"/>
      <c r="NWI20" s="64"/>
      <c r="NWJ20" s="64"/>
      <c r="NWK20" s="64"/>
      <c r="NWL20" s="64"/>
      <c r="NWM20" s="64"/>
      <c r="NWN20" s="64"/>
      <c r="NWO20" s="64"/>
      <c r="NWP20" s="64"/>
      <c r="NWQ20" s="64"/>
      <c r="NWR20" s="64"/>
      <c r="NWS20" s="64"/>
      <c r="NWT20" s="64"/>
      <c r="NWU20" s="64"/>
      <c r="NWV20" s="64"/>
      <c r="NWW20" s="64"/>
      <c r="NWX20" s="64"/>
      <c r="NWY20" s="64"/>
      <c r="NWZ20" s="64"/>
      <c r="NXA20" s="64"/>
      <c r="NXB20" s="64"/>
      <c r="NXC20" s="64"/>
      <c r="NXD20" s="64"/>
      <c r="NXE20" s="64"/>
      <c r="NXF20" s="64"/>
      <c r="NXG20" s="64"/>
      <c r="NXH20" s="64"/>
      <c r="NXI20" s="64"/>
      <c r="NXJ20" s="64"/>
      <c r="NXK20" s="64"/>
      <c r="NXL20" s="64"/>
      <c r="NXM20" s="64"/>
      <c r="NXN20" s="64"/>
      <c r="NXO20" s="64"/>
      <c r="NXP20" s="64"/>
      <c r="NXQ20" s="64"/>
      <c r="NXR20" s="64"/>
      <c r="NXS20" s="64"/>
      <c r="NXT20" s="64"/>
      <c r="NXU20" s="64"/>
      <c r="NXV20" s="64"/>
      <c r="NXW20" s="64"/>
      <c r="NXX20" s="64"/>
      <c r="NXY20" s="64"/>
      <c r="NXZ20" s="64"/>
      <c r="NYA20" s="64"/>
      <c r="NYB20" s="64"/>
      <c r="NYC20" s="64"/>
      <c r="NYD20" s="64"/>
      <c r="NYE20" s="64"/>
      <c r="NYF20" s="64"/>
      <c r="NYG20" s="64"/>
      <c r="NYH20" s="64"/>
      <c r="NYI20" s="64"/>
      <c r="NYJ20" s="64"/>
      <c r="NYK20" s="64"/>
      <c r="NYL20" s="64"/>
      <c r="NYM20" s="64"/>
      <c r="NYN20" s="64"/>
      <c r="NYO20" s="64"/>
      <c r="NYP20" s="64"/>
      <c r="NYQ20" s="64"/>
      <c r="NYR20" s="64"/>
      <c r="NYS20" s="64"/>
      <c r="NYT20" s="64"/>
      <c r="NYU20" s="64"/>
      <c r="NYV20" s="64"/>
      <c r="NYW20" s="64"/>
      <c r="NYX20" s="64"/>
      <c r="NYY20" s="64"/>
      <c r="NYZ20" s="64"/>
      <c r="NZA20" s="64"/>
      <c r="NZB20" s="64"/>
      <c r="NZC20" s="64"/>
      <c r="NZD20" s="64"/>
      <c r="NZE20" s="64"/>
      <c r="NZF20" s="64"/>
      <c r="NZG20" s="64"/>
      <c r="NZH20" s="64"/>
      <c r="NZI20" s="64"/>
      <c r="NZJ20" s="64"/>
      <c r="NZK20" s="64"/>
      <c r="NZL20" s="64"/>
      <c r="NZM20" s="64"/>
      <c r="NZN20" s="64"/>
      <c r="NZO20" s="64"/>
      <c r="NZP20" s="64"/>
      <c r="NZQ20" s="64"/>
      <c r="NZR20" s="64"/>
      <c r="NZS20" s="64"/>
      <c r="NZT20" s="64"/>
      <c r="NZU20" s="64"/>
      <c r="NZV20" s="64"/>
      <c r="NZW20" s="64"/>
      <c r="NZX20" s="64"/>
      <c r="NZY20" s="64"/>
      <c r="NZZ20" s="64"/>
      <c r="OAA20" s="64"/>
      <c r="OAB20" s="64"/>
      <c r="OAC20" s="64"/>
      <c r="OAD20" s="64"/>
      <c r="OAE20" s="64"/>
      <c r="OAF20" s="64"/>
      <c r="OAG20" s="64"/>
      <c r="OAH20" s="64"/>
      <c r="OAI20" s="64"/>
      <c r="OAJ20" s="64"/>
      <c r="OAK20" s="64"/>
      <c r="OAL20" s="64"/>
      <c r="OAM20" s="64"/>
      <c r="OAN20" s="64"/>
      <c r="OAO20" s="64"/>
      <c r="OAP20" s="64"/>
      <c r="OAQ20" s="64"/>
      <c r="OAR20" s="64"/>
      <c r="OAS20" s="64"/>
      <c r="OAT20" s="64"/>
      <c r="OAU20" s="64"/>
      <c r="OAV20" s="64"/>
      <c r="OAW20" s="64"/>
      <c r="OAX20" s="64"/>
      <c r="OAY20" s="64"/>
      <c r="OAZ20" s="64"/>
      <c r="OBA20" s="64"/>
      <c r="OBB20" s="64"/>
      <c r="OBC20" s="64"/>
      <c r="OBD20" s="64"/>
      <c r="OBE20" s="64"/>
      <c r="OBF20" s="64"/>
      <c r="OBG20" s="64"/>
      <c r="OBH20" s="64"/>
      <c r="OBI20" s="64"/>
      <c r="OBJ20" s="64"/>
      <c r="OBK20" s="64"/>
      <c r="OBL20" s="64"/>
      <c r="OBM20" s="64"/>
      <c r="OBN20" s="64"/>
      <c r="OBO20" s="64"/>
      <c r="OBP20" s="64"/>
      <c r="OBQ20" s="64"/>
      <c r="OBR20" s="64"/>
      <c r="OBS20" s="64"/>
      <c r="OBT20" s="64"/>
      <c r="OBU20" s="64"/>
      <c r="OBV20" s="64"/>
      <c r="OBW20" s="64"/>
      <c r="OBX20" s="64"/>
      <c r="OBY20" s="64"/>
      <c r="OBZ20" s="64"/>
      <c r="OCA20" s="64"/>
      <c r="OCB20" s="64"/>
      <c r="OCC20" s="64"/>
      <c r="OCD20" s="64"/>
      <c r="OCE20" s="64"/>
      <c r="OCF20" s="64"/>
      <c r="OCG20" s="64"/>
      <c r="OCH20" s="64"/>
      <c r="OCI20" s="64"/>
      <c r="OCJ20" s="64"/>
      <c r="OCK20" s="64"/>
      <c r="OCL20" s="64"/>
      <c r="OCM20" s="64"/>
      <c r="OCN20" s="64"/>
      <c r="OCO20" s="64"/>
      <c r="OCP20" s="64"/>
      <c r="OCQ20" s="64"/>
      <c r="OCR20" s="64"/>
      <c r="OCS20" s="64"/>
      <c r="OCT20" s="64"/>
      <c r="OCU20" s="64"/>
      <c r="OCV20" s="64"/>
      <c r="OCW20" s="64"/>
      <c r="OCX20" s="64"/>
      <c r="OCY20" s="64"/>
      <c r="OCZ20" s="64"/>
      <c r="ODA20" s="64"/>
      <c r="ODB20" s="64"/>
      <c r="ODC20" s="64"/>
      <c r="ODD20" s="64"/>
      <c r="ODE20" s="64"/>
      <c r="ODF20" s="64"/>
      <c r="ODG20" s="64"/>
      <c r="ODH20" s="64"/>
      <c r="ODI20" s="64"/>
      <c r="ODJ20" s="64"/>
      <c r="ODK20" s="64"/>
      <c r="ODL20" s="64"/>
      <c r="ODM20" s="64"/>
      <c r="ODN20" s="64"/>
      <c r="ODO20" s="64"/>
      <c r="ODP20" s="64"/>
      <c r="ODQ20" s="64"/>
      <c r="ODR20" s="64"/>
      <c r="ODS20" s="64"/>
      <c r="ODT20" s="64"/>
      <c r="ODU20" s="64"/>
      <c r="ODV20" s="64"/>
      <c r="ODW20" s="64"/>
      <c r="ODX20" s="64"/>
      <c r="ODY20" s="64"/>
      <c r="ODZ20" s="64"/>
      <c r="OEA20" s="64"/>
      <c r="OEB20" s="64"/>
      <c r="OEC20" s="64"/>
      <c r="OED20" s="64"/>
      <c r="OEE20" s="64"/>
      <c r="OEF20" s="64"/>
      <c r="OEG20" s="64"/>
      <c r="OEH20" s="64"/>
      <c r="OEI20" s="64"/>
      <c r="OEJ20" s="64"/>
      <c r="OEK20" s="64"/>
      <c r="OEL20" s="64"/>
      <c r="OEM20" s="64"/>
      <c r="OEN20" s="64"/>
      <c r="OEO20" s="64"/>
      <c r="OEP20" s="64"/>
      <c r="OEQ20" s="64"/>
      <c r="OER20" s="64"/>
      <c r="OES20" s="64"/>
      <c r="OET20" s="64"/>
      <c r="OEU20" s="64"/>
      <c r="OEV20" s="64"/>
      <c r="OEW20" s="64"/>
      <c r="OEX20" s="64"/>
      <c r="OEY20" s="64"/>
      <c r="OEZ20" s="64"/>
      <c r="OFA20" s="64"/>
      <c r="OFB20" s="64"/>
      <c r="OFC20" s="64"/>
      <c r="OFD20" s="64"/>
      <c r="OFE20" s="64"/>
      <c r="OFF20" s="64"/>
      <c r="OFG20" s="64"/>
      <c r="OFH20" s="64"/>
      <c r="OFI20" s="64"/>
      <c r="OFJ20" s="64"/>
      <c r="OFK20" s="64"/>
      <c r="OFL20" s="64"/>
      <c r="OFM20" s="64"/>
      <c r="OFN20" s="64"/>
      <c r="OFO20" s="64"/>
      <c r="OFP20" s="64"/>
      <c r="OFQ20" s="64"/>
      <c r="OFR20" s="64"/>
      <c r="OFS20" s="64"/>
      <c r="OFT20" s="64"/>
      <c r="OFU20" s="64"/>
      <c r="OFV20" s="64"/>
      <c r="OFW20" s="64"/>
      <c r="OFX20" s="64"/>
      <c r="OFY20" s="64"/>
      <c r="OFZ20" s="64"/>
      <c r="OGA20" s="64"/>
      <c r="OGB20" s="64"/>
      <c r="OGC20" s="64"/>
      <c r="OGD20" s="64"/>
      <c r="OGE20" s="64"/>
      <c r="OGF20" s="64"/>
      <c r="OGG20" s="64"/>
      <c r="OGH20" s="64"/>
      <c r="OGI20" s="64"/>
      <c r="OGJ20" s="64"/>
      <c r="OGK20" s="64"/>
      <c r="OGL20" s="64"/>
      <c r="OGM20" s="64"/>
      <c r="OGN20" s="64"/>
      <c r="OGO20" s="64"/>
      <c r="OGP20" s="64"/>
      <c r="OGQ20" s="64"/>
      <c r="OGR20" s="64"/>
      <c r="OGS20" s="64"/>
      <c r="OGT20" s="64"/>
      <c r="OGU20" s="64"/>
      <c r="OGV20" s="64"/>
      <c r="OGW20" s="64"/>
      <c r="OGX20" s="64"/>
      <c r="OGY20" s="64"/>
      <c r="OGZ20" s="64"/>
      <c r="OHA20" s="64"/>
      <c r="OHB20" s="64"/>
      <c r="OHC20" s="64"/>
      <c r="OHD20" s="64"/>
      <c r="OHE20" s="64"/>
      <c r="OHF20" s="64"/>
      <c r="OHG20" s="64"/>
      <c r="OHH20" s="64"/>
      <c r="OHI20" s="64"/>
      <c r="OHJ20" s="64"/>
      <c r="OHK20" s="64"/>
      <c r="OHL20" s="64"/>
      <c r="OHM20" s="64"/>
      <c r="OHN20" s="64"/>
      <c r="OHO20" s="64"/>
      <c r="OHP20" s="64"/>
      <c r="OHQ20" s="64"/>
      <c r="OHR20" s="64"/>
      <c r="OHS20" s="64"/>
      <c r="OHT20" s="64"/>
      <c r="OHU20" s="64"/>
      <c r="OHV20" s="64"/>
      <c r="OHW20" s="64"/>
      <c r="OHX20" s="64"/>
      <c r="OHY20" s="64"/>
      <c r="OHZ20" s="64"/>
      <c r="OIA20" s="64"/>
      <c r="OIB20" s="64"/>
      <c r="OIC20" s="64"/>
      <c r="OID20" s="64"/>
      <c r="OIE20" s="64"/>
      <c r="OIF20" s="64"/>
      <c r="OIG20" s="64"/>
      <c r="OIH20" s="64"/>
      <c r="OII20" s="64"/>
      <c r="OIJ20" s="64"/>
      <c r="OIK20" s="64"/>
      <c r="OIL20" s="64"/>
      <c r="OIM20" s="64"/>
      <c r="OIN20" s="64"/>
      <c r="OIO20" s="64"/>
      <c r="OIP20" s="64"/>
      <c r="OIQ20" s="64"/>
      <c r="OIR20" s="64"/>
      <c r="OIS20" s="64"/>
      <c r="OIT20" s="64"/>
      <c r="OIU20" s="64"/>
      <c r="OIV20" s="64"/>
      <c r="OIW20" s="64"/>
      <c r="OIX20" s="64"/>
      <c r="OIY20" s="64"/>
      <c r="OIZ20" s="64"/>
      <c r="OJA20" s="64"/>
      <c r="OJB20" s="64"/>
      <c r="OJC20" s="64"/>
      <c r="OJD20" s="64"/>
      <c r="OJE20" s="64"/>
      <c r="OJF20" s="64"/>
      <c r="OJG20" s="64"/>
      <c r="OJH20" s="64"/>
      <c r="OJI20" s="64"/>
      <c r="OJJ20" s="64"/>
      <c r="OJK20" s="64"/>
      <c r="OJL20" s="64"/>
      <c r="OJM20" s="64"/>
      <c r="OJN20" s="64"/>
      <c r="OJO20" s="64"/>
      <c r="OJP20" s="64"/>
      <c r="OJQ20" s="64"/>
      <c r="OJR20" s="64"/>
      <c r="OJS20" s="64"/>
      <c r="OJT20" s="64"/>
      <c r="OJU20" s="64"/>
      <c r="OJV20" s="64"/>
      <c r="OJW20" s="64"/>
      <c r="OJX20" s="64"/>
      <c r="OJY20" s="64"/>
      <c r="OJZ20" s="64"/>
      <c r="OKA20" s="64"/>
      <c r="OKB20" s="64"/>
      <c r="OKC20" s="64"/>
      <c r="OKD20" s="64"/>
      <c r="OKE20" s="64"/>
      <c r="OKF20" s="64"/>
      <c r="OKG20" s="64"/>
      <c r="OKH20" s="64"/>
      <c r="OKI20" s="64"/>
      <c r="OKJ20" s="64"/>
      <c r="OKK20" s="64"/>
      <c r="OKL20" s="64"/>
      <c r="OKM20" s="64"/>
      <c r="OKN20" s="64"/>
      <c r="OKO20" s="64"/>
      <c r="OKP20" s="64"/>
      <c r="OKQ20" s="64"/>
      <c r="OKR20" s="64"/>
      <c r="OKS20" s="64"/>
      <c r="OKT20" s="64"/>
      <c r="OKU20" s="64"/>
      <c r="OKV20" s="64"/>
      <c r="OKW20" s="64"/>
      <c r="OKX20" s="64"/>
      <c r="OKY20" s="64"/>
      <c r="OKZ20" s="64"/>
      <c r="OLA20" s="64"/>
      <c r="OLB20" s="64"/>
      <c r="OLC20" s="64"/>
      <c r="OLD20" s="64"/>
      <c r="OLE20" s="64"/>
      <c r="OLF20" s="64"/>
      <c r="OLG20" s="64"/>
      <c r="OLH20" s="64"/>
      <c r="OLI20" s="64"/>
      <c r="OLJ20" s="64"/>
      <c r="OLK20" s="64"/>
      <c r="OLL20" s="64"/>
      <c r="OLM20" s="64"/>
      <c r="OLN20" s="64"/>
      <c r="OLO20" s="64"/>
      <c r="OLP20" s="64"/>
      <c r="OLQ20" s="64"/>
      <c r="OLR20" s="64"/>
      <c r="OLS20" s="64"/>
      <c r="OLT20" s="64"/>
      <c r="OLU20" s="64"/>
      <c r="OLV20" s="64"/>
      <c r="OLW20" s="64"/>
      <c r="OLX20" s="64"/>
      <c r="OLY20" s="64"/>
      <c r="OLZ20" s="64"/>
      <c r="OMA20" s="64"/>
      <c r="OMB20" s="64"/>
      <c r="OMC20" s="64"/>
      <c r="OMD20" s="64"/>
      <c r="OME20" s="64"/>
      <c r="OMF20" s="64"/>
      <c r="OMG20" s="64"/>
      <c r="OMH20" s="64"/>
      <c r="OMI20" s="64"/>
      <c r="OMJ20" s="64"/>
      <c r="OMK20" s="64"/>
      <c r="OML20" s="64"/>
      <c r="OMM20" s="64"/>
      <c r="OMN20" s="64"/>
      <c r="OMO20" s="64"/>
      <c r="OMP20" s="64"/>
      <c r="OMQ20" s="64"/>
      <c r="OMR20" s="64"/>
      <c r="OMS20" s="64"/>
      <c r="OMT20" s="64"/>
      <c r="OMU20" s="64"/>
      <c r="OMV20" s="64"/>
      <c r="OMW20" s="64"/>
      <c r="OMX20" s="64"/>
      <c r="OMY20" s="64"/>
      <c r="OMZ20" s="64"/>
      <c r="ONA20" s="64"/>
      <c r="ONB20" s="64"/>
      <c r="ONC20" s="64"/>
      <c r="OND20" s="64"/>
      <c r="ONE20" s="64"/>
      <c r="ONF20" s="64"/>
      <c r="ONG20" s="64"/>
      <c r="ONH20" s="64"/>
      <c r="ONI20" s="64"/>
      <c r="ONJ20" s="64"/>
      <c r="ONK20" s="64"/>
      <c r="ONL20" s="64"/>
      <c r="ONM20" s="64"/>
      <c r="ONN20" s="64"/>
      <c r="ONO20" s="64"/>
      <c r="ONP20" s="64"/>
      <c r="ONQ20" s="64"/>
      <c r="ONR20" s="64"/>
      <c r="ONS20" s="64"/>
      <c r="ONT20" s="64"/>
      <c r="ONU20" s="64"/>
      <c r="ONV20" s="64"/>
      <c r="ONW20" s="64"/>
      <c r="ONX20" s="64"/>
      <c r="ONY20" s="64"/>
      <c r="ONZ20" s="64"/>
      <c r="OOA20" s="64"/>
      <c r="OOB20" s="64"/>
      <c r="OOC20" s="64"/>
      <c r="OOD20" s="64"/>
      <c r="OOE20" s="64"/>
      <c r="OOF20" s="64"/>
      <c r="OOG20" s="64"/>
      <c r="OOH20" s="64"/>
      <c r="OOI20" s="64"/>
      <c r="OOJ20" s="64"/>
      <c r="OOK20" s="64"/>
      <c r="OOL20" s="64"/>
      <c r="OOM20" s="64"/>
      <c r="OON20" s="64"/>
      <c r="OOO20" s="64"/>
      <c r="OOP20" s="64"/>
      <c r="OOQ20" s="64"/>
      <c r="OOR20" s="64"/>
      <c r="OOS20" s="64"/>
      <c r="OOT20" s="64"/>
      <c r="OOU20" s="64"/>
      <c r="OOV20" s="64"/>
      <c r="OOW20" s="64"/>
      <c r="OOX20" s="64"/>
      <c r="OOY20" s="64"/>
      <c r="OOZ20" s="64"/>
      <c r="OPA20" s="64"/>
      <c r="OPB20" s="64"/>
      <c r="OPC20" s="64"/>
      <c r="OPD20" s="64"/>
      <c r="OPE20" s="64"/>
      <c r="OPF20" s="64"/>
      <c r="OPG20" s="64"/>
      <c r="OPH20" s="64"/>
      <c r="OPI20" s="64"/>
      <c r="OPJ20" s="64"/>
      <c r="OPK20" s="64"/>
      <c r="OPL20" s="64"/>
      <c r="OPM20" s="64"/>
      <c r="OPN20" s="64"/>
      <c r="OPO20" s="64"/>
      <c r="OPP20" s="64"/>
      <c r="OPQ20" s="64"/>
      <c r="OPR20" s="64"/>
      <c r="OPS20" s="64"/>
      <c r="OPT20" s="64"/>
      <c r="OPU20" s="64"/>
      <c r="OPV20" s="64"/>
      <c r="OPW20" s="64"/>
      <c r="OPX20" s="64"/>
      <c r="OPY20" s="64"/>
      <c r="OPZ20" s="64"/>
      <c r="OQA20" s="64"/>
      <c r="OQB20" s="64"/>
      <c r="OQC20" s="64"/>
      <c r="OQD20" s="64"/>
      <c r="OQE20" s="64"/>
      <c r="OQF20" s="64"/>
      <c r="OQG20" s="64"/>
      <c r="OQH20" s="64"/>
      <c r="OQI20" s="64"/>
      <c r="OQJ20" s="64"/>
      <c r="OQK20" s="64"/>
      <c r="OQL20" s="64"/>
      <c r="OQM20" s="64"/>
      <c r="OQN20" s="64"/>
      <c r="OQO20" s="64"/>
      <c r="OQP20" s="64"/>
      <c r="OQQ20" s="64"/>
      <c r="OQR20" s="64"/>
      <c r="OQS20" s="64"/>
      <c r="OQT20" s="64"/>
      <c r="OQU20" s="64"/>
      <c r="OQV20" s="64"/>
      <c r="OQW20" s="64"/>
      <c r="OQX20" s="64"/>
      <c r="OQY20" s="64"/>
      <c r="OQZ20" s="64"/>
      <c r="ORA20" s="64"/>
      <c r="ORB20" s="64"/>
      <c r="ORC20" s="64"/>
      <c r="ORD20" s="64"/>
      <c r="ORE20" s="64"/>
      <c r="ORF20" s="64"/>
      <c r="ORG20" s="64"/>
      <c r="ORH20" s="64"/>
      <c r="ORI20" s="64"/>
      <c r="ORJ20" s="64"/>
      <c r="ORK20" s="64"/>
      <c r="ORL20" s="64"/>
      <c r="ORM20" s="64"/>
      <c r="ORN20" s="64"/>
      <c r="ORO20" s="64"/>
      <c r="ORP20" s="64"/>
      <c r="ORQ20" s="64"/>
      <c r="ORR20" s="64"/>
      <c r="ORS20" s="64"/>
      <c r="ORT20" s="64"/>
      <c r="ORU20" s="64"/>
      <c r="ORV20" s="64"/>
      <c r="ORW20" s="64"/>
      <c r="ORX20" s="64"/>
      <c r="ORY20" s="64"/>
      <c r="ORZ20" s="64"/>
      <c r="OSA20" s="64"/>
      <c r="OSB20" s="64"/>
      <c r="OSC20" s="64"/>
      <c r="OSD20" s="64"/>
      <c r="OSE20" s="64"/>
      <c r="OSF20" s="64"/>
      <c r="OSG20" s="64"/>
      <c r="OSH20" s="64"/>
      <c r="OSI20" s="64"/>
      <c r="OSJ20" s="64"/>
      <c r="OSK20" s="64"/>
      <c r="OSL20" s="64"/>
      <c r="OSM20" s="64"/>
      <c r="OSN20" s="64"/>
      <c r="OSO20" s="64"/>
      <c r="OSP20" s="64"/>
      <c r="OSQ20" s="64"/>
      <c r="OSR20" s="64"/>
      <c r="OSS20" s="64"/>
      <c r="OST20" s="64"/>
      <c r="OSU20" s="64"/>
      <c r="OSV20" s="64"/>
      <c r="OSW20" s="64"/>
      <c r="OSX20" s="64"/>
      <c r="OSY20" s="64"/>
      <c r="OSZ20" s="64"/>
      <c r="OTA20" s="64"/>
      <c r="OTB20" s="64"/>
      <c r="OTC20" s="64"/>
      <c r="OTD20" s="64"/>
      <c r="OTE20" s="64"/>
      <c r="OTF20" s="64"/>
      <c r="OTG20" s="64"/>
      <c r="OTH20" s="64"/>
      <c r="OTI20" s="64"/>
      <c r="OTJ20" s="64"/>
      <c r="OTK20" s="64"/>
      <c r="OTL20" s="64"/>
      <c r="OTM20" s="64"/>
      <c r="OTN20" s="64"/>
      <c r="OTO20" s="64"/>
      <c r="OTP20" s="64"/>
      <c r="OTQ20" s="64"/>
      <c r="OTR20" s="64"/>
      <c r="OTS20" s="64"/>
      <c r="OTT20" s="64"/>
      <c r="OTU20" s="64"/>
      <c r="OTV20" s="64"/>
      <c r="OTW20" s="64"/>
      <c r="OTX20" s="64"/>
      <c r="OTY20" s="64"/>
      <c r="OTZ20" s="64"/>
      <c r="OUA20" s="64"/>
      <c r="OUB20" s="64"/>
      <c r="OUC20" s="64"/>
      <c r="OUD20" s="64"/>
      <c r="OUE20" s="64"/>
      <c r="OUF20" s="64"/>
      <c r="OUG20" s="64"/>
      <c r="OUH20" s="64"/>
      <c r="OUI20" s="64"/>
      <c r="OUJ20" s="64"/>
      <c r="OUK20" s="64"/>
      <c r="OUL20" s="64"/>
      <c r="OUM20" s="64"/>
      <c r="OUN20" s="64"/>
      <c r="OUO20" s="64"/>
      <c r="OUP20" s="64"/>
      <c r="OUQ20" s="64"/>
      <c r="OUR20" s="64"/>
      <c r="OUS20" s="64"/>
      <c r="OUT20" s="64"/>
      <c r="OUU20" s="64"/>
      <c r="OUV20" s="64"/>
      <c r="OUW20" s="64"/>
      <c r="OUX20" s="64"/>
      <c r="OUY20" s="64"/>
      <c r="OUZ20" s="64"/>
      <c r="OVA20" s="64"/>
      <c r="OVB20" s="64"/>
      <c r="OVC20" s="64"/>
      <c r="OVD20" s="64"/>
      <c r="OVE20" s="64"/>
      <c r="OVF20" s="64"/>
      <c r="OVG20" s="64"/>
      <c r="OVH20" s="64"/>
      <c r="OVI20" s="64"/>
      <c r="OVJ20" s="64"/>
      <c r="OVK20" s="64"/>
      <c r="OVL20" s="64"/>
      <c r="OVM20" s="64"/>
      <c r="OVN20" s="64"/>
      <c r="OVO20" s="64"/>
      <c r="OVP20" s="64"/>
      <c r="OVQ20" s="64"/>
      <c r="OVR20" s="64"/>
      <c r="OVS20" s="64"/>
      <c r="OVT20" s="64"/>
      <c r="OVU20" s="64"/>
      <c r="OVV20" s="64"/>
      <c r="OVW20" s="64"/>
      <c r="OVX20" s="64"/>
      <c r="OVY20" s="64"/>
      <c r="OVZ20" s="64"/>
      <c r="OWA20" s="64"/>
      <c r="OWB20" s="64"/>
      <c r="OWC20" s="64"/>
      <c r="OWD20" s="64"/>
      <c r="OWE20" s="64"/>
      <c r="OWF20" s="64"/>
      <c r="OWG20" s="64"/>
      <c r="OWH20" s="64"/>
      <c r="OWI20" s="64"/>
      <c r="OWJ20" s="64"/>
      <c r="OWK20" s="64"/>
      <c r="OWL20" s="64"/>
      <c r="OWM20" s="64"/>
      <c r="OWN20" s="64"/>
      <c r="OWO20" s="64"/>
      <c r="OWP20" s="64"/>
      <c r="OWQ20" s="64"/>
      <c r="OWR20" s="64"/>
      <c r="OWS20" s="64"/>
      <c r="OWT20" s="64"/>
      <c r="OWU20" s="64"/>
      <c r="OWV20" s="64"/>
      <c r="OWW20" s="64"/>
      <c r="OWX20" s="64"/>
      <c r="OWY20" s="64"/>
      <c r="OWZ20" s="64"/>
      <c r="OXA20" s="64"/>
      <c r="OXB20" s="64"/>
      <c r="OXC20" s="64"/>
      <c r="OXD20" s="64"/>
      <c r="OXE20" s="64"/>
      <c r="OXF20" s="64"/>
      <c r="OXG20" s="64"/>
      <c r="OXH20" s="64"/>
      <c r="OXI20" s="64"/>
      <c r="OXJ20" s="64"/>
      <c r="OXK20" s="64"/>
      <c r="OXL20" s="64"/>
      <c r="OXM20" s="64"/>
      <c r="OXN20" s="64"/>
      <c r="OXO20" s="64"/>
      <c r="OXP20" s="64"/>
      <c r="OXQ20" s="64"/>
      <c r="OXR20" s="64"/>
      <c r="OXS20" s="64"/>
      <c r="OXT20" s="64"/>
      <c r="OXU20" s="64"/>
      <c r="OXV20" s="64"/>
      <c r="OXW20" s="64"/>
      <c r="OXX20" s="64"/>
      <c r="OXY20" s="64"/>
      <c r="OXZ20" s="64"/>
      <c r="OYA20" s="64"/>
      <c r="OYB20" s="64"/>
      <c r="OYC20" s="64"/>
      <c r="OYD20" s="64"/>
      <c r="OYE20" s="64"/>
      <c r="OYF20" s="64"/>
      <c r="OYG20" s="64"/>
      <c r="OYH20" s="64"/>
      <c r="OYI20" s="64"/>
      <c r="OYJ20" s="64"/>
      <c r="OYK20" s="64"/>
      <c r="OYL20" s="64"/>
      <c r="OYM20" s="64"/>
      <c r="OYN20" s="64"/>
      <c r="OYO20" s="64"/>
      <c r="OYP20" s="64"/>
      <c r="OYQ20" s="64"/>
      <c r="OYR20" s="64"/>
      <c r="OYS20" s="64"/>
      <c r="OYT20" s="64"/>
      <c r="OYU20" s="64"/>
      <c r="OYV20" s="64"/>
      <c r="OYW20" s="64"/>
      <c r="OYX20" s="64"/>
      <c r="OYY20" s="64"/>
      <c r="OYZ20" s="64"/>
      <c r="OZA20" s="64"/>
      <c r="OZB20" s="64"/>
      <c r="OZC20" s="64"/>
      <c r="OZD20" s="64"/>
      <c r="OZE20" s="64"/>
      <c r="OZF20" s="64"/>
      <c r="OZG20" s="64"/>
      <c r="OZH20" s="64"/>
      <c r="OZI20" s="64"/>
      <c r="OZJ20" s="64"/>
      <c r="OZK20" s="64"/>
      <c r="OZL20" s="64"/>
      <c r="OZM20" s="64"/>
      <c r="OZN20" s="64"/>
      <c r="OZO20" s="64"/>
      <c r="OZP20" s="64"/>
      <c r="OZQ20" s="64"/>
      <c r="OZR20" s="64"/>
      <c r="OZS20" s="64"/>
      <c r="OZT20" s="64"/>
      <c r="OZU20" s="64"/>
      <c r="OZV20" s="64"/>
      <c r="OZW20" s="64"/>
      <c r="OZX20" s="64"/>
      <c r="OZY20" s="64"/>
      <c r="OZZ20" s="64"/>
      <c r="PAA20" s="64"/>
      <c r="PAB20" s="64"/>
      <c r="PAC20" s="64"/>
      <c r="PAD20" s="64"/>
      <c r="PAE20" s="64"/>
      <c r="PAF20" s="64"/>
      <c r="PAG20" s="64"/>
      <c r="PAH20" s="64"/>
      <c r="PAI20" s="64"/>
      <c r="PAJ20" s="64"/>
      <c r="PAK20" s="64"/>
      <c r="PAL20" s="64"/>
      <c r="PAM20" s="64"/>
      <c r="PAN20" s="64"/>
      <c r="PAO20" s="64"/>
      <c r="PAP20" s="64"/>
      <c r="PAQ20" s="64"/>
      <c r="PAR20" s="64"/>
      <c r="PAS20" s="64"/>
      <c r="PAT20" s="64"/>
      <c r="PAU20" s="64"/>
      <c r="PAV20" s="64"/>
      <c r="PAW20" s="64"/>
      <c r="PAX20" s="64"/>
      <c r="PAY20" s="64"/>
      <c r="PAZ20" s="64"/>
      <c r="PBA20" s="64"/>
      <c r="PBB20" s="64"/>
      <c r="PBC20" s="64"/>
      <c r="PBD20" s="64"/>
      <c r="PBE20" s="64"/>
      <c r="PBF20" s="64"/>
      <c r="PBG20" s="64"/>
      <c r="PBH20" s="64"/>
      <c r="PBI20" s="64"/>
      <c r="PBJ20" s="64"/>
      <c r="PBK20" s="64"/>
      <c r="PBL20" s="64"/>
      <c r="PBM20" s="64"/>
      <c r="PBN20" s="64"/>
      <c r="PBO20" s="64"/>
      <c r="PBP20" s="64"/>
      <c r="PBQ20" s="64"/>
      <c r="PBR20" s="64"/>
      <c r="PBS20" s="64"/>
      <c r="PBT20" s="64"/>
      <c r="PBU20" s="64"/>
      <c r="PBV20" s="64"/>
      <c r="PBW20" s="64"/>
      <c r="PBX20" s="64"/>
      <c r="PBY20" s="64"/>
      <c r="PBZ20" s="64"/>
      <c r="PCA20" s="64"/>
      <c r="PCB20" s="64"/>
      <c r="PCC20" s="64"/>
      <c r="PCD20" s="64"/>
      <c r="PCE20" s="64"/>
      <c r="PCF20" s="64"/>
      <c r="PCG20" s="64"/>
      <c r="PCH20" s="64"/>
      <c r="PCI20" s="64"/>
      <c r="PCJ20" s="64"/>
      <c r="PCK20" s="64"/>
      <c r="PCL20" s="64"/>
      <c r="PCM20" s="64"/>
      <c r="PCN20" s="64"/>
      <c r="PCO20" s="64"/>
      <c r="PCP20" s="64"/>
      <c r="PCQ20" s="64"/>
      <c r="PCR20" s="64"/>
      <c r="PCS20" s="64"/>
      <c r="PCT20" s="64"/>
      <c r="PCU20" s="64"/>
      <c r="PCV20" s="64"/>
      <c r="PCW20" s="64"/>
      <c r="PCX20" s="64"/>
      <c r="PCY20" s="64"/>
      <c r="PCZ20" s="64"/>
      <c r="PDA20" s="64"/>
      <c r="PDB20" s="64"/>
      <c r="PDC20" s="64"/>
      <c r="PDD20" s="64"/>
      <c r="PDE20" s="64"/>
      <c r="PDF20" s="64"/>
      <c r="PDG20" s="64"/>
      <c r="PDH20" s="64"/>
      <c r="PDI20" s="64"/>
      <c r="PDJ20" s="64"/>
      <c r="PDK20" s="64"/>
      <c r="PDL20" s="64"/>
      <c r="PDM20" s="64"/>
      <c r="PDN20" s="64"/>
      <c r="PDO20" s="64"/>
      <c r="PDP20" s="64"/>
      <c r="PDQ20" s="64"/>
      <c r="PDR20" s="64"/>
      <c r="PDS20" s="64"/>
      <c r="PDT20" s="64"/>
      <c r="PDU20" s="64"/>
      <c r="PDV20" s="64"/>
      <c r="PDW20" s="64"/>
      <c r="PDX20" s="64"/>
      <c r="PDY20" s="64"/>
      <c r="PDZ20" s="64"/>
      <c r="PEA20" s="64"/>
      <c r="PEB20" s="64"/>
      <c r="PEC20" s="64"/>
      <c r="PED20" s="64"/>
      <c r="PEE20" s="64"/>
      <c r="PEF20" s="64"/>
      <c r="PEG20" s="64"/>
      <c r="PEH20" s="64"/>
      <c r="PEI20" s="64"/>
      <c r="PEJ20" s="64"/>
      <c r="PEK20" s="64"/>
      <c r="PEL20" s="64"/>
      <c r="PEM20" s="64"/>
      <c r="PEN20" s="64"/>
      <c r="PEO20" s="64"/>
      <c r="PEP20" s="64"/>
      <c r="PEQ20" s="64"/>
      <c r="PER20" s="64"/>
      <c r="PES20" s="64"/>
      <c r="PET20" s="64"/>
      <c r="PEU20" s="64"/>
      <c r="PEV20" s="64"/>
      <c r="PEW20" s="64"/>
      <c r="PEX20" s="64"/>
      <c r="PEY20" s="64"/>
      <c r="PEZ20" s="64"/>
      <c r="PFA20" s="64"/>
      <c r="PFB20" s="64"/>
      <c r="PFC20" s="64"/>
      <c r="PFD20" s="64"/>
      <c r="PFE20" s="64"/>
      <c r="PFF20" s="64"/>
      <c r="PFG20" s="64"/>
      <c r="PFH20" s="64"/>
      <c r="PFI20" s="64"/>
      <c r="PFJ20" s="64"/>
      <c r="PFK20" s="64"/>
      <c r="PFL20" s="64"/>
      <c r="PFM20" s="64"/>
      <c r="PFN20" s="64"/>
      <c r="PFO20" s="64"/>
      <c r="PFP20" s="64"/>
      <c r="PFQ20" s="64"/>
      <c r="PFR20" s="64"/>
      <c r="PFS20" s="64"/>
      <c r="PFT20" s="64"/>
      <c r="PFU20" s="64"/>
      <c r="PFV20" s="64"/>
      <c r="PFW20" s="64"/>
      <c r="PFX20" s="64"/>
      <c r="PFY20" s="64"/>
      <c r="PFZ20" s="64"/>
      <c r="PGA20" s="64"/>
      <c r="PGB20" s="64"/>
      <c r="PGC20" s="64"/>
      <c r="PGD20" s="64"/>
      <c r="PGE20" s="64"/>
      <c r="PGF20" s="64"/>
      <c r="PGG20" s="64"/>
      <c r="PGH20" s="64"/>
      <c r="PGI20" s="64"/>
      <c r="PGJ20" s="64"/>
      <c r="PGK20" s="64"/>
      <c r="PGL20" s="64"/>
      <c r="PGM20" s="64"/>
      <c r="PGN20" s="64"/>
      <c r="PGO20" s="64"/>
      <c r="PGP20" s="64"/>
      <c r="PGQ20" s="64"/>
      <c r="PGR20" s="64"/>
      <c r="PGS20" s="64"/>
      <c r="PGT20" s="64"/>
      <c r="PGU20" s="64"/>
      <c r="PGV20" s="64"/>
      <c r="PGW20" s="64"/>
      <c r="PGX20" s="64"/>
      <c r="PGY20" s="64"/>
      <c r="PGZ20" s="64"/>
      <c r="PHA20" s="64"/>
      <c r="PHB20" s="64"/>
      <c r="PHC20" s="64"/>
      <c r="PHD20" s="64"/>
      <c r="PHE20" s="64"/>
      <c r="PHF20" s="64"/>
      <c r="PHG20" s="64"/>
      <c r="PHH20" s="64"/>
      <c r="PHI20" s="64"/>
      <c r="PHJ20" s="64"/>
      <c r="PHK20" s="64"/>
      <c r="PHL20" s="64"/>
      <c r="PHM20" s="64"/>
      <c r="PHN20" s="64"/>
      <c r="PHO20" s="64"/>
      <c r="PHP20" s="64"/>
      <c r="PHQ20" s="64"/>
      <c r="PHR20" s="64"/>
      <c r="PHS20" s="64"/>
      <c r="PHT20" s="64"/>
      <c r="PHU20" s="64"/>
      <c r="PHV20" s="64"/>
      <c r="PHW20" s="64"/>
      <c r="PHX20" s="64"/>
      <c r="PHY20" s="64"/>
      <c r="PHZ20" s="64"/>
      <c r="PIA20" s="64"/>
      <c r="PIB20" s="64"/>
      <c r="PIC20" s="64"/>
      <c r="PID20" s="64"/>
      <c r="PIE20" s="64"/>
      <c r="PIF20" s="64"/>
      <c r="PIG20" s="64"/>
      <c r="PIH20" s="64"/>
      <c r="PII20" s="64"/>
      <c r="PIJ20" s="64"/>
      <c r="PIK20" s="64"/>
      <c r="PIL20" s="64"/>
      <c r="PIM20" s="64"/>
      <c r="PIN20" s="64"/>
      <c r="PIO20" s="64"/>
      <c r="PIP20" s="64"/>
      <c r="PIQ20" s="64"/>
      <c r="PIR20" s="64"/>
      <c r="PIS20" s="64"/>
      <c r="PIT20" s="64"/>
      <c r="PIU20" s="64"/>
      <c r="PIV20" s="64"/>
      <c r="PIW20" s="64"/>
      <c r="PIX20" s="64"/>
      <c r="PIY20" s="64"/>
      <c r="PIZ20" s="64"/>
      <c r="PJA20" s="64"/>
      <c r="PJB20" s="64"/>
      <c r="PJC20" s="64"/>
      <c r="PJD20" s="64"/>
      <c r="PJE20" s="64"/>
      <c r="PJF20" s="64"/>
      <c r="PJG20" s="64"/>
      <c r="PJH20" s="64"/>
      <c r="PJI20" s="64"/>
      <c r="PJJ20" s="64"/>
      <c r="PJK20" s="64"/>
      <c r="PJL20" s="64"/>
      <c r="PJM20" s="64"/>
      <c r="PJN20" s="64"/>
      <c r="PJO20" s="64"/>
      <c r="PJP20" s="64"/>
      <c r="PJQ20" s="64"/>
      <c r="PJR20" s="64"/>
      <c r="PJS20" s="64"/>
      <c r="PJT20" s="64"/>
      <c r="PJU20" s="64"/>
      <c r="PJV20" s="64"/>
      <c r="PJW20" s="64"/>
      <c r="PJX20" s="64"/>
      <c r="PJY20" s="64"/>
      <c r="PJZ20" s="64"/>
      <c r="PKA20" s="64"/>
      <c r="PKB20" s="64"/>
      <c r="PKC20" s="64"/>
      <c r="PKD20" s="64"/>
      <c r="PKE20" s="64"/>
      <c r="PKF20" s="64"/>
      <c r="PKG20" s="64"/>
      <c r="PKH20" s="64"/>
      <c r="PKI20" s="64"/>
      <c r="PKJ20" s="64"/>
      <c r="PKK20" s="64"/>
      <c r="PKL20" s="64"/>
      <c r="PKM20" s="64"/>
      <c r="PKN20" s="64"/>
      <c r="PKO20" s="64"/>
      <c r="PKP20" s="64"/>
      <c r="PKQ20" s="64"/>
      <c r="PKR20" s="64"/>
      <c r="PKS20" s="64"/>
      <c r="PKT20" s="64"/>
      <c r="PKU20" s="64"/>
      <c r="PKV20" s="64"/>
      <c r="PKW20" s="64"/>
      <c r="PKX20" s="64"/>
      <c r="PKY20" s="64"/>
      <c r="PKZ20" s="64"/>
      <c r="PLA20" s="64"/>
      <c r="PLB20" s="64"/>
      <c r="PLC20" s="64"/>
      <c r="PLD20" s="64"/>
      <c r="PLE20" s="64"/>
      <c r="PLF20" s="64"/>
      <c r="PLG20" s="64"/>
      <c r="PLH20" s="64"/>
      <c r="PLI20" s="64"/>
      <c r="PLJ20" s="64"/>
      <c r="PLK20" s="64"/>
      <c r="PLL20" s="64"/>
      <c r="PLM20" s="64"/>
      <c r="PLN20" s="64"/>
      <c r="PLO20" s="64"/>
      <c r="PLP20" s="64"/>
      <c r="PLQ20" s="64"/>
      <c r="PLR20" s="64"/>
      <c r="PLS20" s="64"/>
      <c r="PLT20" s="64"/>
      <c r="PLU20" s="64"/>
      <c r="PLV20" s="64"/>
      <c r="PLW20" s="64"/>
      <c r="PLX20" s="64"/>
      <c r="PLY20" s="64"/>
      <c r="PLZ20" s="64"/>
      <c r="PMA20" s="64"/>
      <c r="PMB20" s="64"/>
      <c r="PMC20" s="64"/>
      <c r="PMD20" s="64"/>
      <c r="PME20" s="64"/>
      <c r="PMF20" s="64"/>
      <c r="PMG20" s="64"/>
      <c r="PMH20" s="64"/>
      <c r="PMI20" s="64"/>
      <c r="PMJ20" s="64"/>
      <c r="PMK20" s="64"/>
      <c r="PML20" s="64"/>
      <c r="PMM20" s="64"/>
      <c r="PMN20" s="64"/>
      <c r="PMO20" s="64"/>
      <c r="PMP20" s="64"/>
      <c r="PMQ20" s="64"/>
      <c r="PMR20" s="64"/>
      <c r="PMS20" s="64"/>
      <c r="PMT20" s="64"/>
      <c r="PMU20" s="64"/>
      <c r="PMV20" s="64"/>
      <c r="PMW20" s="64"/>
      <c r="PMX20" s="64"/>
      <c r="PMY20" s="64"/>
      <c r="PMZ20" s="64"/>
      <c r="PNA20" s="64"/>
      <c r="PNB20" s="64"/>
      <c r="PNC20" s="64"/>
      <c r="PND20" s="64"/>
      <c r="PNE20" s="64"/>
      <c r="PNF20" s="64"/>
      <c r="PNG20" s="64"/>
      <c r="PNH20" s="64"/>
      <c r="PNI20" s="64"/>
      <c r="PNJ20" s="64"/>
      <c r="PNK20" s="64"/>
      <c r="PNL20" s="64"/>
      <c r="PNM20" s="64"/>
      <c r="PNN20" s="64"/>
      <c r="PNO20" s="64"/>
      <c r="PNP20" s="64"/>
      <c r="PNQ20" s="64"/>
      <c r="PNR20" s="64"/>
      <c r="PNS20" s="64"/>
      <c r="PNT20" s="64"/>
      <c r="PNU20" s="64"/>
      <c r="PNV20" s="64"/>
      <c r="PNW20" s="64"/>
      <c r="PNX20" s="64"/>
      <c r="PNY20" s="64"/>
      <c r="PNZ20" s="64"/>
      <c r="POA20" s="64"/>
      <c r="POB20" s="64"/>
      <c r="POC20" s="64"/>
      <c r="POD20" s="64"/>
      <c r="POE20" s="64"/>
      <c r="POF20" s="64"/>
      <c r="POG20" s="64"/>
      <c r="POH20" s="64"/>
      <c r="POI20" s="64"/>
      <c r="POJ20" s="64"/>
      <c r="POK20" s="64"/>
      <c r="POL20" s="64"/>
      <c r="POM20" s="64"/>
      <c r="PON20" s="64"/>
      <c r="POO20" s="64"/>
      <c r="POP20" s="64"/>
      <c r="POQ20" s="64"/>
      <c r="POR20" s="64"/>
      <c r="POS20" s="64"/>
      <c r="POT20" s="64"/>
      <c r="POU20" s="64"/>
      <c r="POV20" s="64"/>
      <c r="POW20" s="64"/>
      <c r="POX20" s="64"/>
      <c r="POY20" s="64"/>
      <c r="POZ20" s="64"/>
      <c r="PPA20" s="64"/>
      <c r="PPB20" s="64"/>
      <c r="PPC20" s="64"/>
      <c r="PPD20" s="64"/>
      <c r="PPE20" s="64"/>
      <c r="PPF20" s="64"/>
      <c r="PPG20" s="64"/>
      <c r="PPH20" s="64"/>
      <c r="PPI20" s="64"/>
      <c r="PPJ20" s="64"/>
      <c r="PPK20" s="64"/>
      <c r="PPL20" s="64"/>
      <c r="PPM20" s="64"/>
      <c r="PPN20" s="64"/>
      <c r="PPO20" s="64"/>
      <c r="PPP20" s="64"/>
      <c r="PPQ20" s="64"/>
      <c r="PPR20" s="64"/>
      <c r="PPS20" s="64"/>
      <c r="PPT20" s="64"/>
      <c r="PPU20" s="64"/>
      <c r="PPV20" s="64"/>
      <c r="PPW20" s="64"/>
      <c r="PPX20" s="64"/>
      <c r="PPY20" s="64"/>
      <c r="PPZ20" s="64"/>
      <c r="PQA20" s="64"/>
      <c r="PQB20" s="64"/>
      <c r="PQC20" s="64"/>
      <c r="PQD20" s="64"/>
      <c r="PQE20" s="64"/>
      <c r="PQF20" s="64"/>
      <c r="PQG20" s="64"/>
      <c r="PQH20" s="64"/>
      <c r="PQI20" s="64"/>
      <c r="PQJ20" s="64"/>
      <c r="PQK20" s="64"/>
      <c r="PQL20" s="64"/>
      <c r="PQM20" s="64"/>
      <c r="PQN20" s="64"/>
      <c r="PQO20" s="64"/>
      <c r="PQP20" s="64"/>
      <c r="PQQ20" s="64"/>
      <c r="PQR20" s="64"/>
      <c r="PQS20" s="64"/>
      <c r="PQT20" s="64"/>
      <c r="PQU20" s="64"/>
      <c r="PQV20" s="64"/>
      <c r="PQW20" s="64"/>
      <c r="PQX20" s="64"/>
      <c r="PQY20" s="64"/>
      <c r="PQZ20" s="64"/>
      <c r="PRA20" s="64"/>
      <c r="PRB20" s="64"/>
      <c r="PRC20" s="64"/>
      <c r="PRD20" s="64"/>
      <c r="PRE20" s="64"/>
      <c r="PRF20" s="64"/>
      <c r="PRG20" s="64"/>
      <c r="PRH20" s="64"/>
      <c r="PRI20" s="64"/>
      <c r="PRJ20" s="64"/>
      <c r="PRK20" s="64"/>
      <c r="PRL20" s="64"/>
      <c r="PRM20" s="64"/>
      <c r="PRN20" s="64"/>
      <c r="PRO20" s="64"/>
      <c r="PRP20" s="64"/>
      <c r="PRQ20" s="64"/>
      <c r="PRR20" s="64"/>
      <c r="PRS20" s="64"/>
      <c r="PRT20" s="64"/>
      <c r="PRU20" s="64"/>
      <c r="PRV20" s="64"/>
      <c r="PRW20" s="64"/>
      <c r="PRX20" s="64"/>
      <c r="PRY20" s="64"/>
      <c r="PRZ20" s="64"/>
      <c r="PSA20" s="64"/>
      <c r="PSB20" s="64"/>
      <c r="PSC20" s="64"/>
      <c r="PSD20" s="64"/>
      <c r="PSE20" s="64"/>
      <c r="PSF20" s="64"/>
      <c r="PSG20" s="64"/>
      <c r="PSH20" s="64"/>
      <c r="PSI20" s="64"/>
      <c r="PSJ20" s="64"/>
      <c r="PSK20" s="64"/>
      <c r="PSL20" s="64"/>
      <c r="PSM20" s="64"/>
      <c r="PSN20" s="64"/>
      <c r="PSO20" s="64"/>
      <c r="PSP20" s="64"/>
      <c r="PSQ20" s="64"/>
      <c r="PSR20" s="64"/>
      <c r="PSS20" s="64"/>
      <c r="PST20" s="64"/>
      <c r="PSU20" s="64"/>
      <c r="PSV20" s="64"/>
      <c r="PSW20" s="64"/>
      <c r="PSX20" s="64"/>
      <c r="PSY20" s="64"/>
      <c r="PSZ20" s="64"/>
      <c r="PTA20" s="64"/>
      <c r="PTB20" s="64"/>
      <c r="PTC20" s="64"/>
      <c r="PTD20" s="64"/>
      <c r="PTE20" s="64"/>
      <c r="PTF20" s="64"/>
      <c r="PTG20" s="64"/>
      <c r="PTH20" s="64"/>
      <c r="PTI20" s="64"/>
      <c r="PTJ20" s="64"/>
      <c r="PTK20" s="64"/>
      <c r="PTL20" s="64"/>
      <c r="PTM20" s="64"/>
      <c r="PTN20" s="64"/>
      <c r="PTO20" s="64"/>
      <c r="PTP20" s="64"/>
      <c r="PTQ20" s="64"/>
      <c r="PTR20" s="64"/>
      <c r="PTS20" s="64"/>
      <c r="PTT20" s="64"/>
      <c r="PTU20" s="64"/>
      <c r="PTV20" s="64"/>
      <c r="PTW20" s="64"/>
      <c r="PTX20" s="64"/>
      <c r="PTY20" s="64"/>
      <c r="PTZ20" s="64"/>
      <c r="PUA20" s="64"/>
      <c r="PUB20" s="64"/>
      <c r="PUC20" s="64"/>
      <c r="PUD20" s="64"/>
      <c r="PUE20" s="64"/>
      <c r="PUF20" s="64"/>
      <c r="PUG20" s="64"/>
      <c r="PUH20" s="64"/>
      <c r="PUI20" s="64"/>
      <c r="PUJ20" s="64"/>
      <c r="PUK20" s="64"/>
      <c r="PUL20" s="64"/>
      <c r="PUM20" s="64"/>
      <c r="PUN20" s="64"/>
      <c r="PUO20" s="64"/>
      <c r="PUP20" s="64"/>
      <c r="PUQ20" s="64"/>
      <c r="PUR20" s="64"/>
      <c r="PUS20" s="64"/>
      <c r="PUT20" s="64"/>
      <c r="PUU20" s="64"/>
      <c r="PUV20" s="64"/>
      <c r="PUW20" s="64"/>
      <c r="PUX20" s="64"/>
      <c r="PUY20" s="64"/>
      <c r="PUZ20" s="64"/>
      <c r="PVA20" s="64"/>
      <c r="PVB20" s="64"/>
      <c r="PVC20" s="64"/>
      <c r="PVD20" s="64"/>
      <c r="PVE20" s="64"/>
      <c r="PVF20" s="64"/>
      <c r="PVG20" s="64"/>
      <c r="PVH20" s="64"/>
      <c r="PVI20" s="64"/>
      <c r="PVJ20" s="64"/>
      <c r="PVK20" s="64"/>
      <c r="PVL20" s="64"/>
      <c r="PVM20" s="64"/>
      <c r="PVN20" s="64"/>
      <c r="PVO20" s="64"/>
      <c r="PVP20" s="64"/>
      <c r="PVQ20" s="64"/>
      <c r="PVR20" s="64"/>
      <c r="PVS20" s="64"/>
      <c r="PVT20" s="64"/>
      <c r="PVU20" s="64"/>
      <c r="PVV20" s="64"/>
      <c r="PVW20" s="64"/>
      <c r="PVX20" s="64"/>
      <c r="PVY20" s="64"/>
      <c r="PVZ20" s="64"/>
      <c r="PWA20" s="64"/>
      <c r="PWB20" s="64"/>
      <c r="PWC20" s="64"/>
      <c r="PWD20" s="64"/>
      <c r="PWE20" s="64"/>
      <c r="PWF20" s="64"/>
      <c r="PWG20" s="64"/>
      <c r="PWH20" s="64"/>
      <c r="PWI20" s="64"/>
      <c r="PWJ20" s="64"/>
      <c r="PWK20" s="64"/>
      <c r="PWL20" s="64"/>
      <c r="PWM20" s="64"/>
      <c r="PWN20" s="64"/>
      <c r="PWO20" s="64"/>
      <c r="PWP20" s="64"/>
      <c r="PWQ20" s="64"/>
      <c r="PWR20" s="64"/>
      <c r="PWS20" s="64"/>
      <c r="PWT20" s="64"/>
      <c r="PWU20" s="64"/>
      <c r="PWV20" s="64"/>
      <c r="PWW20" s="64"/>
      <c r="PWX20" s="64"/>
      <c r="PWY20" s="64"/>
      <c r="PWZ20" s="64"/>
      <c r="PXA20" s="64"/>
      <c r="PXB20" s="64"/>
      <c r="PXC20" s="64"/>
      <c r="PXD20" s="64"/>
      <c r="PXE20" s="64"/>
      <c r="PXF20" s="64"/>
      <c r="PXG20" s="64"/>
      <c r="PXH20" s="64"/>
      <c r="PXI20" s="64"/>
      <c r="PXJ20" s="64"/>
      <c r="PXK20" s="64"/>
      <c r="PXL20" s="64"/>
      <c r="PXM20" s="64"/>
      <c r="PXN20" s="64"/>
      <c r="PXO20" s="64"/>
      <c r="PXP20" s="64"/>
      <c r="PXQ20" s="64"/>
      <c r="PXR20" s="64"/>
      <c r="PXS20" s="64"/>
      <c r="PXT20" s="64"/>
      <c r="PXU20" s="64"/>
      <c r="PXV20" s="64"/>
      <c r="PXW20" s="64"/>
      <c r="PXX20" s="64"/>
      <c r="PXY20" s="64"/>
      <c r="PXZ20" s="64"/>
      <c r="PYA20" s="64"/>
      <c r="PYB20" s="64"/>
      <c r="PYC20" s="64"/>
      <c r="PYD20" s="64"/>
      <c r="PYE20" s="64"/>
      <c r="PYF20" s="64"/>
      <c r="PYG20" s="64"/>
      <c r="PYH20" s="64"/>
      <c r="PYI20" s="64"/>
      <c r="PYJ20" s="64"/>
      <c r="PYK20" s="64"/>
      <c r="PYL20" s="64"/>
      <c r="PYM20" s="64"/>
      <c r="PYN20" s="64"/>
      <c r="PYO20" s="64"/>
      <c r="PYP20" s="64"/>
      <c r="PYQ20" s="64"/>
      <c r="PYR20" s="64"/>
      <c r="PYS20" s="64"/>
      <c r="PYT20" s="64"/>
      <c r="PYU20" s="64"/>
      <c r="PYV20" s="64"/>
      <c r="PYW20" s="64"/>
      <c r="PYX20" s="64"/>
      <c r="PYY20" s="64"/>
      <c r="PYZ20" s="64"/>
      <c r="PZA20" s="64"/>
      <c r="PZB20" s="64"/>
      <c r="PZC20" s="64"/>
      <c r="PZD20" s="64"/>
      <c r="PZE20" s="64"/>
      <c r="PZF20" s="64"/>
      <c r="PZG20" s="64"/>
      <c r="PZH20" s="64"/>
      <c r="PZI20" s="64"/>
      <c r="PZJ20" s="64"/>
      <c r="PZK20" s="64"/>
      <c r="PZL20" s="64"/>
      <c r="PZM20" s="64"/>
      <c r="PZN20" s="64"/>
      <c r="PZO20" s="64"/>
      <c r="PZP20" s="64"/>
      <c r="PZQ20" s="64"/>
      <c r="PZR20" s="64"/>
      <c r="PZS20" s="64"/>
      <c r="PZT20" s="64"/>
      <c r="PZU20" s="64"/>
      <c r="PZV20" s="64"/>
      <c r="PZW20" s="64"/>
      <c r="PZX20" s="64"/>
      <c r="PZY20" s="64"/>
      <c r="PZZ20" s="64"/>
      <c r="QAA20" s="64"/>
      <c r="QAB20" s="64"/>
      <c r="QAC20" s="64"/>
      <c r="QAD20" s="64"/>
      <c r="QAE20" s="64"/>
      <c r="QAF20" s="64"/>
      <c r="QAG20" s="64"/>
      <c r="QAH20" s="64"/>
      <c r="QAI20" s="64"/>
      <c r="QAJ20" s="64"/>
      <c r="QAK20" s="64"/>
      <c r="QAL20" s="64"/>
      <c r="QAM20" s="64"/>
      <c r="QAN20" s="64"/>
      <c r="QAO20" s="64"/>
      <c r="QAP20" s="64"/>
      <c r="QAQ20" s="64"/>
      <c r="QAR20" s="64"/>
      <c r="QAS20" s="64"/>
      <c r="QAT20" s="64"/>
      <c r="QAU20" s="64"/>
      <c r="QAV20" s="64"/>
      <c r="QAW20" s="64"/>
      <c r="QAX20" s="64"/>
      <c r="QAY20" s="64"/>
      <c r="QAZ20" s="64"/>
      <c r="QBA20" s="64"/>
      <c r="QBB20" s="64"/>
      <c r="QBC20" s="64"/>
      <c r="QBD20" s="64"/>
      <c r="QBE20" s="64"/>
      <c r="QBF20" s="64"/>
      <c r="QBG20" s="64"/>
      <c r="QBH20" s="64"/>
      <c r="QBI20" s="64"/>
      <c r="QBJ20" s="64"/>
      <c r="QBK20" s="64"/>
      <c r="QBL20" s="64"/>
      <c r="QBM20" s="64"/>
      <c r="QBN20" s="64"/>
      <c r="QBO20" s="64"/>
      <c r="QBP20" s="64"/>
      <c r="QBQ20" s="64"/>
      <c r="QBR20" s="64"/>
      <c r="QBS20" s="64"/>
      <c r="QBT20" s="64"/>
      <c r="QBU20" s="64"/>
      <c r="QBV20" s="64"/>
      <c r="QBW20" s="64"/>
      <c r="QBX20" s="64"/>
      <c r="QBY20" s="64"/>
      <c r="QBZ20" s="64"/>
      <c r="QCA20" s="64"/>
      <c r="QCB20" s="64"/>
      <c r="QCC20" s="64"/>
      <c r="QCD20" s="64"/>
      <c r="QCE20" s="64"/>
      <c r="QCF20" s="64"/>
      <c r="QCG20" s="64"/>
      <c r="QCH20" s="64"/>
      <c r="QCI20" s="64"/>
      <c r="QCJ20" s="64"/>
      <c r="QCK20" s="64"/>
      <c r="QCL20" s="64"/>
      <c r="QCM20" s="64"/>
      <c r="QCN20" s="64"/>
      <c r="QCO20" s="64"/>
      <c r="QCP20" s="64"/>
      <c r="QCQ20" s="64"/>
      <c r="QCR20" s="64"/>
      <c r="QCS20" s="64"/>
      <c r="QCT20" s="64"/>
      <c r="QCU20" s="64"/>
      <c r="QCV20" s="64"/>
      <c r="QCW20" s="64"/>
      <c r="QCX20" s="64"/>
      <c r="QCY20" s="64"/>
      <c r="QCZ20" s="64"/>
      <c r="QDA20" s="64"/>
      <c r="QDB20" s="64"/>
      <c r="QDC20" s="64"/>
      <c r="QDD20" s="64"/>
      <c r="QDE20" s="64"/>
      <c r="QDF20" s="64"/>
      <c r="QDG20" s="64"/>
      <c r="QDH20" s="64"/>
      <c r="QDI20" s="64"/>
      <c r="QDJ20" s="64"/>
      <c r="QDK20" s="64"/>
      <c r="QDL20" s="64"/>
      <c r="QDM20" s="64"/>
      <c r="QDN20" s="64"/>
      <c r="QDO20" s="64"/>
      <c r="QDP20" s="64"/>
      <c r="QDQ20" s="64"/>
      <c r="QDR20" s="64"/>
      <c r="QDS20" s="64"/>
      <c r="QDT20" s="64"/>
      <c r="QDU20" s="64"/>
      <c r="QDV20" s="64"/>
      <c r="QDW20" s="64"/>
      <c r="QDX20" s="64"/>
      <c r="QDY20" s="64"/>
      <c r="QDZ20" s="64"/>
      <c r="QEA20" s="64"/>
      <c r="QEB20" s="64"/>
      <c r="QEC20" s="64"/>
      <c r="QED20" s="64"/>
      <c r="QEE20" s="64"/>
      <c r="QEF20" s="64"/>
      <c r="QEG20" s="64"/>
      <c r="QEH20" s="64"/>
      <c r="QEI20" s="64"/>
      <c r="QEJ20" s="64"/>
      <c r="QEK20" s="64"/>
      <c r="QEL20" s="64"/>
      <c r="QEM20" s="64"/>
      <c r="QEN20" s="64"/>
      <c r="QEO20" s="64"/>
      <c r="QEP20" s="64"/>
      <c r="QEQ20" s="64"/>
      <c r="QER20" s="64"/>
      <c r="QES20" s="64"/>
      <c r="QET20" s="64"/>
      <c r="QEU20" s="64"/>
      <c r="QEV20" s="64"/>
      <c r="QEW20" s="64"/>
      <c r="QEX20" s="64"/>
      <c r="QEY20" s="64"/>
      <c r="QEZ20" s="64"/>
      <c r="QFA20" s="64"/>
      <c r="QFB20" s="64"/>
      <c r="QFC20" s="64"/>
      <c r="QFD20" s="64"/>
      <c r="QFE20" s="64"/>
      <c r="QFF20" s="64"/>
      <c r="QFG20" s="64"/>
      <c r="QFH20" s="64"/>
      <c r="QFI20" s="64"/>
      <c r="QFJ20" s="64"/>
      <c r="QFK20" s="64"/>
      <c r="QFL20" s="64"/>
      <c r="QFM20" s="64"/>
      <c r="QFN20" s="64"/>
      <c r="QFO20" s="64"/>
      <c r="QFP20" s="64"/>
      <c r="QFQ20" s="64"/>
      <c r="QFR20" s="64"/>
      <c r="QFS20" s="64"/>
      <c r="QFT20" s="64"/>
      <c r="QFU20" s="64"/>
      <c r="QFV20" s="64"/>
      <c r="QFW20" s="64"/>
      <c r="QFX20" s="64"/>
      <c r="QFY20" s="64"/>
      <c r="QFZ20" s="64"/>
      <c r="QGA20" s="64"/>
      <c r="QGB20" s="64"/>
      <c r="QGC20" s="64"/>
      <c r="QGD20" s="64"/>
      <c r="QGE20" s="64"/>
      <c r="QGF20" s="64"/>
      <c r="QGG20" s="64"/>
      <c r="QGH20" s="64"/>
      <c r="QGI20" s="64"/>
      <c r="QGJ20" s="64"/>
      <c r="QGK20" s="64"/>
      <c r="QGL20" s="64"/>
      <c r="QGM20" s="64"/>
      <c r="QGN20" s="64"/>
      <c r="QGO20" s="64"/>
      <c r="QGP20" s="64"/>
      <c r="QGQ20" s="64"/>
      <c r="QGR20" s="64"/>
      <c r="QGS20" s="64"/>
      <c r="QGT20" s="64"/>
      <c r="QGU20" s="64"/>
      <c r="QGV20" s="64"/>
      <c r="QGW20" s="64"/>
      <c r="QGX20" s="64"/>
      <c r="QGY20" s="64"/>
      <c r="QGZ20" s="64"/>
      <c r="QHA20" s="64"/>
      <c r="QHB20" s="64"/>
      <c r="QHC20" s="64"/>
      <c r="QHD20" s="64"/>
      <c r="QHE20" s="64"/>
      <c r="QHF20" s="64"/>
      <c r="QHG20" s="64"/>
      <c r="QHH20" s="64"/>
      <c r="QHI20" s="64"/>
      <c r="QHJ20" s="64"/>
      <c r="QHK20" s="64"/>
      <c r="QHL20" s="64"/>
      <c r="QHM20" s="64"/>
      <c r="QHN20" s="64"/>
      <c r="QHO20" s="64"/>
      <c r="QHP20" s="64"/>
      <c r="QHQ20" s="64"/>
      <c r="QHR20" s="64"/>
      <c r="QHS20" s="64"/>
      <c r="QHT20" s="64"/>
      <c r="QHU20" s="64"/>
      <c r="QHV20" s="64"/>
      <c r="QHW20" s="64"/>
      <c r="QHX20" s="64"/>
      <c r="QHY20" s="64"/>
      <c r="QHZ20" s="64"/>
      <c r="QIA20" s="64"/>
      <c r="QIB20" s="64"/>
      <c r="QIC20" s="64"/>
      <c r="QID20" s="64"/>
      <c r="QIE20" s="64"/>
      <c r="QIF20" s="64"/>
      <c r="QIG20" s="64"/>
      <c r="QIH20" s="64"/>
      <c r="QII20" s="64"/>
      <c r="QIJ20" s="64"/>
      <c r="QIK20" s="64"/>
      <c r="QIL20" s="64"/>
      <c r="QIM20" s="64"/>
      <c r="QIN20" s="64"/>
      <c r="QIO20" s="64"/>
      <c r="QIP20" s="64"/>
      <c r="QIQ20" s="64"/>
      <c r="QIR20" s="64"/>
      <c r="QIS20" s="64"/>
      <c r="QIT20" s="64"/>
      <c r="QIU20" s="64"/>
      <c r="QIV20" s="64"/>
      <c r="QIW20" s="64"/>
      <c r="QIX20" s="64"/>
      <c r="QIY20" s="64"/>
      <c r="QIZ20" s="64"/>
      <c r="QJA20" s="64"/>
      <c r="QJB20" s="64"/>
      <c r="QJC20" s="64"/>
      <c r="QJD20" s="64"/>
      <c r="QJE20" s="64"/>
      <c r="QJF20" s="64"/>
      <c r="QJG20" s="64"/>
      <c r="QJH20" s="64"/>
      <c r="QJI20" s="64"/>
      <c r="QJJ20" s="64"/>
      <c r="QJK20" s="64"/>
      <c r="QJL20" s="64"/>
      <c r="QJM20" s="64"/>
      <c r="QJN20" s="64"/>
      <c r="QJO20" s="64"/>
      <c r="QJP20" s="64"/>
      <c r="QJQ20" s="64"/>
      <c r="QJR20" s="64"/>
      <c r="QJS20" s="64"/>
      <c r="QJT20" s="64"/>
      <c r="QJU20" s="64"/>
      <c r="QJV20" s="64"/>
      <c r="QJW20" s="64"/>
      <c r="QJX20" s="64"/>
      <c r="QJY20" s="64"/>
      <c r="QJZ20" s="64"/>
      <c r="QKA20" s="64"/>
      <c r="QKB20" s="64"/>
      <c r="QKC20" s="64"/>
      <c r="QKD20" s="64"/>
      <c r="QKE20" s="64"/>
      <c r="QKF20" s="64"/>
      <c r="QKG20" s="64"/>
      <c r="QKH20" s="64"/>
      <c r="QKI20" s="64"/>
      <c r="QKJ20" s="64"/>
      <c r="QKK20" s="64"/>
      <c r="QKL20" s="64"/>
      <c r="QKM20" s="64"/>
      <c r="QKN20" s="64"/>
      <c r="QKO20" s="64"/>
      <c r="QKP20" s="64"/>
      <c r="QKQ20" s="64"/>
      <c r="QKR20" s="64"/>
      <c r="QKS20" s="64"/>
      <c r="QKT20" s="64"/>
      <c r="QKU20" s="64"/>
      <c r="QKV20" s="64"/>
      <c r="QKW20" s="64"/>
      <c r="QKX20" s="64"/>
      <c r="QKY20" s="64"/>
      <c r="QKZ20" s="64"/>
      <c r="QLA20" s="64"/>
      <c r="QLB20" s="64"/>
      <c r="QLC20" s="64"/>
      <c r="QLD20" s="64"/>
      <c r="QLE20" s="64"/>
      <c r="QLF20" s="64"/>
      <c r="QLG20" s="64"/>
      <c r="QLH20" s="64"/>
      <c r="QLI20" s="64"/>
      <c r="QLJ20" s="64"/>
      <c r="QLK20" s="64"/>
      <c r="QLL20" s="64"/>
      <c r="QLM20" s="64"/>
      <c r="QLN20" s="64"/>
      <c r="QLO20" s="64"/>
      <c r="QLP20" s="64"/>
      <c r="QLQ20" s="64"/>
      <c r="QLR20" s="64"/>
      <c r="QLS20" s="64"/>
      <c r="QLT20" s="64"/>
      <c r="QLU20" s="64"/>
      <c r="QLV20" s="64"/>
      <c r="QLW20" s="64"/>
      <c r="QLX20" s="64"/>
      <c r="QLY20" s="64"/>
      <c r="QLZ20" s="64"/>
      <c r="QMA20" s="64"/>
      <c r="QMB20" s="64"/>
      <c r="QMC20" s="64"/>
      <c r="QMD20" s="64"/>
      <c r="QME20" s="64"/>
      <c r="QMF20" s="64"/>
      <c r="QMG20" s="64"/>
      <c r="QMH20" s="64"/>
      <c r="QMI20" s="64"/>
      <c r="QMJ20" s="64"/>
      <c r="QMK20" s="64"/>
      <c r="QML20" s="64"/>
      <c r="QMM20" s="64"/>
      <c r="QMN20" s="64"/>
      <c r="QMO20" s="64"/>
      <c r="QMP20" s="64"/>
      <c r="QMQ20" s="64"/>
      <c r="QMR20" s="64"/>
      <c r="QMS20" s="64"/>
      <c r="QMT20" s="64"/>
      <c r="QMU20" s="64"/>
      <c r="QMV20" s="64"/>
      <c r="QMW20" s="64"/>
      <c r="QMX20" s="64"/>
      <c r="QMY20" s="64"/>
      <c r="QMZ20" s="64"/>
      <c r="QNA20" s="64"/>
      <c r="QNB20" s="64"/>
      <c r="QNC20" s="64"/>
      <c r="QND20" s="64"/>
      <c r="QNE20" s="64"/>
      <c r="QNF20" s="64"/>
      <c r="QNG20" s="64"/>
      <c r="QNH20" s="64"/>
      <c r="QNI20" s="64"/>
      <c r="QNJ20" s="64"/>
      <c r="QNK20" s="64"/>
      <c r="QNL20" s="64"/>
      <c r="QNM20" s="64"/>
      <c r="QNN20" s="64"/>
      <c r="QNO20" s="64"/>
      <c r="QNP20" s="64"/>
      <c r="QNQ20" s="64"/>
      <c r="QNR20" s="64"/>
      <c r="QNS20" s="64"/>
      <c r="QNT20" s="64"/>
      <c r="QNU20" s="64"/>
      <c r="QNV20" s="64"/>
      <c r="QNW20" s="64"/>
      <c r="QNX20" s="64"/>
      <c r="QNY20" s="64"/>
      <c r="QNZ20" s="64"/>
      <c r="QOA20" s="64"/>
      <c r="QOB20" s="64"/>
      <c r="QOC20" s="64"/>
      <c r="QOD20" s="64"/>
      <c r="QOE20" s="64"/>
      <c r="QOF20" s="64"/>
      <c r="QOG20" s="64"/>
      <c r="QOH20" s="64"/>
      <c r="QOI20" s="64"/>
      <c r="QOJ20" s="64"/>
      <c r="QOK20" s="64"/>
      <c r="QOL20" s="64"/>
      <c r="QOM20" s="64"/>
      <c r="QON20" s="64"/>
      <c r="QOO20" s="64"/>
      <c r="QOP20" s="64"/>
      <c r="QOQ20" s="64"/>
      <c r="QOR20" s="64"/>
      <c r="QOS20" s="64"/>
      <c r="QOT20" s="64"/>
      <c r="QOU20" s="64"/>
      <c r="QOV20" s="64"/>
      <c r="QOW20" s="64"/>
      <c r="QOX20" s="64"/>
      <c r="QOY20" s="64"/>
      <c r="QOZ20" s="64"/>
      <c r="QPA20" s="64"/>
      <c r="QPB20" s="64"/>
      <c r="QPC20" s="64"/>
      <c r="QPD20" s="64"/>
      <c r="QPE20" s="64"/>
      <c r="QPF20" s="64"/>
      <c r="QPG20" s="64"/>
      <c r="QPH20" s="64"/>
      <c r="QPI20" s="64"/>
      <c r="QPJ20" s="64"/>
      <c r="QPK20" s="64"/>
      <c r="QPL20" s="64"/>
      <c r="QPM20" s="64"/>
      <c r="QPN20" s="64"/>
      <c r="QPO20" s="64"/>
      <c r="QPP20" s="64"/>
      <c r="QPQ20" s="64"/>
      <c r="QPR20" s="64"/>
      <c r="QPS20" s="64"/>
      <c r="QPT20" s="64"/>
      <c r="QPU20" s="64"/>
      <c r="QPV20" s="64"/>
      <c r="QPW20" s="64"/>
      <c r="QPX20" s="64"/>
      <c r="QPY20" s="64"/>
      <c r="QPZ20" s="64"/>
      <c r="QQA20" s="64"/>
      <c r="QQB20" s="64"/>
      <c r="QQC20" s="64"/>
      <c r="QQD20" s="64"/>
      <c r="QQE20" s="64"/>
      <c r="QQF20" s="64"/>
      <c r="QQG20" s="64"/>
      <c r="QQH20" s="64"/>
      <c r="QQI20" s="64"/>
      <c r="QQJ20" s="64"/>
      <c r="QQK20" s="64"/>
      <c r="QQL20" s="64"/>
      <c r="QQM20" s="64"/>
      <c r="QQN20" s="64"/>
      <c r="QQO20" s="64"/>
      <c r="QQP20" s="64"/>
      <c r="QQQ20" s="64"/>
      <c r="QQR20" s="64"/>
      <c r="QQS20" s="64"/>
      <c r="QQT20" s="64"/>
      <c r="QQU20" s="64"/>
      <c r="QQV20" s="64"/>
      <c r="QQW20" s="64"/>
      <c r="QQX20" s="64"/>
      <c r="QQY20" s="64"/>
      <c r="QQZ20" s="64"/>
      <c r="QRA20" s="64"/>
      <c r="QRB20" s="64"/>
      <c r="QRC20" s="64"/>
      <c r="QRD20" s="64"/>
      <c r="QRE20" s="64"/>
      <c r="QRF20" s="64"/>
      <c r="QRG20" s="64"/>
      <c r="QRH20" s="64"/>
      <c r="QRI20" s="64"/>
      <c r="QRJ20" s="64"/>
      <c r="QRK20" s="64"/>
      <c r="QRL20" s="64"/>
      <c r="QRM20" s="64"/>
      <c r="QRN20" s="64"/>
      <c r="QRO20" s="64"/>
      <c r="QRP20" s="64"/>
      <c r="QRQ20" s="64"/>
      <c r="QRR20" s="64"/>
      <c r="QRS20" s="64"/>
      <c r="QRT20" s="64"/>
      <c r="QRU20" s="64"/>
      <c r="QRV20" s="64"/>
      <c r="QRW20" s="64"/>
      <c r="QRX20" s="64"/>
      <c r="QRY20" s="64"/>
      <c r="QRZ20" s="64"/>
      <c r="QSA20" s="64"/>
      <c r="QSB20" s="64"/>
      <c r="QSC20" s="64"/>
      <c r="QSD20" s="64"/>
      <c r="QSE20" s="64"/>
      <c r="QSF20" s="64"/>
      <c r="QSG20" s="64"/>
      <c r="QSH20" s="64"/>
      <c r="QSI20" s="64"/>
      <c r="QSJ20" s="64"/>
      <c r="QSK20" s="64"/>
      <c r="QSL20" s="64"/>
      <c r="QSM20" s="64"/>
      <c r="QSN20" s="64"/>
      <c r="QSO20" s="64"/>
      <c r="QSP20" s="64"/>
      <c r="QSQ20" s="64"/>
      <c r="QSR20" s="64"/>
      <c r="QSS20" s="64"/>
      <c r="QST20" s="64"/>
      <c r="QSU20" s="64"/>
      <c r="QSV20" s="64"/>
      <c r="QSW20" s="64"/>
      <c r="QSX20" s="64"/>
      <c r="QSY20" s="64"/>
      <c r="QSZ20" s="64"/>
      <c r="QTA20" s="64"/>
      <c r="QTB20" s="64"/>
      <c r="QTC20" s="64"/>
      <c r="QTD20" s="64"/>
      <c r="QTE20" s="64"/>
      <c r="QTF20" s="64"/>
      <c r="QTG20" s="64"/>
      <c r="QTH20" s="64"/>
      <c r="QTI20" s="64"/>
      <c r="QTJ20" s="64"/>
      <c r="QTK20" s="64"/>
      <c r="QTL20" s="64"/>
      <c r="QTM20" s="64"/>
      <c r="QTN20" s="64"/>
      <c r="QTO20" s="64"/>
      <c r="QTP20" s="64"/>
      <c r="QTQ20" s="64"/>
      <c r="QTR20" s="64"/>
      <c r="QTS20" s="64"/>
      <c r="QTT20" s="64"/>
      <c r="QTU20" s="64"/>
      <c r="QTV20" s="64"/>
      <c r="QTW20" s="64"/>
      <c r="QTX20" s="64"/>
      <c r="QTY20" s="64"/>
      <c r="QTZ20" s="64"/>
      <c r="QUA20" s="64"/>
      <c r="QUB20" s="64"/>
      <c r="QUC20" s="64"/>
      <c r="QUD20" s="64"/>
      <c r="QUE20" s="64"/>
      <c r="QUF20" s="64"/>
      <c r="QUG20" s="64"/>
      <c r="QUH20" s="64"/>
      <c r="QUI20" s="64"/>
      <c r="QUJ20" s="64"/>
      <c r="QUK20" s="64"/>
      <c r="QUL20" s="64"/>
      <c r="QUM20" s="64"/>
      <c r="QUN20" s="64"/>
      <c r="QUO20" s="64"/>
      <c r="QUP20" s="64"/>
      <c r="QUQ20" s="64"/>
      <c r="QUR20" s="64"/>
      <c r="QUS20" s="64"/>
      <c r="QUT20" s="64"/>
      <c r="QUU20" s="64"/>
      <c r="QUV20" s="64"/>
      <c r="QUW20" s="64"/>
      <c r="QUX20" s="64"/>
      <c r="QUY20" s="64"/>
      <c r="QUZ20" s="64"/>
      <c r="QVA20" s="64"/>
      <c r="QVB20" s="64"/>
      <c r="QVC20" s="64"/>
      <c r="QVD20" s="64"/>
      <c r="QVE20" s="64"/>
      <c r="QVF20" s="64"/>
      <c r="QVG20" s="64"/>
      <c r="QVH20" s="64"/>
      <c r="QVI20" s="64"/>
      <c r="QVJ20" s="64"/>
      <c r="QVK20" s="64"/>
      <c r="QVL20" s="64"/>
      <c r="QVM20" s="64"/>
      <c r="QVN20" s="64"/>
      <c r="QVO20" s="64"/>
      <c r="QVP20" s="64"/>
      <c r="QVQ20" s="64"/>
      <c r="QVR20" s="64"/>
      <c r="QVS20" s="64"/>
      <c r="QVT20" s="64"/>
      <c r="QVU20" s="64"/>
      <c r="QVV20" s="64"/>
      <c r="QVW20" s="64"/>
      <c r="QVX20" s="64"/>
      <c r="QVY20" s="64"/>
      <c r="QVZ20" s="64"/>
      <c r="QWA20" s="64"/>
      <c r="QWB20" s="64"/>
      <c r="QWC20" s="64"/>
      <c r="QWD20" s="64"/>
      <c r="QWE20" s="64"/>
      <c r="QWF20" s="64"/>
      <c r="QWG20" s="64"/>
      <c r="QWH20" s="64"/>
      <c r="QWI20" s="64"/>
      <c r="QWJ20" s="64"/>
      <c r="QWK20" s="64"/>
      <c r="QWL20" s="64"/>
      <c r="QWM20" s="64"/>
      <c r="QWN20" s="64"/>
      <c r="QWO20" s="64"/>
      <c r="QWP20" s="64"/>
      <c r="QWQ20" s="64"/>
      <c r="QWR20" s="64"/>
      <c r="QWS20" s="64"/>
      <c r="QWT20" s="64"/>
      <c r="QWU20" s="64"/>
      <c r="QWV20" s="64"/>
      <c r="QWW20" s="64"/>
      <c r="QWX20" s="64"/>
      <c r="QWY20" s="64"/>
      <c r="QWZ20" s="64"/>
      <c r="QXA20" s="64"/>
      <c r="QXB20" s="64"/>
      <c r="QXC20" s="64"/>
      <c r="QXD20" s="64"/>
      <c r="QXE20" s="64"/>
      <c r="QXF20" s="64"/>
      <c r="QXG20" s="64"/>
      <c r="QXH20" s="64"/>
      <c r="QXI20" s="64"/>
      <c r="QXJ20" s="64"/>
      <c r="QXK20" s="64"/>
      <c r="QXL20" s="64"/>
      <c r="QXM20" s="64"/>
      <c r="QXN20" s="64"/>
      <c r="QXO20" s="64"/>
      <c r="QXP20" s="64"/>
      <c r="QXQ20" s="64"/>
      <c r="QXR20" s="64"/>
      <c r="QXS20" s="64"/>
      <c r="QXT20" s="64"/>
      <c r="QXU20" s="64"/>
      <c r="QXV20" s="64"/>
      <c r="QXW20" s="64"/>
      <c r="QXX20" s="64"/>
      <c r="QXY20" s="64"/>
      <c r="QXZ20" s="64"/>
      <c r="QYA20" s="64"/>
      <c r="QYB20" s="64"/>
      <c r="QYC20" s="64"/>
      <c r="QYD20" s="64"/>
      <c r="QYE20" s="64"/>
      <c r="QYF20" s="64"/>
      <c r="QYG20" s="64"/>
      <c r="QYH20" s="64"/>
      <c r="QYI20" s="64"/>
      <c r="QYJ20" s="64"/>
      <c r="QYK20" s="64"/>
      <c r="QYL20" s="64"/>
      <c r="QYM20" s="64"/>
      <c r="QYN20" s="64"/>
      <c r="QYO20" s="64"/>
      <c r="QYP20" s="64"/>
      <c r="QYQ20" s="64"/>
      <c r="QYR20" s="64"/>
      <c r="QYS20" s="64"/>
      <c r="QYT20" s="64"/>
      <c r="QYU20" s="64"/>
      <c r="QYV20" s="64"/>
      <c r="QYW20" s="64"/>
      <c r="QYX20" s="64"/>
      <c r="QYY20" s="64"/>
      <c r="QYZ20" s="64"/>
      <c r="QZA20" s="64"/>
      <c r="QZB20" s="64"/>
      <c r="QZC20" s="64"/>
      <c r="QZD20" s="64"/>
      <c r="QZE20" s="64"/>
      <c r="QZF20" s="64"/>
      <c r="QZG20" s="64"/>
      <c r="QZH20" s="64"/>
      <c r="QZI20" s="64"/>
      <c r="QZJ20" s="64"/>
      <c r="QZK20" s="64"/>
      <c r="QZL20" s="64"/>
      <c r="QZM20" s="64"/>
      <c r="QZN20" s="64"/>
      <c r="QZO20" s="64"/>
      <c r="QZP20" s="64"/>
      <c r="QZQ20" s="64"/>
      <c r="QZR20" s="64"/>
      <c r="QZS20" s="64"/>
      <c r="QZT20" s="64"/>
      <c r="QZU20" s="64"/>
      <c r="QZV20" s="64"/>
      <c r="QZW20" s="64"/>
      <c r="QZX20" s="64"/>
      <c r="QZY20" s="64"/>
      <c r="QZZ20" s="64"/>
      <c r="RAA20" s="64"/>
      <c r="RAB20" s="64"/>
      <c r="RAC20" s="64"/>
      <c r="RAD20" s="64"/>
      <c r="RAE20" s="64"/>
      <c r="RAF20" s="64"/>
      <c r="RAG20" s="64"/>
      <c r="RAH20" s="64"/>
      <c r="RAI20" s="64"/>
      <c r="RAJ20" s="64"/>
      <c r="RAK20" s="64"/>
      <c r="RAL20" s="64"/>
      <c r="RAM20" s="64"/>
      <c r="RAN20" s="64"/>
      <c r="RAO20" s="64"/>
      <c r="RAP20" s="64"/>
      <c r="RAQ20" s="64"/>
      <c r="RAR20" s="64"/>
      <c r="RAS20" s="64"/>
      <c r="RAT20" s="64"/>
      <c r="RAU20" s="64"/>
      <c r="RAV20" s="64"/>
      <c r="RAW20" s="64"/>
      <c r="RAX20" s="64"/>
      <c r="RAY20" s="64"/>
      <c r="RAZ20" s="64"/>
      <c r="RBA20" s="64"/>
      <c r="RBB20" s="64"/>
      <c r="RBC20" s="64"/>
      <c r="RBD20" s="64"/>
      <c r="RBE20" s="64"/>
      <c r="RBF20" s="64"/>
      <c r="RBG20" s="64"/>
      <c r="RBH20" s="64"/>
      <c r="RBI20" s="64"/>
      <c r="RBJ20" s="64"/>
      <c r="RBK20" s="64"/>
      <c r="RBL20" s="64"/>
      <c r="RBM20" s="64"/>
      <c r="RBN20" s="64"/>
      <c r="RBO20" s="64"/>
      <c r="RBP20" s="64"/>
      <c r="RBQ20" s="64"/>
      <c r="RBR20" s="64"/>
      <c r="RBS20" s="64"/>
      <c r="RBT20" s="64"/>
      <c r="RBU20" s="64"/>
      <c r="RBV20" s="64"/>
      <c r="RBW20" s="64"/>
      <c r="RBX20" s="64"/>
      <c r="RBY20" s="64"/>
      <c r="RBZ20" s="64"/>
      <c r="RCA20" s="64"/>
      <c r="RCB20" s="64"/>
      <c r="RCC20" s="64"/>
      <c r="RCD20" s="64"/>
      <c r="RCE20" s="64"/>
      <c r="RCF20" s="64"/>
      <c r="RCG20" s="64"/>
      <c r="RCH20" s="64"/>
      <c r="RCI20" s="64"/>
      <c r="RCJ20" s="64"/>
      <c r="RCK20" s="64"/>
      <c r="RCL20" s="64"/>
      <c r="RCM20" s="64"/>
      <c r="RCN20" s="64"/>
      <c r="RCO20" s="64"/>
      <c r="RCP20" s="64"/>
      <c r="RCQ20" s="64"/>
      <c r="RCR20" s="64"/>
      <c r="RCS20" s="64"/>
      <c r="RCT20" s="64"/>
      <c r="RCU20" s="64"/>
      <c r="RCV20" s="64"/>
      <c r="RCW20" s="64"/>
      <c r="RCX20" s="64"/>
      <c r="RCY20" s="64"/>
      <c r="RCZ20" s="64"/>
      <c r="RDA20" s="64"/>
      <c r="RDB20" s="64"/>
      <c r="RDC20" s="64"/>
      <c r="RDD20" s="64"/>
      <c r="RDE20" s="64"/>
      <c r="RDF20" s="64"/>
      <c r="RDG20" s="64"/>
      <c r="RDH20" s="64"/>
      <c r="RDI20" s="64"/>
      <c r="RDJ20" s="64"/>
      <c r="RDK20" s="64"/>
      <c r="RDL20" s="64"/>
      <c r="RDM20" s="64"/>
      <c r="RDN20" s="64"/>
      <c r="RDO20" s="64"/>
      <c r="RDP20" s="64"/>
      <c r="RDQ20" s="64"/>
      <c r="RDR20" s="64"/>
      <c r="RDS20" s="64"/>
      <c r="RDT20" s="64"/>
      <c r="RDU20" s="64"/>
      <c r="RDV20" s="64"/>
      <c r="RDW20" s="64"/>
      <c r="RDX20" s="64"/>
      <c r="RDY20" s="64"/>
      <c r="RDZ20" s="64"/>
      <c r="REA20" s="64"/>
      <c r="REB20" s="64"/>
      <c r="REC20" s="64"/>
      <c r="RED20" s="64"/>
      <c r="REE20" s="64"/>
      <c r="REF20" s="64"/>
      <c r="REG20" s="64"/>
      <c r="REH20" s="64"/>
      <c r="REI20" s="64"/>
      <c r="REJ20" s="64"/>
      <c r="REK20" s="64"/>
      <c r="REL20" s="64"/>
      <c r="REM20" s="64"/>
      <c r="REN20" s="64"/>
      <c r="REO20" s="64"/>
      <c r="REP20" s="64"/>
      <c r="REQ20" s="64"/>
      <c r="RER20" s="64"/>
      <c r="RES20" s="64"/>
      <c r="RET20" s="64"/>
      <c r="REU20" s="64"/>
      <c r="REV20" s="64"/>
      <c r="REW20" s="64"/>
      <c r="REX20" s="64"/>
      <c r="REY20" s="64"/>
      <c r="REZ20" s="64"/>
      <c r="RFA20" s="64"/>
      <c r="RFB20" s="64"/>
      <c r="RFC20" s="64"/>
      <c r="RFD20" s="64"/>
      <c r="RFE20" s="64"/>
      <c r="RFF20" s="64"/>
      <c r="RFG20" s="64"/>
      <c r="RFH20" s="64"/>
      <c r="RFI20" s="64"/>
      <c r="RFJ20" s="64"/>
      <c r="RFK20" s="64"/>
      <c r="RFL20" s="64"/>
      <c r="RFM20" s="64"/>
      <c r="RFN20" s="64"/>
      <c r="RFO20" s="64"/>
      <c r="RFP20" s="64"/>
      <c r="RFQ20" s="64"/>
      <c r="RFR20" s="64"/>
      <c r="RFS20" s="64"/>
      <c r="RFT20" s="64"/>
      <c r="RFU20" s="64"/>
      <c r="RFV20" s="64"/>
      <c r="RFW20" s="64"/>
      <c r="RFX20" s="64"/>
      <c r="RFY20" s="64"/>
      <c r="RFZ20" s="64"/>
      <c r="RGA20" s="64"/>
      <c r="RGB20" s="64"/>
      <c r="RGC20" s="64"/>
      <c r="RGD20" s="64"/>
      <c r="RGE20" s="64"/>
      <c r="RGF20" s="64"/>
      <c r="RGG20" s="64"/>
      <c r="RGH20" s="64"/>
      <c r="RGI20" s="64"/>
      <c r="RGJ20" s="64"/>
      <c r="RGK20" s="64"/>
      <c r="RGL20" s="64"/>
      <c r="RGM20" s="64"/>
      <c r="RGN20" s="64"/>
      <c r="RGO20" s="64"/>
      <c r="RGP20" s="64"/>
      <c r="RGQ20" s="64"/>
      <c r="RGR20" s="64"/>
      <c r="RGS20" s="64"/>
      <c r="RGT20" s="64"/>
      <c r="RGU20" s="64"/>
      <c r="RGV20" s="64"/>
      <c r="RGW20" s="64"/>
      <c r="RGX20" s="64"/>
      <c r="RGY20" s="64"/>
      <c r="RGZ20" s="64"/>
      <c r="RHA20" s="64"/>
      <c r="RHB20" s="64"/>
      <c r="RHC20" s="64"/>
      <c r="RHD20" s="64"/>
      <c r="RHE20" s="64"/>
      <c r="RHF20" s="64"/>
      <c r="RHG20" s="64"/>
      <c r="RHH20" s="64"/>
      <c r="RHI20" s="64"/>
      <c r="RHJ20" s="64"/>
      <c r="RHK20" s="64"/>
      <c r="RHL20" s="64"/>
      <c r="RHM20" s="64"/>
      <c r="RHN20" s="64"/>
      <c r="RHO20" s="64"/>
      <c r="RHP20" s="64"/>
      <c r="RHQ20" s="64"/>
      <c r="RHR20" s="64"/>
      <c r="RHS20" s="64"/>
      <c r="RHT20" s="64"/>
      <c r="RHU20" s="64"/>
      <c r="RHV20" s="64"/>
      <c r="RHW20" s="64"/>
      <c r="RHX20" s="64"/>
      <c r="RHY20" s="64"/>
      <c r="RHZ20" s="64"/>
      <c r="RIA20" s="64"/>
      <c r="RIB20" s="64"/>
      <c r="RIC20" s="64"/>
      <c r="RID20" s="64"/>
      <c r="RIE20" s="64"/>
      <c r="RIF20" s="64"/>
      <c r="RIG20" s="64"/>
      <c r="RIH20" s="64"/>
      <c r="RII20" s="64"/>
      <c r="RIJ20" s="64"/>
      <c r="RIK20" s="64"/>
      <c r="RIL20" s="64"/>
      <c r="RIM20" s="64"/>
      <c r="RIN20" s="64"/>
      <c r="RIO20" s="64"/>
      <c r="RIP20" s="64"/>
      <c r="RIQ20" s="64"/>
      <c r="RIR20" s="64"/>
      <c r="RIS20" s="64"/>
      <c r="RIT20" s="64"/>
      <c r="RIU20" s="64"/>
      <c r="RIV20" s="64"/>
      <c r="RIW20" s="64"/>
      <c r="RIX20" s="64"/>
      <c r="RIY20" s="64"/>
      <c r="RIZ20" s="64"/>
      <c r="RJA20" s="64"/>
      <c r="RJB20" s="64"/>
      <c r="RJC20" s="64"/>
      <c r="RJD20" s="64"/>
      <c r="RJE20" s="64"/>
      <c r="RJF20" s="64"/>
      <c r="RJG20" s="64"/>
      <c r="RJH20" s="64"/>
      <c r="RJI20" s="64"/>
      <c r="RJJ20" s="64"/>
      <c r="RJK20" s="64"/>
      <c r="RJL20" s="64"/>
      <c r="RJM20" s="64"/>
      <c r="RJN20" s="64"/>
      <c r="RJO20" s="64"/>
      <c r="RJP20" s="64"/>
      <c r="RJQ20" s="64"/>
      <c r="RJR20" s="64"/>
      <c r="RJS20" s="64"/>
      <c r="RJT20" s="64"/>
      <c r="RJU20" s="64"/>
      <c r="RJV20" s="64"/>
      <c r="RJW20" s="64"/>
      <c r="RJX20" s="64"/>
      <c r="RJY20" s="64"/>
      <c r="RJZ20" s="64"/>
      <c r="RKA20" s="64"/>
      <c r="RKB20" s="64"/>
      <c r="RKC20" s="64"/>
      <c r="RKD20" s="64"/>
      <c r="RKE20" s="64"/>
      <c r="RKF20" s="64"/>
      <c r="RKG20" s="64"/>
      <c r="RKH20" s="64"/>
      <c r="RKI20" s="64"/>
      <c r="RKJ20" s="64"/>
      <c r="RKK20" s="64"/>
      <c r="RKL20" s="64"/>
      <c r="RKM20" s="64"/>
      <c r="RKN20" s="64"/>
      <c r="RKO20" s="64"/>
      <c r="RKP20" s="64"/>
      <c r="RKQ20" s="64"/>
      <c r="RKR20" s="64"/>
      <c r="RKS20" s="64"/>
      <c r="RKT20" s="64"/>
      <c r="RKU20" s="64"/>
      <c r="RKV20" s="64"/>
      <c r="RKW20" s="64"/>
      <c r="RKX20" s="64"/>
      <c r="RKY20" s="64"/>
      <c r="RKZ20" s="64"/>
      <c r="RLA20" s="64"/>
      <c r="RLB20" s="64"/>
      <c r="RLC20" s="64"/>
      <c r="RLD20" s="64"/>
      <c r="RLE20" s="64"/>
      <c r="RLF20" s="64"/>
      <c r="RLG20" s="64"/>
      <c r="RLH20" s="64"/>
      <c r="RLI20" s="64"/>
      <c r="RLJ20" s="64"/>
      <c r="RLK20" s="64"/>
      <c r="RLL20" s="64"/>
      <c r="RLM20" s="64"/>
      <c r="RLN20" s="64"/>
      <c r="RLO20" s="64"/>
      <c r="RLP20" s="64"/>
      <c r="RLQ20" s="64"/>
      <c r="RLR20" s="64"/>
      <c r="RLS20" s="64"/>
      <c r="RLT20" s="64"/>
      <c r="RLU20" s="64"/>
      <c r="RLV20" s="64"/>
      <c r="RLW20" s="64"/>
      <c r="RLX20" s="64"/>
      <c r="RLY20" s="64"/>
      <c r="RLZ20" s="64"/>
      <c r="RMA20" s="64"/>
      <c r="RMB20" s="64"/>
      <c r="RMC20" s="64"/>
      <c r="RMD20" s="64"/>
      <c r="RME20" s="64"/>
      <c r="RMF20" s="64"/>
      <c r="RMG20" s="64"/>
      <c r="RMH20" s="64"/>
      <c r="RMI20" s="64"/>
      <c r="RMJ20" s="64"/>
      <c r="RMK20" s="64"/>
      <c r="RML20" s="64"/>
      <c r="RMM20" s="64"/>
      <c r="RMN20" s="64"/>
      <c r="RMO20" s="64"/>
      <c r="RMP20" s="64"/>
      <c r="RMQ20" s="64"/>
      <c r="RMR20" s="64"/>
      <c r="RMS20" s="64"/>
      <c r="RMT20" s="64"/>
      <c r="RMU20" s="64"/>
      <c r="RMV20" s="64"/>
      <c r="RMW20" s="64"/>
      <c r="RMX20" s="64"/>
      <c r="RMY20" s="64"/>
      <c r="RMZ20" s="64"/>
      <c r="RNA20" s="64"/>
      <c r="RNB20" s="64"/>
      <c r="RNC20" s="64"/>
      <c r="RND20" s="64"/>
      <c r="RNE20" s="64"/>
      <c r="RNF20" s="64"/>
      <c r="RNG20" s="64"/>
      <c r="RNH20" s="64"/>
      <c r="RNI20" s="64"/>
      <c r="RNJ20" s="64"/>
      <c r="RNK20" s="64"/>
      <c r="RNL20" s="64"/>
      <c r="RNM20" s="64"/>
      <c r="RNN20" s="64"/>
      <c r="RNO20" s="64"/>
      <c r="RNP20" s="64"/>
      <c r="RNQ20" s="64"/>
      <c r="RNR20" s="64"/>
      <c r="RNS20" s="64"/>
      <c r="RNT20" s="64"/>
      <c r="RNU20" s="64"/>
      <c r="RNV20" s="64"/>
      <c r="RNW20" s="64"/>
      <c r="RNX20" s="64"/>
      <c r="RNY20" s="64"/>
      <c r="RNZ20" s="64"/>
      <c r="ROA20" s="64"/>
      <c r="ROB20" s="64"/>
      <c r="ROC20" s="64"/>
      <c r="ROD20" s="64"/>
      <c r="ROE20" s="64"/>
      <c r="ROF20" s="64"/>
      <c r="ROG20" s="64"/>
      <c r="ROH20" s="64"/>
      <c r="ROI20" s="64"/>
      <c r="ROJ20" s="64"/>
      <c r="ROK20" s="64"/>
      <c r="ROL20" s="64"/>
      <c r="ROM20" s="64"/>
      <c r="RON20" s="64"/>
      <c r="ROO20" s="64"/>
      <c r="ROP20" s="64"/>
      <c r="ROQ20" s="64"/>
      <c r="ROR20" s="64"/>
      <c r="ROS20" s="64"/>
      <c r="ROT20" s="64"/>
      <c r="ROU20" s="64"/>
      <c r="ROV20" s="64"/>
      <c r="ROW20" s="64"/>
      <c r="ROX20" s="64"/>
      <c r="ROY20" s="64"/>
      <c r="ROZ20" s="64"/>
      <c r="RPA20" s="64"/>
      <c r="RPB20" s="64"/>
      <c r="RPC20" s="64"/>
      <c r="RPD20" s="64"/>
      <c r="RPE20" s="64"/>
      <c r="RPF20" s="64"/>
      <c r="RPG20" s="64"/>
      <c r="RPH20" s="64"/>
      <c r="RPI20" s="64"/>
      <c r="RPJ20" s="64"/>
      <c r="RPK20" s="64"/>
      <c r="RPL20" s="64"/>
      <c r="RPM20" s="64"/>
      <c r="RPN20" s="64"/>
      <c r="RPO20" s="64"/>
      <c r="RPP20" s="64"/>
      <c r="RPQ20" s="64"/>
      <c r="RPR20" s="64"/>
      <c r="RPS20" s="64"/>
      <c r="RPT20" s="64"/>
      <c r="RPU20" s="64"/>
      <c r="RPV20" s="64"/>
      <c r="RPW20" s="64"/>
      <c r="RPX20" s="64"/>
      <c r="RPY20" s="64"/>
      <c r="RPZ20" s="64"/>
      <c r="RQA20" s="64"/>
      <c r="RQB20" s="64"/>
      <c r="RQC20" s="64"/>
      <c r="RQD20" s="64"/>
      <c r="RQE20" s="64"/>
      <c r="RQF20" s="64"/>
      <c r="RQG20" s="64"/>
      <c r="RQH20" s="64"/>
      <c r="RQI20" s="64"/>
      <c r="RQJ20" s="64"/>
      <c r="RQK20" s="64"/>
      <c r="RQL20" s="64"/>
      <c r="RQM20" s="64"/>
      <c r="RQN20" s="64"/>
      <c r="RQO20" s="64"/>
      <c r="RQP20" s="64"/>
      <c r="RQQ20" s="64"/>
      <c r="RQR20" s="64"/>
      <c r="RQS20" s="64"/>
      <c r="RQT20" s="64"/>
      <c r="RQU20" s="64"/>
      <c r="RQV20" s="64"/>
      <c r="RQW20" s="64"/>
      <c r="RQX20" s="64"/>
      <c r="RQY20" s="64"/>
      <c r="RQZ20" s="64"/>
      <c r="RRA20" s="64"/>
      <c r="RRB20" s="64"/>
      <c r="RRC20" s="64"/>
      <c r="RRD20" s="64"/>
      <c r="RRE20" s="64"/>
      <c r="RRF20" s="64"/>
      <c r="RRG20" s="64"/>
      <c r="RRH20" s="64"/>
      <c r="RRI20" s="64"/>
      <c r="RRJ20" s="64"/>
      <c r="RRK20" s="64"/>
      <c r="RRL20" s="64"/>
      <c r="RRM20" s="64"/>
      <c r="RRN20" s="64"/>
      <c r="RRO20" s="64"/>
      <c r="RRP20" s="64"/>
      <c r="RRQ20" s="64"/>
      <c r="RRR20" s="64"/>
      <c r="RRS20" s="64"/>
      <c r="RRT20" s="64"/>
      <c r="RRU20" s="64"/>
      <c r="RRV20" s="64"/>
      <c r="RRW20" s="64"/>
      <c r="RRX20" s="64"/>
      <c r="RRY20" s="64"/>
      <c r="RRZ20" s="64"/>
      <c r="RSA20" s="64"/>
      <c r="RSB20" s="64"/>
      <c r="RSC20" s="64"/>
      <c r="RSD20" s="64"/>
      <c r="RSE20" s="64"/>
      <c r="RSF20" s="64"/>
      <c r="RSG20" s="64"/>
      <c r="RSH20" s="64"/>
      <c r="RSI20" s="64"/>
      <c r="RSJ20" s="64"/>
      <c r="RSK20" s="64"/>
      <c r="RSL20" s="64"/>
      <c r="RSM20" s="64"/>
      <c r="RSN20" s="64"/>
      <c r="RSO20" s="64"/>
      <c r="RSP20" s="64"/>
      <c r="RSQ20" s="64"/>
      <c r="RSR20" s="64"/>
      <c r="RSS20" s="64"/>
      <c r="RST20" s="64"/>
      <c r="RSU20" s="64"/>
      <c r="RSV20" s="64"/>
      <c r="RSW20" s="64"/>
      <c r="RSX20" s="64"/>
      <c r="RSY20" s="64"/>
      <c r="RSZ20" s="64"/>
      <c r="RTA20" s="64"/>
      <c r="RTB20" s="64"/>
      <c r="RTC20" s="64"/>
      <c r="RTD20" s="64"/>
      <c r="RTE20" s="64"/>
      <c r="RTF20" s="64"/>
      <c r="RTG20" s="64"/>
      <c r="RTH20" s="64"/>
      <c r="RTI20" s="64"/>
      <c r="RTJ20" s="64"/>
      <c r="RTK20" s="64"/>
      <c r="RTL20" s="64"/>
      <c r="RTM20" s="64"/>
      <c r="RTN20" s="64"/>
      <c r="RTO20" s="64"/>
      <c r="RTP20" s="64"/>
      <c r="RTQ20" s="64"/>
      <c r="RTR20" s="64"/>
      <c r="RTS20" s="64"/>
      <c r="RTT20" s="64"/>
      <c r="RTU20" s="64"/>
      <c r="RTV20" s="64"/>
      <c r="RTW20" s="64"/>
      <c r="RTX20" s="64"/>
      <c r="RTY20" s="64"/>
      <c r="RTZ20" s="64"/>
      <c r="RUA20" s="64"/>
      <c r="RUB20" s="64"/>
      <c r="RUC20" s="64"/>
      <c r="RUD20" s="64"/>
      <c r="RUE20" s="64"/>
      <c r="RUF20" s="64"/>
      <c r="RUG20" s="64"/>
      <c r="RUH20" s="64"/>
      <c r="RUI20" s="64"/>
      <c r="RUJ20" s="64"/>
      <c r="RUK20" s="64"/>
      <c r="RUL20" s="64"/>
      <c r="RUM20" s="64"/>
      <c r="RUN20" s="64"/>
      <c r="RUO20" s="64"/>
      <c r="RUP20" s="64"/>
      <c r="RUQ20" s="64"/>
      <c r="RUR20" s="64"/>
      <c r="RUS20" s="64"/>
      <c r="RUT20" s="64"/>
      <c r="RUU20" s="64"/>
      <c r="RUV20" s="64"/>
      <c r="RUW20" s="64"/>
      <c r="RUX20" s="64"/>
      <c r="RUY20" s="64"/>
      <c r="RUZ20" s="64"/>
      <c r="RVA20" s="64"/>
      <c r="RVB20" s="64"/>
      <c r="RVC20" s="64"/>
      <c r="RVD20" s="64"/>
      <c r="RVE20" s="64"/>
      <c r="RVF20" s="64"/>
      <c r="RVG20" s="64"/>
      <c r="RVH20" s="64"/>
      <c r="RVI20" s="64"/>
      <c r="RVJ20" s="64"/>
      <c r="RVK20" s="64"/>
      <c r="RVL20" s="64"/>
      <c r="RVM20" s="64"/>
      <c r="RVN20" s="64"/>
      <c r="RVO20" s="64"/>
      <c r="RVP20" s="64"/>
      <c r="RVQ20" s="64"/>
      <c r="RVR20" s="64"/>
      <c r="RVS20" s="64"/>
      <c r="RVT20" s="64"/>
      <c r="RVU20" s="64"/>
      <c r="RVV20" s="64"/>
      <c r="RVW20" s="64"/>
      <c r="RVX20" s="64"/>
      <c r="RVY20" s="64"/>
      <c r="RVZ20" s="64"/>
      <c r="RWA20" s="64"/>
      <c r="RWB20" s="64"/>
      <c r="RWC20" s="64"/>
      <c r="RWD20" s="64"/>
      <c r="RWE20" s="64"/>
      <c r="RWF20" s="64"/>
      <c r="RWG20" s="64"/>
      <c r="RWH20" s="64"/>
      <c r="RWI20" s="64"/>
      <c r="RWJ20" s="64"/>
      <c r="RWK20" s="64"/>
      <c r="RWL20" s="64"/>
      <c r="RWM20" s="64"/>
      <c r="RWN20" s="64"/>
      <c r="RWO20" s="64"/>
      <c r="RWP20" s="64"/>
      <c r="RWQ20" s="64"/>
      <c r="RWR20" s="64"/>
      <c r="RWS20" s="64"/>
      <c r="RWT20" s="64"/>
      <c r="RWU20" s="64"/>
      <c r="RWV20" s="64"/>
      <c r="RWW20" s="64"/>
      <c r="RWX20" s="64"/>
      <c r="RWY20" s="64"/>
      <c r="RWZ20" s="64"/>
      <c r="RXA20" s="64"/>
      <c r="RXB20" s="64"/>
      <c r="RXC20" s="64"/>
      <c r="RXD20" s="64"/>
      <c r="RXE20" s="64"/>
      <c r="RXF20" s="64"/>
      <c r="RXG20" s="64"/>
      <c r="RXH20" s="64"/>
      <c r="RXI20" s="64"/>
      <c r="RXJ20" s="64"/>
      <c r="RXK20" s="64"/>
      <c r="RXL20" s="64"/>
      <c r="RXM20" s="64"/>
      <c r="RXN20" s="64"/>
      <c r="RXO20" s="64"/>
      <c r="RXP20" s="64"/>
      <c r="RXQ20" s="64"/>
      <c r="RXR20" s="64"/>
      <c r="RXS20" s="64"/>
      <c r="RXT20" s="64"/>
      <c r="RXU20" s="64"/>
      <c r="RXV20" s="64"/>
      <c r="RXW20" s="64"/>
      <c r="RXX20" s="64"/>
      <c r="RXY20" s="64"/>
      <c r="RXZ20" s="64"/>
      <c r="RYA20" s="64"/>
      <c r="RYB20" s="64"/>
      <c r="RYC20" s="64"/>
      <c r="RYD20" s="64"/>
      <c r="RYE20" s="64"/>
      <c r="RYF20" s="64"/>
      <c r="RYG20" s="64"/>
      <c r="RYH20" s="64"/>
      <c r="RYI20" s="64"/>
      <c r="RYJ20" s="64"/>
      <c r="RYK20" s="64"/>
      <c r="RYL20" s="64"/>
      <c r="RYM20" s="64"/>
      <c r="RYN20" s="64"/>
      <c r="RYO20" s="64"/>
      <c r="RYP20" s="64"/>
      <c r="RYQ20" s="64"/>
      <c r="RYR20" s="64"/>
      <c r="RYS20" s="64"/>
      <c r="RYT20" s="64"/>
      <c r="RYU20" s="64"/>
      <c r="RYV20" s="64"/>
      <c r="RYW20" s="64"/>
      <c r="RYX20" s="64"/>
      <c r="RYY20" s="64"/>
      <c r="RYZ20" s="64"/>
      <c r="RZA20" s="64"/>
      <c r="RZB20" s="64"/>
      <c r="RZC20" s="64"/>
      <c r="RZD20" s="64"/>
      <c r="RZE20" s="64"/>
      <c r="RZF20" s="64"/>
      <c r="RZG20" s="64"/>
      <c r="RZH20" s="64"/>
      <c r="RZI20" s="64"/>
      <c r="RZJ20" s="64"/>
      <c r="RZK20" s="64"/>
      <c r="RZL20" s="64"/>
      <c r="RZM20" s="64"/>
      <c r="RZN20" s="64"/>
      <c r="RZO20" s="64"/>
      <c r="RZP20" s="64"/>
      <c r="RZQ20" s="64"/>
      <c r="RZR20" s="64"/>
      <c r="RZS20" s="64"/>
      <c r="RZT20" s="64"/>
      <c r="RZU20" s="64"/>
      <c r="RZV20" s="64"/>
      <c r="RZW20" s="64"/>
      <c r="RZX20" s="64"/>
      <c r="RZY20" s="64"/>
      <c r="RZZ20" s="64"/>
      <c r="SAA20" s="64"/>
      <c r="SAB20" s="64"/>
      <c r="SAC20" s="64"/>
      <c r="SAD20" s="64"/>
      <c r="SAE20" s="64"/>
      <c r="SAF20" s="64"/>
      <c r="SAG20" s="64"/>
      <c r="SAH20" s="64"/>
      <c r="SAI20" s="64"/>
      <c r="SAJ20" s="64"/>
      <c r="SAK20" s="64"/>
      <c r="SAL20" s="64"/>
      <c r="SAM20" s="64"/>
      <c r="SAN20" s="64"/>
      <c r="SAO20" s="64"/>
      <c r="SAP20" s="64"/>
      <c r="SAQ20" s="64"/>
      <c r="SAR20" s="64"/>
      <c r="SAS20" s="64"/>
      <c r="SAT20" s="64"/>
      <c r="SAU20" s="64"/>
      <c r="SAV20" s="64"/>
      <c r="SAW20" s="64"/>
      <c r="SAX20" s="64"/>
      <c r="SAY20" s="64"/>
      <c r="SAZ20" s="64"/>
      <c r="SBA20" s="64"/>
      <c r="SBB20" s="64"/>
      <c r="SBC20" s="64"/>
      <c r="SBD20" s="64"/>
      <c r="SBE20" s="64"/>
      <c r="SBF20" s="64"/>
      <c r="SBG20" s="64"/>
      <c r="SBH20" s="64"/>
      <c r="SBI20" s="64"/>
      <c r="SBJ20" s="64"/>
      <c r="SBK20" s="64"/>
      <c r="SBL20" s="64"/>
      <c r="SBM20" s="64"/>
      <c r="SBN20" s="64"/>
      <c r="SBO20" s="64"/>
      <c r="SBP20" s="64"/>
      <c r="SBQ20" s="64"/>
      <c r="SBR20" s="64"/>
      <c r="SBS20" s="64"/>
      <c r="SBT20" s="64"/>
      <c r="SBU20" s="64"/>
      <c r="SBV20" s="64"/>
      <c r="SBW20" s="64"/>
      <c r="SBX20" s="64"/>
      <c r="SBY20" s="64"/>
      <c r="SBZ20" s="64"/>
      <c r="SCA20" s="64"/>
      <c r="SCB20" s="64"/>
      <c r="SCC20" s="64"/>
      <c r="SCD20" s="64"/>
      <c r="SCE20" s="64"/>
      <c r="SCF20" s="64"/>
      <c r="SCG20" s="64"/>
      <c r="SCH20" s="64"/>
      <c r="SCI20" s="64"/>
      <c r="SCJ20" s="64"/>
      <c r="SCK20" s="64"/>
      <c r="SCL20" s="64"/>
      <c r="SCM20" s="64"/>
      <c r="SCN20" s="64"/>
      <c r="SCO20" s="64"/>
      <c r="SCP20" s="64"/>
      <c r="SCQ20" s="64"/>
      <c r="SCR20" s="64"/>
      <c r="SCS20" s="64"/>
      <c r="SCT20" s="64"/>
      <c r="SCU20" s="64"/>
      <c r="SCV20" s="64"/>
      <c r="SCW20" s="64"/>
      <c r="SCX20" s="64"/>
      <c r="SCY20" s="64"/>
      <c r="SCZ20" s="64"/>
      <c r="SDA20" s="64"/>
      <c r="SDB20" s="64"/>
      <c r="SDC20" s="64"/>
      <c r="SDD20" s="64"/>
      <c r="SDE20" s="64"/>
      <c r="SDF20" s="64"/>
      <c r="SDG20" s="64"/>
      <c r="SDH20" s="64"/>
      <c r="SDI20" s="64"/>
      <c r="SDJ20" s="64"/>
      <c r="SDK20" s="64"/>
      <c r="SDL20" s="64"/>
      <c r="SDM20" s="64"/>
      <c r="SDN20" s="64"/>
      <c r="SDO20" s="64"/>
      <c r="SDP20" s="64"/>
      <c r="SDQ20" s="64"/>
      <c r="SDR20" s="64"/>
      <c r="SDS20" s="64"/>
      <c r="SDT20" s="64"/>
      <c r="SDU20" s="64"/>
      <c r="SDV20" s="64"/>
      <c r="SDW20" s="64"/>
      <c r="SDX20" s="64"/>
      <c r="SDY20" s="64"/>
      <c r="SDZ20" s="64"/>
      <c r="SEA20" s="64"/>
      <c r="SEB20" s="64"/>
      <c r="SEC20" s="64"/>
      <c r="SED20" s="64"/>
      <c r="SEE20" s="64"/>
      <c r="SEF20" s="64"/>
      <c r="SEG20" s="64"/>
      <c r="SEH20" s="64"/>
      <c r="SEI20" s="64"/>
      <c r="SEJ20" s="64"/>
      <c r="SEK20" s="64"/>
      <c r="SEL20" s="64"/>
      <c r="SEM20" s="64"/>
      <c r="SEN20" s="64"/>
      <c r="SEO20" s="64"/>
      <c r="SEP20" s="64"/>
      <c r="SEQ20" s="64"/>
      <c r="SER20" s="64"/>
      <c r="SES20" s="64"/>
      <c r="SET20" s="64"/>
      <c r="SEU20" s="64"/>
      <c r="SEV20" s="64"/>
      <c r="SEW20" s="64"/>
      <c r="SEX20" s="64"/>
      <c r="SEY20" s="64"/>
      <c r="SEZ20" s="64"/>
      <c r="SFA20" s="64"/>
      <c r="SFB20" s="64"/>
      <c r="SFC20" s="64"/>
      <c r="SFD20" s="64"/>
      <c r="SFE20" s="64"/>
      <c r="SFF20" s="64"/>
      <c r="SFG20" s="64"/>
      <c r="SFH20" s="64"/>
      <c r="SFI20" s="64"/>
      <c r="SFJ20" s="64"/>
      <c r="SFK20" s="64"/>
      <c r="SFL20" s="64"/>
      <c r="SFM20" s="64"/>
      <c r="SFN20" s="64"/>
      <c r="SFO20" s="64"/>
      <c r="SFP20" s="64"/>
      <c r="SFQ20" s="64"/>
      <c r="SFR20" s="64"/>
      <c r="SFS20" s="64"/>
      <c r="SFT20" s="64"/>
      <c r="SFU20" s="64"/>
      <c r="SFV20" s="64"/>
      <c r="SFW20" s="64"/>
      <c r="SFX20" s="64"/>
      <c r="SFY20" s="64"/>
      <c r="SFZ20" s="64"/>
      <c r="SGA20" s="64"/>
      <c r="SGB20" s="64"/>
      <c r="SGC20" s="64"/>
      <c r="SGD20" s="64"/>
      <c r="SGE20" s="64"/>
      <c r="SGF20" s="64"/>
      <c r="SGG20" s="64"/>
      <c r="SGH20" s="64"/>
      <c r="SGI20" s="64"/>
      <c r="SGJ20" s="64"/>
      <c r="SGK20" s="64"/>
      <c r="SGL20" s="64"/>
      <c r="SGM20" s="64"/>
      <c r="SGN20" s="64"/>
      <c r="SGO20" s="64"/>
      <c r="SGP20" s="64"/>
      <c r="SGQ20" s="64"/>
      <c r="SGR20" s="64"/>
      <c r="SGS20" s="64"/>
      <c r="SGT20" s="64"/>
      <c r="SGU20" s="64"/>
      <c r="SGV20" s="64"/>
      <c r="SGW20" s="64"/>
      <c r="SGX20" s="64"/>
      <c r="SGY20" s="64"/>
      <c r="SGZ20" s="64"/>
      <c r="SHA20" s="64"/>
      <c r="SHB20" s="64"/>
      <c r="SHC20" s="64"/>
      <c r="SHD20" s="64"/>
      <c r="SHE20" s="64"/>
      <c r="SHF20" s="64"/>
      <c r="SHG20" s="64"/>
      <c r="SHH20" s="64"/>
      <c r="SHI20" s="64"/>
      <c r="SHJ20" s="64"/>
      <c r="SHK20" s="64"/>
      <c r="SHL20" s="64"/>
      <c r="SHM20" s="64"/>
      <c r="SHN20" s="64"/>
      <c r="SHO20" s="64"/>
      <c r="SHP20" s="64"/>
      <c r="SHQ20" s="64"/>
      <c r="SHR20" s="64"/>
      <c r="SHS20" s="64"/>
      <c r="SHT20" s="64"/>
      <c r="SHU20" s="64"/>
      <c r="SHV20" s="64"/>
      <c r="SHW20" s="64"/>
      <c r="SHX20" s="64"/>
      <c r="SHY20" s="64"/>
      <c r="SHZ20" s="64"/>
      <c r="SIA20" s="64"/>
      <c r="SIB20" s="64"/>
      <c r="SIC20" s="64"/>
      <c r="SID20" s="64"/>
      <c r="SIE20" s="64"/>
      <c r="SIF20" s="64"/>
      <c r="SIG20" s="64"/>
      <c r="SIH20" s="64"/>
      <c r="SII20" s="64"/>
      <c r="SIJ20" s="64"/>
      <c r="SIK20" s="64"/>
      <c r="SIL20" s="64"/>
      <c r="SIM20" s="64"/>
      <c r="SIN20" s="64"/>
      <c r="SIO20" s="64"/>
      <c r="SIP20" s="64"/>
      <c r="SIQ20" s="64"/>
      <c r="SIR20" s="64"/>
      <c r="SIS20" s="64"/>
      <c r="SIT20" s="64"/>
      <c r="SIU20" s="64"/>
      <c r="SIV20" s="64"/>
      <c r="SIW20" s="64"/>
      <c r="SIX20" s="64"/>
      <c r="SIY20" s="64"/>
      <c r="SIZ20" s="64"/>
      <c r="SJA20" s="64"/>
      <c r="SJB20" s="64"/>
      <c r="SJC20" s="64"/>
      <c r="SJD20" s="64"/>
      <c r="SJE20" s="64"/>
      <c r="SJF20" s="64"/>
      <c r="SJG20" s="64"/>
      <c r="SJH20" s="64"/>
      <c r="SJI20" s="64"/>
      <c r="SJJ20" s="64"/>
      <c r="SJK20" s="64"/>
      <c r="SJL20" s="64"/>
      <c r="SJM20" s="64"/>
      <c r="SJN20" s="64"/>
      <c r="SJO20" s="64"/>
      <c r="SJP20" s="64"/>
      <c r="SJQ20" s="64"/>
      <c r="SJR20" s="64"/>
      <c r="SJS20" s="64"/>
      <c r="SJT20" s="64"/>
      <c r="SJU20" s="64"/>
      <c r="SJV20" s="64"/>
      <c r="SJW20" s="64"/>
      <c r="SJX20" s="64"/>
      <c r="SJY20" s="64"/>
      <c r="SJZ20" s="64"/>
      <c r="SKA20" s="64"/>
      <c r="SKB20" s="64"/>
      <c r="SKC20" s="64"/>
      <c r="SKD20" s="64"/>
      <c r="SKE20" s="64"/>
      <c r="SKF20" s="64"/>
      <c r="SKG20" s="64"/>
      <c r="SKH20" s="64"/>
      <c r="SKI20" s="64"/>
      <c r="SKJ20" s="64"/>
      <c r="SKK20" s="64"/>
      <c r="SKL20" s="64"/>
      <c r="SKM20" s="64"/>
      <c r="SKN20" s="64"/>
      <c r="SKO20" s="64"/>
      <c r="SKP20" s="64"/>
      <c r="SKQ20" s="64"/>
      <c r="SKR20" s="64"/>
      <c r="SKS20" s="64"/>
      <c r="SKT20" s="64"/>
      <c r="SKU20" s="64"/>
      <c r="SKV20" s="64"/>
      <c r="SKW20" s="64"/>
      <c r="SKX20" s="64"/>
      <c r="SKY20" s="64"/>
      <c r="SKZ20" s="64"/>
      <c r="SLA20" s="64"/>
      <c r="SLB20" s="64"/>
      <c r="SLC20" s="64"/>
      <c r="SLD20" s="64"/>
      <c r="SLE20" s="64"/>
      <c r="SLF20" s="64"/>
      <c r="SLG20" s="64"/>
      <c r="SLH20" s="64"/>
      <c r="SLI20" s="64"/>
      <c r="SLJ20" s="64"/>
      <c r="SLK20" s="64"/>
      <c r="SLL20" s="64"/>
      <c r="SLM20" s="64"/>
      <c r="SLN20" s="64"/>
      <c r="SLO20" s="64"/>
      <c r="SLP20" s="64"/>
      <c r="SLQ20" s="64"/>
      <c r="SLR20" s="64"/>
      <c r="SLS20" s="64"/>
      <c r="SLT20" s="64"/>
      <c r="SLU20" s="64"/>
      <c r="SLV20" s="64"/>
      <c r="SLW20" s="64"/>
      <c r="SLX20" s="64"/>
      <c r="SLY20" s="64"/>
      <c r="SLZ20" s="64"/>
      <c r="SMA20" s="64"/>
      <c r="SMB20" s="64"/>
      <c r="SMC20" s="64"/>
      <c r="SMD20" s="64"/>
      <c r="SME20" s="64"/>
      <c r="SMF20" s="64"/>
      <c r="SMG20" s="64"/>
      <c r="SMH20" s="64"/>
      <c r="SMI20" s="64"/>
      <c r="SMJ20" s="64"/>
      <c r="SMK20" s="64"/>
      <c r="SML20" s="64"/>
      <c r="SMM20" s="64"/>
      <c r="SMN20" s="64"/>
      <c r="SMO20" s="64"/>
      <c r="SMP20" s="64"/>
      <c r="SMQ20" s="64"/>
      <c r="SMR20" s="64"/>
      <c r="SMS20" s="64"/>
      <c r="SMT20" s="64"/>
      <c r="SMU20" s="64"/>
      <c r="SMV20" s="64"/>
      <c r="SMW20" s="64"/>
      <c r="SMX20" s="64"/>
      <c r="SMY20" s="64"/>
      <c r="SMZ20" s="64"/>
      <c r="SNA20" s="64"/>
      <c r="SNB20" s="64"/>
      <c r="SNC20" s="64"/>
      <c r="SND20" s="64"/>
      <c r="SNE20" s="64"/>
      <c r="SNF20" s="64"/>
      <c r="SNG20" s="64"/>
      <c r="SNH20" s="64"/>
      <c r="SNI20" s="64"/>
      <c r="SNJ20" s="64"/>
      <c r="SNK20" s="64"/>
      <c r="SNL20" s="64"/>
      <c r="SNM20" s="64"/>
      <c r="SNN20" s="64"/>
      <c r="SNO20" s="64"/>
      <c r="SNP20" s="64"/>
      <c r="SNQ20" s="64"/>
      <c r="SNR20" s="64"/>
      <c r="SNS20" s="64"/>
      <c r="SNT20" s="64"/>
      <c r="SNU20" s="64"/>
      <c r="SNV20" s="64"/>
      <c r="SNW20" s="64"/>
      <c r="SNX20" s="64"/>
      <c r="SNY20" s="64"/>
      <c r="SNZ20" s="64"/>
      <c r="SOA20" s="64"/>
      <c r="SOB20" s="64"/>
      <c r="SOC20" s="64"/>
      <c r="SOD20" s="64"/>
      <c r="SOE20" s="64"/>
      <c r="SOF20" s="64"/>
      <c r="SOG20" s="64"/>
      <c r="SOH20" s="64"/>
      <c r="SOI20" s="64"/>
      <c r="SOJ20" s="64"/>
      <c r="SOK20" s="64"/>
      <c r="SOL20" s="64"/>
      <c r="SOM20" s="64"/>
      <c r="SON20" s="64"/>
      <c r="SOO20" s="64"/>
      <c r="SOP20" s="64"/>
      <c r="SOQ20" s="64"/>
      <c r="SOR20" s="64"/>
      <c r="SOS20" s="64"/>
      <c r="SOT20" s="64"/>
      <c r="SOU20" s="64"/>
      <c r="SOV20" s="64"/>
      <c r="SOW20" s="64"/>
      <c r="SOX20" s="64"/>
      <c r="SOY20" s="64"/>
      <c r="SOZ20" s="64"/>
      <c r="SPA20" s="64"/>
      <c r="SPB20" s="64"/>
      <c r="SPC20" s="64"/>
      <c r="SPD20" s="64"/>
      <c r="SPE20" s="64"/>
      <c r="SPF20" s="64"/>
      <c r="SPG20" s="64"/>
      <c r="SPH20" s="64"/>
      <c r="SPI20" s="64"/>
      <c r="SPJ20" s="64"/>
      <c r="SPK20" s="64"/>
      <c r="SPL20" s="64"/>
      <c r="SPM20" s="64"/>
      <c r="SPN20" s="64"/>
      <c r="SPO20" s="64"/>
      <c r="SPP20" s="64"/>
      <c r="SPQ20" s="64"/>
      <c r="SPR20" s="64"/>
      <c r="SPS20" s="64"/>
      <c r="SPT20" s="64"/>
      <c r="SPU20" s="64"/>
      <c r="SPV20" s="64"/>
      <c r="SPW20" s="64"/>
      <c r="SPX20" s="64"/>
      <c r="SPY20" s="64"/>
      <c r="SPZ20" s="64"/>
      <c r="SQA20" s="64"/>
      <c r="SQB20" s="64"/>
      <c r="SQC20" s="64"/>
      <c r="SQD20" s="64"/>
      <c r="SQE20" s="64"/>
      <c r="SQF20" s="64"/>
      <c r="SQG20" s="64"/>
      <c r="SQH20" s="64"/>
      <c r="SQI20" s="64"/>
      <c r="SQJ20" s="64"/>
      <c r="SQK20" s="64"/>
      <c r="SQL20" s="64"/>
      <c r="SQM20" s="64"/>
      <c r="SQN20" s="64"/>
      <c r="SQO20" s="64"/>
      <c r="SQP20" s="64"/>
      <c r="SQQ20" s="64"/>
      <c r="SQR20" s="64"/>
      <c r="SQS20" s="64"/>
      <c r="SQT20" s="64"/>
      <c r="SQU20" s="64"/>
      <c r="SQV20" s="64"/>
      <c r="SQW20" s="64"/>
      <c r="SQX20" s="64"/>
      <c r="SQY20" s="64"/>
      <c r="SQZ20" s="64"/>
      <c r="SRA20" s="64"/>
      <c r="SRB20" s="64"/>
      <c r="SRC20" s="64"/>
      <c r="SRD20" s="64"/>
      <c r="SRE20" s="64"/>
      <c r="SRF20" s="64"/>
      <c r="SRG20" s="64"/>
      <c r="SRH20" s="64"/>
      <c r="SRI20" s="64"/>
      <c r="SRJ20" s="64"/>
      <c r="SRK20" s="64"/>
      <c r="SRL20" s="64"/>
      <c r="SRM20" s="64"/>
      <c r="SRN20" s="64"/>
      <c r="SRO20" s="64"/>
      <c r="SRP20" s="64"/>
      <c r="SRQ20" s="64"/>
      <c r="SRR20" s="64"/>
      <c r="SRS20" s="64"/>
      <c r="SRT20" s="64"/>
      <c r="SRU20" s="64"/>
      <c r="SRV20" s="64"/>
      <c r="SRW20" s="64"/>
      <c r="SRX20" s="64"/>
      <c r="SRY20" s="64"/>
      <c r="SRZ20" s="64"/>
      <c r="SSA20" s="64"/>
      <c r="SSB20" s="64"/>
      <c r="SSC20" s="64"/>
      <c r="SSD20" s="64"/>
      <c r="SSE20" s="64"/>
      <c r="SSF20" s="64"/>
      <c r="SSG20" s="64"/>
      <c r="SSH20" s="64"/>
      <c r="SSI20" s="64"/>
      <c r="SSJ20" s="64"/>
      <c r="SSK20" s="64"/>
      <c r="SSL20" s="64"/>
      <c r="SSM20" s="64"/>
      <c r="SSN20" s="64"/>
      <c r="SSO20" s="64"/>
      <c r="SSP20" s="64"/>
      <c r="SSQ20" s="64"/>
      <c r="SSR20" s="64"/>
      <c r="SSS20" s="64"/>
      <c r="SST20" s="64"/>
      <c r="SSU20" s="64"/>
      <c r="SSV20" s="64"/>
      <c r="SSW20" s="64"/>
      <c r="SSX20" s="64"/>
      <c r="SSY20" s="64"/>
      <c r="SSZ20" s="64"/>
      <c r="STA20" s="64"/>
      <c r="STB20" s="64"/>
      <c r="STC20" s="64"/>
      <c r="STD20" s="64"/>
      <c r="STE20" s="64"/>
      <c r="STF20" s="64"/>
      <c r="STG20" s="64"/>
      <c r="STH20" s="64"/>
      <c r="STI20" s="64"/>
      <c r="STJ20" s="64"/>
      <c r="STK20" s="64"/>
      <c r="STL20" s="64"/>
      <c r="STM20" s="64"/>
      <c r="STN20" s="64"/>
      <c r="STO20" s="64"/>
      <c r="STP20" s="64"/>
      <c r="STQ20" s="64"/>
      <c r="STR20" s="64"/>
      <c r="STS20" s="64"/>
      <c r="STT20" s="64"/>
      <c r="STU20" s="64"/>
      <c r="STV20" s="64"/>
      <c r="STW20" s="64"/>
      <c r="STX20" s="64"/>
      <c r="STY20" s="64"/>
      <c r="STZ20" s="64"/>
      <c r="SUA20" s="64"/>
      <c r="SUB20" s="64"/>
      <c r="SUC20" s="64"/>
      <c r="SUD20" s="64"/>
      <c r="SUE20" s="64"/>
      <c r="SUF20" s="64"/>
      <c r="SUG20" s="64"/>
      <c r="SUH20" s="64"/>
      <c r="SUI20" s="64"/>
      <c r="SUJ20" s="64"/>
      <c r="SUK20" s="64"/>
      <c r="SUL20" s="64"/>
      <c r="SUM20" s="64"/>
      <c r="SUN20" s="64"/>
      <c r="SUO20" s="64"/>
      <c r="SUP20" s="64"/>
      <c r="SUQ20" s="64"/>
      <c r="SUR20" s="64"/>
      <c r="SUS20" s="64"/>
      <c r="SUT20" s="64"/>
      <c r="SUU20" s="64"/>
      <c r="SUV20" s="64"/>
      <c r="SUW20" s="64"/>
      <c r="SUX20" s="64"/>
      <c r="SUY20" s="64"/>
      <c r="SUZ20" s="64"/>
      <c r="SVA20" s="64"/>
      <c r="SVB20" s="64"/>
      <c r="SVC20" s="64"/>
      <c r="SVD20" s="64"/>
      <c r="SVE20" s="64"/>
      <c r="SVF20" s="64"/>
      <c r="SVG20" s="64"/>
      <c r="SVH20" s="64"/>
      <c r="SVI20" s="64"/>
      <c r="SVJ20" s="64"/>
      <c r="SVK20" s="64"/>
      <c r="SVL20" s="64"/>
      <c r="SVM20" s="64"/>
      <c r="SVN20" s="64"/>
      <c r="SVO20" s="64"/>
      <c r="SVP20" s="64"/>
      <c r="SVQ20" s="64"/>
      <c r="SVR20" s="64"/>
      <c r="SVS20" s="64"/>
      <c r="SVT20" s="64"/>
      <c r="SVU20" s="64"/>
      <c r="SVV20" s="64"/>
      <c r="SVW20" s="64"/>
      <c r="SVX20" s="64"/>
      <c r="SVY20" s="64"/>
      <c r="SVZ20" s="64"/>
      <c r="SWA20" s="64"/>
      <c r="SWB20" s="64"/>
      <c r="SWC20" s="64"/>
      <c r="SWD20" s="64"/>
      <c r="SWE20" s="64"/>
      <c r="SWF20" s="64"/>
      <c r="SWG20" s="64"/>
      <c r="SWH20" s="64"/>
      <c r="SWI20" s="64"/>
      <c r="SWJ20" s="64"/>
      <c r="SWK20" s="64"/>
      <c r="SWL20" s="64"/>
      <c r="SWM20" s="64"/>
      <c r="SWN20" s="64"/>
      <c r="SWO20" s="64"/>
      <c r="SWP20" s="64"/>
      <c r="SWQ20" s="64"/>
      <c r="SWR20" s="64"/>
      <c r="SWS20" s="64"/>
      <c r="SWT20" s="64"/>
      <c r="SWU20" s="64"/>
      <c r="SWV20" s="64"/>
      <c r="SWW20" s="64"/>
      <c r="SWX20" s="64"/>
      <c r="SWY20" s="64"/>
      <c r="SWZ20" s="64"/>
      <c r="SXA20" s="64"/>
      <c r="SXB20" s="64"/>
      <c r="SXC20" s="64"/>
      <c r="SXD20" s="64"/>
      <c r="SXE20" s="64"/>
      <c r="SXF20" s="64"/>
      <c r="SXG20" s="64"/>
      <c r="SXH20" s="64"/>
      <c r="SXI20" s="64"/>
      <c r="SXJ20" s="64"/>
      <c r="SXK20" s="64"/>
      <c r="SXL20" s="64"/>
      <c r="SXM20" s="64"/>
      <c r="SXN20" s="64"/>
      <c r="SXO20" s="64"/>
      <c r="SXP20" s="64"/>
      <c r="SXQ20" s="64"/>
      <c r="SXR20" s="64"/>
      <c r="SXS20" s="64"/>
      <c r="SXT20" s="64"/>
      <c r="SXU20" s="64"/>
      <c r="SXV20" s="64"/>
      <c r="SXW20" s="64"/>
      <c r="SXX20" s="64"/>
      <c r="SXY20" s="64"/>
      <c r="SXZ20" s="64"/>
      <c r="SYA20" s="64"/>
      <c r="SYB20" s="64"/>
      <c r="SYC20" s="64"/>
      <c r="SYD20" s="64"/>
      <c r="SYE20" s="64"/>
      <c r="SYF20" s="64"/>
      <c r="SYG20" s="64"/>
      <c r="SYH20" s="64"/>
      <c r="SYI20" s="64"/>
      <c r="SYJ20" s="64"/>
      <c r="SYK20" s="64"/>
      <c r="SYL20" s="64"/>
      <c r="SYM20" s="64"/>
      <c r="SYN20" s="64"/>
      <c r="SYO20" s="64"/>
      <c r="SYP20" s="64"/>
      <c r="SYQ20" s="64"/>
      <c r="SYR20" s="64"/>
      <c r="SYS20" s="64"/>
      <c r="SYT20" s="64"/>
      <c r="SYU20" s="64"/>
      <c r="SYV20" s="64"/>
      <c r="SYW20" s="64"/>
      <c r="SYX20" s="64"/>
      <c r="SYY20" s="64"/>
      <c r="SYZ20" s="64"/>
      <c r="SZA20" s="64"/>
      <c r="SZB20" s="64"/>
      <c r="SZC20" s="64"/>
      <c r="SZD20" s="64"/>
      <c r="SZE20" s="64"/>
      <c r="SZF20" s="64"/>
      <c r="SZG20" s="64"/>
      <c r="SZH20" s="64"/>
      <c r="SZI20" s="64"/>
      <c r="SZJ20" s="64"/>
      <c r="SZK20" s="64"/>
      <c r="SZL20" s="64"/>
      <c r="SZM20" s="64"/>
      <c r="SZN20" s="64"/>
      <c r="SZO20" s="64"/>
      <c r="SZP20" s="64"/>
      <c r="SZQ20" s="64"/>
      <c r="SZR20" s="64"/>
      <c r="SZS20" s="64"/>
      <c r="SZT20" s="64"/>
      <c r="SZU20" s="64"/>
      <c r="SZV20" s="64"/>
      <c r="SZW20" s="64"/>
      <c r="SZX20" s="64"/>
      <c r="SZY20" s="64"/>
      <c r="SZZ20" s="64"/>
      <c r="TAA20" s="64"/>
      <c r="TAB20" s="64"/>
      <c r="TAC20" s="64"/>
      <c r="TAD20" s="64"/>
      <c r="TAE20" s="64"/>
      <c r="TAF20" s="64"/>
      <c r="TAG20" s="64"/>
      <c r="TAH20" s="64"/>
      <c r="TAI20" s="64"/>
      <c r="TAJ20" s="64"/>
      <c r="TAK20" s="64"/>
      <c r="TAL20" s="64"/>
      <c r="TAM20" s="64"/>
      <c r="TAN20" s="64"/>
      <c r="TAO20" s="64"/>
      <c r="TAP20" s="64"/>
      <c r="TAQ20" s="64"/>
      <c r="TAR20" s="64"/>
      <c r="TAS20" s="64"/>
      <c r="TAT20" s="64"/>
      <c r="TAU20" s="64"/>
      <c r="TAV20" s="64"/>
      <c r="TAW20" s="64"/>
      <c r="TAX20" s="64"/>
      <c r="TAY20" s="64"/>
      <c r="TAZ20" s="64"/>
      <c r="TBA20" s="64"/>
      <c r="TBB20" s="64"/>
      <c r="TBC20" s="64"/>
      <c r="TBD20" s="64"/>
      <c r="TBE20" s="64"/>
      <c r="TBF20" s="64"/>
      <c r="TBG20" s="64"/>
      <c r="TBH20" s="64"/>
      <c r="TBI20" s="64"/>
      <c r="TBJ20" s="64"/>
      <c r="TBK20" s="64"/>
      <c r="TBL20" s="64"/>
      <c r="TBM20" s="64"/>
      <c r="TBN20" s="64"/>
      <c r="TBO20" s="64"/>
      <c r="TBP20" s="64"/>
      <c r="TBQ20" s="64"/>
      <c r="TBR20" s="64"/>
      <c r="TBS20" s="64"/>
      <c r="TBT20" s="64"/>
      <c r="TBU20" s="64"/>
      <c r="TBV20" s="64"/>
      <c r="TBW20" s="64"/>
      <c r="TBX20" s="64"/>
      <c r="TBY20" s="64"/>
      <c r="TBZ20" s="64"/>
      <c r="TCA20" s="64"/>
      <c r="TCB20" s="64"/>
      <c r="TCC20" s="64"/>
      <c r="TCD20" s="64"/>
      <c r="TCE20" s="64"/>
      <c r="TCF20" s="64"/>
      <c r="TCG20" s="64"/>
      <c r="TCH20" s="64"/>
      <c r="TCI20" s="64"/>
      <c r="TCJ20" s="64"/>
      <c r="TCK20" s="64"/>
      <c r="TCL20" s="64"/>
      <c r="TCM20" s="64"/>
      <c r="TCN20" s="64"/>
      <c r="TCO20" s="64"/>
      <c r="TCP20" s="64"/>
      <c r="TCQ20" s="64"/>
      <c r="TCR20" s="64"/>
      <c r="TCS20" s="64"/>
      <c r="TCT20" s="64"/>
      <c r="TCU20" s="64"/>
      <c r="TCV20" s="64"/>
      <c r="TCW20" s="64"/>
      <c r="TCX20" s="64"/>
      <c r="TCY20" s="64"/>
      <c r="TCZ20" s="64"/>
      <c r="TDA20" s="64"/>
      <c r="TDB20" s="64"/>
      <c r="TDC20" s="64"/>
      <c r="TDD20" s="64"/>
      <c r="TDE20" s="64"/>
      <c r="TDF20" s="64"/>
      <c r="TDG20" s="64"/>
      <c r="TDH20" s="64"/>
      <c r="TDI20" s="64"/>
      <c r="TDJ20" s="64"/>
      <c r="TDK20" s="64"/>
      <c r="TDL20" s="64"/>
      <c r="TDM20" s="64"/>
      <c r="TDN20" s="64"/>
      <c r="TDO20" s="64"/>
      <c r="TDP20" s="64"/>
      <c r="TDQ20" s="64"/>
      <c r="TDR20" s="64"/>
      <c r="TDS20" s="64"/>
      <c r="TDT20" s="64"/>
      <c r="TDU20" s="64"/>
      <c r="TDV20" s="64"/>
      <c r="TDW20" s="64"/>
      <c r="TDX20" s="64"/>
      <c r="TDY20" s="64"/>
      <c r="TDZ20" s="64"/>
      <c r="TEA20" s="64"/>
      <c r="TEB20" s="64"/>
      <c r="TEC20" s="64"/>
      <c r="TED20" s="64"/>
      <c r="TEE20" s="64"/>
      <c r="TEF20" s="64"/>
      <c r="TEG20" s="64"/>
      <c r="TEH20" s="64"/>
      <c r="TEI20" s="64"/>
      <c r="TEJ20" s="64"/>
      <c r="TEK20" s="64"/>
      <c r="TEL20" s="64"/>
      <c r="TEM20" s="64"/>
      <c r="TEN20" s="64"/>
      <c r="TEO20" s="64"/>
      <c r="TEP20" s="64"/>
      <c r="TEQ20" s="64"/>
      <c r="TER20" s="64"/>
      <c r="TES20" s="64"/>
      <c r="TET20" s="64"/>
      <c r="TEU20" s="64"/>
      <c r="TEV20" s="64"/>
      <c r="TEW20" s="64"/>
      <c r="TEX20" s="64"/>
      <c r="TEY20" s="64"/>
      <c r="TEZ20" s="64"/>
      <c r="TFA20" s="64"/>
      <c r="TFB20" s="64"/>
      <c r="TFC20" s="64"/>
      <c r="TFD20" s="64"/>
      <c r="TFE20" s="64"/>
      <c r="TFF20" s="64"/>
      <c r="TFG20" s="64"/>
      <c r="TFH20" s="64"/>
      <c r="TFI20" s="64"/>
      <c r="TFJ20" s="64"/>
      <c r="TFK20" s="64"/>
      <c r="TFL20" s="64"/>
      <c r="TFM20" s="64"/>
      <c r="TFN20" s="64"/>
      <c r="TFO20" s="64"/>
      <c r="TFP20" s="64"/>
      <c r="TFQ20" s="64"/>
      <c r="TFR20" s="64"/>
      <c r="TFS20" s="64"/>
      <c r="TFT20" s="64"/>
      <c r="TFU20" s="64"/>
      <c r="TFV20" s="64"/>
      <c r="TFW20" s="64"/>
      <c r="TFX20" s="64"/>
      <c r="TFY20" s="64"/>
      <c r="TFZ20" s="64"/>
      <c r="TGA20" s="64"/>
      <c r="TGB20" s="64"/>
      <c r="TGC20" s="64"/>
      <c r="TGD20" s="64"/>
      <c r="TGE20" s="64"/>
      <c r="TGF20" s="64"/>
      <c r="TGG20" s="64"/>
      <c r="TGH20" s="64"/>
      <c r="TGI20" s="64"/>
      <c r="TGJ20" s="64"/>
      <c r="TGK20" s="64"/>
      <c r="TGL20" s="64"/>
      <c r="TGM20" s="64"/>
      <c r="TGN20" s="64"/>
      <c r="TGO20" s="64"/>
      <c r="TGP20" s="64"/>
      <c r="TGQ20" s="64"/>
      <c r="TGR20" s="64"/>
      <c r="TGS20" s="64"/>
      <c r="TGT20" s="64"/>
      <c r="TGU20" s="64"/>
      <c r="TGV20" s="64"/>
      <c r="TGW20" s="64"/>
      <c r="TGX20" s="64"/>
      <c r="TGY20" s="64"/>
      <c r="TGZ20" s="64"/>
      <c r="THA20" s="64"/>
      <c r="THB20" s="64"/>
      <c r="THC20" s="64"/>
      <c r="THD20" s="64"/>
      <c r="THE20" s="64"/>
      <c r="THF20" s="64"/>
      <c r="THG20" s="64"/>
      <c r="THH20" s="64"/>
      <c r="THI20" s="64"/>
      <c r="THJ20" s="64"/>
      <c r="THK20" s="64"/>
      <c r="THL20" s="64"/>
      <c r="THM20" s="64"/>
      <c r="THN20" s="64"/>
      <c r="THO20" s="64"/>
      <c r="THP20" s="64"/>
      <c r="THQ20" s="64"/>
      <c r="THR20" s="64"/>
      <c r="THS20" s="64"/>
      <c r="THT20" s="64"/>
      <c r="THU20" s="64"/>
      <c r="THV20" s="64"/>
      <c r="THW20" s="64"/>
      <c r="THX20" s="64"/>
      <c r="THY20" s="64"/>
      <c r="THZ20" s="64"/>
      <c r="TIA20" s="64"/>
      <c r="TIB20" s="64"/>
      <c r="TIC20" s="64"/>
      <c r="TID20" s="64"/>
      <c r="TIE20" s="64"/>
      <c r="TIF20" s="64"/>
      <c r="TIG20" s="64"/>
      <c r="TIH20" s="64"/>
      <c r="TII20" s="64"/>
      <c r="TIJ20" s="64"/>
      <c r="TIK20" s="64"/>
      <c r="TIL20" s="64"/>
      <c r="TIM20" s="64"/>
      <c r="TIN20" s="64"/>
      <c r="TIO20" s="64"/>
      <c r="TIP20" s="64"/>
      <c r="TIQ20" s="64"/>
      <c r="TIR20" s="64"/>
      <c r="TIS20" s="64"/>
      <c r="TIT20" s="64"/>
      <c r="TIU20" s="64"/>
      <c r="TIV20" s="64"/>
      <c r="TIW20" s="64"/>
      <c r="TIX20" s="64"/>
      <c r="TIY20" s="64"/>
      <c r="TIZ20" s="64"/>
      <c r="TJA20" s="64"/>
      <c r="TJB20" s="64"/>
      <c r="TJC20" s="64"/>
      <c r="TJD20" s="64"/>
      <c r="TJE20" s="64"/>
      <c r="TJF20" s="64"/>
      <c r="TJG20" s="64"/>
      <c r="TJH20" s="64"/>
      <c r="TJI20" s="64"/>
      <c r="TJJ20" s="64"/>
      <c r="TJK20" s="64"/>
      <c r="TJL20" s="64"/>
      <c r="TJM20" s="64"/>
      <c r="TJN20" s="64"/>
      <c r="TJO20" s="64"/>
      <c r="TJP20" s="64"/>
      <c r="TJQ20" s="64"/>
      <c r="TJR20" s="64"/>
      <c r="TJS20" s="64"/>
      <c r="TJT20" s="64"/>
      <c r="TJU20" s="64"/>
      <c r="TJV20" s="64"/>
      <c r="TJW20" s="64"/>
      <c r="TJX20" s="64"/>
      <c r="TJY20" s="64"/>
      <c r="TJZ20" s="64"/>
      <c r="TKA20" s="64"/>
      <c r="TKB20" s="64"/>
      <c r="TKC20" s="64"/>
      <c r="TKD20" s="64"/>
      <c r="TKE20" s="64"/>
      <c r="TKF20" s="64"/>
      <c r="TKG20" s="64"/>
      <c r="TKH20" s="64"/>
      <c r="TKI20" s="64"/>
      <c r="TKJ20" s="64"/>
      <c r="TKK20" s="64"/>
      <c r="TKL20" s="64"/>
      <c r="TKM20" s="64"/>
      <c r="TKN20" s="64"/>
      <c r="TKO20" s="64"/>
      <c r="TKP20" s="64"/>
      <c r="TKQ20" s="64"/>
      <c r="TKR20" s="64"/>
      <c r="TKS20" s="64"/>
      <c r="TKT20" s="64"/>
      <c r="TKU20" s="64"/>
      <c r="TKV20" s="64"/>
      <c r="TKW20" s="64"/>
      <c r="TKX20" s="64"/>
      <c r="TKY20" s="64"/>
      <c r="TKZ20" s="64"/>
      <c r="TLA20" s="64"/>
      <c r="TLB20" s="64"/>
      <c r="TLC20" s="64"/>
      <c r="TLD20" s="64"/>
      <c r="TLE20" s="64"/>
      <c r="TLF20" s="64"/>
      <c r="TLG20" s="64"/>
      <c r="TLH20" s="64"/>
      <c r="TLI20" s="64"/>
      <c r="TLJ20" s="64"/>
      <c r="TLK20" s="64"/>
      <c r="TLL20" s="64"/>
      <c r="TLM20" s="64"/>
      <c r="TLN20" s="64"/>
      <c r="TLO20" s="64"/>
      <c r="TLP20" s="64"/>
      <c r="TLQ20" s="64"/>
      <c r="TLR20" s="64"/>
      <c r="TLS20" s="64"/>
      <c r="TLT20" s="64"/>
      <c r="TLU20" s="64"/>
      <c r="TLV20" s="64"/>
      <c r="TLW20" s="64"/>
      <c r="TLX20" s="64"/>
      <c r="TLY20" s="64"/>
      <c r="TLZ20" s="64"/>
      <c r="TMA20" s="64"/>
      <c r="TMB20" s="64"/>
      <c r="TMC20" s="64"/>
      <c r="TMD20" s="64"/>
      <c r="TME20" s="64"/>
      <c r="TMF20" s="64"/>
      <c r="TMG20" s="64"/>
      <c r="TMH20" s="64"/>
      <c r="TMI20" s="64"/>
      <c r="TMJ20" s="64"/>
      <c r="TMK20" s="64"/>
      <c r="TML20" s="64"/>
      <c r="TMM20" s="64"/>
      <c r="TMN20" s="64"/>
      <c r="TMO20" s="64"/>
      <c r="TMP20" s="64"/>
      <c r="TMQ20" s="64"/>
      <c r="TMR20" s="64"/>
      <c r="TMS20" s="64"/>
      <c r="TMT20" s="64"/>
      <c r="TMU20" s="64"/>
      <c r="TMV20" s="64"/>
      <c r="TMW20" s="64"/>
      <c r="TMX20" s="64"/>
      <c r="TMY20" s="64"/>
      <c r="TMZ20" s="64"/>
      <c r="TNA20" s="64"/>
      <c r="TNB20" s="64"/>
      <c r="TNC20" s="64"/>
      <c r="TND20" s="64"/>
      <c r="TNE20" s="64"/>
      <c r="TNF20" s="64"/>
      <c r="TNG20" s="64"/>
      <c r="TNH20" s="64"/>
      <c r="TNI20" s="64"/>
      <c r="TNJ20" s="64"/>
      <c r="TNK20" s="64"/>
      <c r="TNL20" s="64"/>
      <c r="TNM20" s="64"/>
      <c r="TNN20" s="64"/>
      <c r="TNO20" s="64"/>
      <c r="TNP20" s="64"/>
      <c r="TNQ20" s="64"/>
      <c r="TNR20" s="64"/>
      <c r="TNS20" s="64"/>
      <c r="TNT20" s="64"/>
      <c r="TNU20" s="64"/>
      <c r="TNV20" s="64"/>
      <c r="TNW20" s="64"/>
      <c r="TNX20" s="64"/>
      <c r="TNY20" s="64"/>
      <c r="TNZ20" s="64"/>
      <c r="TOA20" s="64"/>
      <c r="TOB20" s="64"/>
      <c r="TOC20" s="64"/>
      <c r="TOD20" s="64"/>
      <c r="TOE20" s="64"/>
      <c r="TOF20" s="64"/>
      <c r="TOG20" s="64"/>
      <c r="TOH20" s="64"/>
      <c r="TOI20" s="64"/>
      <c r="TOJ20" s="64"/>
      <c r="TOK20" s="64"/>
      <c r="TOL20" s="64"/>
      <c r="TOM20" s="64"/>
      <c r="TON20" s="64"/>
      <c r="TOO20" s="64"/>
      <c r="TOP20" s="64"/>
      <c r="TOQ20" s="64"/>
      <c r="TOR20" s="64"/>
      <c r="TOS20" s="64"/>
      <c r="TOT20" s="64"/>
      <c r="TOU20" s="64"/>
      <c r="TOV20" s="64"/>
      <c r="TOW20" s="64"/>
      <c r="TOX20" s="64"/>
      <c r="TOY20" s="64"/>
      <c r="TOZ20" s="64"/>
      <c r="TPA20" s="64"/>
      <c r="TPB20" s="64"/>
      <c r="TPC20" s="64"/>
      <c r="TPD20" s="64"/>
      <c r="TPE20" s="64"/>
      <c r="TPF20" s="64"/>
      <c r="TPG20" s="64"/>
      <c r="TPH20" s="64"/>
      <c r="TPI20" s="64"/>
      <c r="TPJ20" s="64"/>
      <c r="TPK20" s="64"/>
      <c r="TPL20" s="64"/>
      <c r="TPM20" s="64"/>
      <c r="TPN20" s="64"/>
      <c r="TPO20" s="64"/>
      <c r="TPP20" s="64"/>
      <c r="TPQ20" s="64"/>
      <c r="TPR20" s="64"/>
      <c r="TPS20" s="64"/>
      <c r="TPT20" s="64"/>
      <c r="TPU20" s="64"/>
      <c r="TPV20" s="64"/>
      <c r="TPW20" s="64"/>
      <c r="TPX20" s="64"/>
      <c r="TPY20" s="64"/>
      <c r="TPZ20" s="64"/>
      <c r="TQA20" s="64"/>
      <c r="TQB20" s="64"/>
      <c r="TQC20" s="64"/>
      <c r="TQD20" s="64"/>
      <c r="TQE20" s="64"/>
      <c r="TQF20" s="64"/>
      <c r="TQG20" s="64"/>
      <c r="TQH20" s="64"/>
      <c r="TQI20" s="64"/>
      <c r="TQJ20" s="64"/>
      <c r="TQK20" s="64"/>
      <c r="TQL20" s="64"/>
      <c r="TQM20" s="64"/>
      <c r="TQN20" s="64"/>
      <c r="TQO20" s="64"/>
      <c r="TQP20" s="64"/>
      <c r="TQQ20" s="64"/>
      <c r="TQR20" s="64"/>
      <c r="TQS20" s="64"/>
      <c r="TQT20" s="64"/>
      <c r="TQU20" s="64"/>
      <c r="TQV20" s="64"/>
      <c r="TQW20" s="64"/>
      <c r="TQX20" s="64"/>
      <c r="TQY20" s="64"/>
      <c r="TQZ20" s="64"/>
      <c r="TRA20" s="64"/>
      <c r="TRB20" s="64"/>
      <c r="TRC20" s="64"/>
      <c r="TRD20" s="64"/>
      <c r="TRE20" s="64"/>
      <c r="TRF20" s="64"/>
      <c r="TRG20" s="64"/>
      <c r="TRH20" s="64"/>
      <c r="TRI20" s="64"/>
      <c r="TRJ20" s="64"/>
      <c r="TRK20" s="64"/>
      <c r="TRL20" s="64"/>
      <c r="TRM20" s="64"/>
      <c r="TRN20" s="64"/>
      <c r="TRO20" s="64"/>
      <c r="TRP20" s="64"/>
      <c r="TRQ20" s="64"/>
      <c r="TRR20" s="64"/>
      <c r="TRS20" s="64"/>
      <c r="TRT20" s="64"/>
      <c r="TRU20" s="64"/>
      <c r="TRV20" s="64"/>
      <c r="TRW20" s="64"/>
      <c r="TRX20" s="64"/>
      <c r="TRY20" s="64"/>
      <c r="TRZ20" s="64"/>
      <c r="TSA20" s="64"/>
      <c r="TSB20" s="64"/>
      <c r="TSC20" s="64"/>
      <c r="TSD20" s="64"/>
      <c r="TSE20" s="64"/>
      <c r="TSF20" s="64"/>
      <c r="TSG20" s="64"/>
      <c r="TSH20" s="64"/>
      <c r="TSI20" s="64"/>
      <c r="TSJ20" s="64"/>
      <c r="TSK20" s="64"/>
      <c r="TSL20" s="64"/>
      <c r="TSM20" s="64"/>
      <c r="TSN20" s="64"/>
      <c r="TSO20" s="64"/>
      <c r="TSP20" s="64"/>
      <c r="TSQ20" s="64"/>
      <c r="TSR20" s="64"/>
      <c r="TSS20" s="64"/>
      <c r="TST20" s="64"/>
      <c r="TSU20" s="64"/>
      <c r="TSV20" s="64"/>
      <c r="TSW20" s="64"/>
      <c r="TSX20" s="64"/>
      <c r="TSY20" s="64"/>
      <c r="TSZ20" s="64"/>
      <c r="TTA20" s="64"/>
      <c r="TTB20" s="64"/>
      <c r="TTC20" s="64"/>
      <c r="TTD20" s="64"/>
      <c r="TTE20" s="64"/>
      <c r="TTF20" s="64"/>
      <c r="TTG20" s="64"/>
      <c r="TTH20" s="64"/>
      <c r="TTI20" s="64"/>
      <c r="TTJ20" s="64"/>
      <c r="TTK20" s="64"/>
      <c r="TTL20" s="64"/>
      <c r="TTM20" s="64"/>
      <c r="TTN20" s="64"/>
      <c r="TTO20" s="64"/>
      <c r="TTP20" s="64"/>
      <c r="TTQ20" s="64"/>
      <c r="TTR20" s="64"/>
      <c r="TTS20" s="64"/>
      <c r="TTT20" s="64"/>
      <c r="TTU20" s="64"/>
      <c r="TTV20" s="64"/>
      <c r="TTW20" s="64"/>
      <c r="TTX20" s="64"/>
      <c r="TTY20" s="64"/>
      <c r="TTZ20" s="64"/>
      <c r="TUA20" s="64"/>
      <c r="TUB20" s="64"/>
      <c r="TUC20" s="64"/>
      <c r="TUD20" s="64"/>
      <c r="TUE20" s="64"/>
      <c r="TUF20" s="64"/>
      <c r="TUG20" s="64"/>
      <c r="TUH20" s="64"/>
      <c r="TUI20" s="64"/>
      <c r="TUJ20" s="64"/>
      <c r="TUK20" s="64"/>
      <c r="TUL20" s="64"/>
      <c r="TUM20" s="64"/>
      <c r="TUN20" s="64"/>
      <c r="TUO20" s="64"/>
      <c r="TUP20" s="64"/>
      <c r="TUQ20" s="64"/>
      <c r="TUR20" s="64"/>
      <c r="TUS20" s="64"/>
      <c r="TUT20" s="64"/>
      <c r="TUU20" s="64"/>
      <c r="TUV20" s="64"/>
      <c r="TUW20" s="64"/>
      <c r="TUX20" s="64"/>
      <c r="TUY20" s="64"/>
      <c r="TUZ20" s="64"/>
      <c r="TVA20" s="64"/>
      <c r="TVB20" s="64"/>
      <c r="TVC20" s="64"/>
      <c r="TVD20" s="64"/>
      <c r="TVE20" s="64"/>
      <c r="TVF20" s="64"/>
      <c r="TVG20" s="64"/>
      <c r="TVH20" s="64"/>
      <c r="TVI20" s="64"/>
      <c r="TVJ20" s="64"/>
      <c r="TVK20" s="64"/>
      <c r="TVL20" s="64"/>
      <c r="TVM20" s="64"/>
      <c r="TVN20" s="64"/>
      <c r="TVO20" s="64"/>
      <c r="TVP20" s="64"/>
      <c r="TVQ20" s="64"/>
      <c r="TVR20" s="64"/>
      <c r="TVS20" s="64"/>
      <c r="TVT20" s="64"/>
      <c r="TVU20" s="64"/>
      <c r="TVV20" s="64"/>
      <c r="TVW20" s="64"/>
      <c r="TVX20" s="64"/>
      <c r="TVY20" s="64"/>
      <c r="TVZ20" s="64"/>
      <c r="TWA20" s="64"/>
      <c r="TWB20" s="64"/>
      <c r="TWC20" s="64"/>
      <c r="TWD20" s="64"/>
      <c r="TWE20" s="64"/>
      <c r="TWF20" s="64"/>
      <c r="TWG20" s="64"/>
      <c r="TWH20" s="64"/>
      <c r="TWI20" s="64"/>
      <c r="TWJ20" s="64"/>
      <c r="TWK20" s="64"/>
      <c r="TWL20" s="64"/>
      <c r="TWM20" s="64"/>
      <c r="TWN20" s="64"/>
      <c r="TWO20" s="64"/>
      <c r="TWP20" s="64"/>
      <c r="TWQ20" s="64"/>
      <c r="TWR20" s="64"/>
      <c r="TWS20" s="64"/>
      <c r="TWT20" s="64"/>
      <c r="TWU20" s="64"/>
      <c r="TWV20" s="64"/>
      <c r="TWW20" s="64"/>
      <c r="TWX20" s="64"/>
      <c r="TWY20" s="64"/>
      <c r="TWZ20" s="64"/>
      <c r="TXA20" s="64"/>
      <c r="TXB20" s="64"/>
      <c r="TXC20" s="64"/>
      <c r="TXD20" s="64"/>
      <c r="TXE20" s="64"/>
      <c r="TXF20" s="64"/>
      <c r="TXG20" s="64"/>
      <c r="TXH20" s="64"/>
      <c r="TXI20" s="64"/>
      <c r="TXJ20" s="64"/>
      <c r="TXK20" s="64"/>
      <c r="TXL20" s="64"/>
      <c r="TXM20" s="64"/>
      <c r="TXN20" s="64"/>
      <c r="TXO20" s="64"/>
      <c r="TXP20" s="64"/>
      <c r="TXQ20" s="64"/>
      <c r="TXR20" s="64"/>
      <c r="TXS20" s="64"/>
      <c r="TXT20" s="64"/>
      <c r="TXU20" s="64"/>
      <c r="TXV20" s="64"/>
      <c r="TXW20" s="64"/>
      <c r="TXX20" s="64"/>
      <c r="TXY20" s="64"/>
      <c r="TXZ20" s="64"/>
      <c r="TYA20" s="64"/>
      <c r="TYB20" s="64"/>
      <c r="TYC20" s="64"/>
      <c r="TYD20" s="64"/>
      <c r="TYE20" s="64"/>
      <c r="TYF20" s="64"/>
      <c r="TYG20" s="64"/>
      <c r="TYH20" s="64"/>
      <c r="TYI20" s="64"/>
      <c r="TYJ20" s="64"/>
      <c r="TYK20" s="64"/>
      <c r="TYL20" s="64"/>
      <c r="TYM20" s="64"/>
      <c r="TYN20" s="64"/>
      <c r="TYO20" s="64"/>
      <c r="TYP20" s="64"/>
      <c r="TYQ20" s="64"/>
      <c r="TYR20" s="64"/>
      <c r="TYS20" s="64"/>
      <c r="TYT20" s="64"/>
      <c r="TYU20" s="64"/>
      <c r="TYV20" s="64"/>
      <c r="TYW20" s="64"/>
      <c r="TYX20" s="64"/>
      <c r="TYY20" s="64"/>
      <c r="TYZ20" s="64"/>
      <c r="TZA20" s="64"/>
      <c r="TZB20" s="64"/>
      <c r="TZC20" s="64"/>
      <c r="TZD20" s="64"/>
      <c r="TZE20" s="64"/>
      <c r="TZF20" s="64"/>
      <c r="TZG20" s="64"/>
      <c r="TZH20" s="64"/>
      <c r="TZI20" s="64"/>
      <c r="TZJ20" s="64"/>
      <c r="TZK20" s="64"/>
      <c r="TZL20" s="64"/>
      <c r="TZM20" s="64"/>
      <c r="TZN20" s="64"/>
      <c r="TZO20" s="64"/>
      <c r="TZP20" s="64"/>
      <c r="TZQ20" s="64"/>
      <c r="TZR20" s="64"/>
      <c r="TZS20" s="64"/>
      <c r="TZT20" s="64"/>
      <c r="TZU20" s="64"/>
      <c r="TZV20" s="64"/>
      <c r="TZW20" s="64"/>
      <c r="TZX20" s="64"/>
      <c r="TZY20" s="64"/>
      <c r="TZZ20" s="64"/>
      <c r="UAA20" s="64"/>
      <c r="UAB20" s="64"/>
      <c r="UAC20" s="64"/>
      <c r="UAD20" s="64"/>
      <c r="UAE20" s="64"/>
      <c r="UAF20" s="64"/>
      <c r="UAG20" s="64"/>
      <c r="UAH20" s="64"/>
      <c r="UAI20" s="64"/>
      <c r="UAJ20" s="64"/>
      <c r="UAK20" s="64"/>
      <c r="UAL20" s="64"/>
      <c r="UAM20" s="64"/>
      <c r="UAN20" s="64"/>
      <c r="UAO20" s="64"/>
      <c r="UAP20" s="64"/>
      <c r="UAQ20" s="64"/>
      <c r="UAR20" s="64"/>
      <c r="UAS20" s="64"/>
      <c r="UAT20" s="64"/>
      <c r="UAU20" s="64"/>
      <c r="UAV20" s="64"/>
      <c r="UAW20" s="64"/>
      <c r="UAX20" s="64"/>
      <c r="UAY20" s="64"/>
      <c r="UAZ20" s="64"/>
      <c r="UBA20" s="64"/>
      <c r="UBB20" s="64"/>
      <c r="UBC20" s="64"/>
      <c r="UBD20" s="64"/>
      <c r="UBE20" s="64"/>
      <c r="UBF20" s="64"/>
      <c r="UBG20" s="64"/>
      <c r="UBH20" s="64"/>
      <c r="UBI20" s="64"/>
      <c r="UBJ20" s="64"/>
      <c r="UBK20" s="64"/>
      <c r="UBL20" s="64"/>
      <c r="UBM20" s="64"/>
      <c r="UBN20" s="64"/>
      <c r="UBO20" s="64"/>
      <c r="UBP20" s="64"/>
      <c r="UBQ20" s="64"/>
      <c r="UBR20" s="64"/>
      <c r="UBS20" s="64"/>
      <c r="UBT20" s="64"/>
      <c r="UBU20" s="64"/>
      <c r="UBV20" s="64"/>
      <c r="UBW20" s="64"/>
      <c r="UBX20" s="64"/>
      <c r="UBY20" s="64"/>
      <c r="UBZ20" s="64"/>
      <c r="UCA20" s="64"/>
      <c r="UCB20" s="64"/>
      <c r="UCC20" s="64"/>
      <c r="UCD20" s="64"/>
      <c r="UCE20" s="64"/>
      <c r="UCF20" s="64"/>
      <c r="UCG20" s="64"/>
      <c r="UCH20" s="64"/>
      <c r="UCI20" s="64"/>
      <c r="UCJ20" s="64"/>
      <c r="UCK20" s="64"/>
      <c r="UCL20" s="64"/>
      <c r="UCM20" s="64"/>
      <c r="UCN20" s="64"/>
      <c r="UCO20" s="64"/>
      <c r="UCP20" s="64"/>
      <c r="UCQ20" s="64"/>
      <c r="UCR20" s="64"/>
      <c r="UCS20" s="64"/>
      <c r="UCT20" s="64"/>
      <c r="UCU20" s="64"/>
      <c r="UCV20" s="64"/>
      <c r="UCW20" s="64"/>
      <c r="UCX20" s="64"/>
      <c r="UCY20" s="64"/>
      <c r="UCZ20" s="64"/>
      <c r="UDA20" s="64"/>
      <c r="UDB20" s="64"/>
      <c r="UDC20" s="64"/>
      <c r="UDD20" s="64"/>
      <c r="UDE20" s="64"/>
      <c r="UDF20" s="64"/>
      <c r="UDG20" s="64"/>
      <c r="UDH20" s="64"/>
      <c r="UDI20" s="64"/>
      <c r="UDJ20" s="64"/>
      <c r="UDK20" s="64"/>
      <c r="UDL20" s="64"/>
      <c r="UDM20" s="64"/>
      <c r="UDN20" s="64"/>
      <c r="UDO20" s="64"/>
      <c r="UDP20" s="64"/>
      <c r="UDQ20" s="64"/>
      <c r="UDR20" s="64"/>
      <c r="UDS20" s="64"/>
      <c r="UDT20" s="64"/>
      <c r="UDU20" s="64"/>
      <c r="UDV20" s="64"/>
      <c r="UDW20" s="64"/>
      <c r="UDX20" s="64"/>
      <c r="UDY20" s="64"/>
      <c r="UDZ20" s="64"/>
      <c r="UEA20" s="64"/>
      <c r="UEB20" s="64"/>
      <c r="UEC20" s="64"/>
      <c r="UED20" s="64"/>
      <c r="UEE20" s="64"/>
      <c r="UEF20" s="64"/>
      <c r="UEG20" s="64"/>
      <c r="UEH20" s="64"/>
      <c r="UEI20" s="64"/>
      <c r="UEJ20" s="64"/>
      <c r="UEK20" s="64"/>
      <c r="UEL20" s="64"/>
      <c r="UEM20" s="64"/>
      <c r="UEN20" s="64"/>
      <c r="UEO20" s="64"/>
      <c r="UEP20" s="64"/>
      <c r="UEQ20" s="64"/>
      <c r="UER20" s="64"/>
      <c r="UES20" s="64"/>
      <c r="UET20" s="64"/>
      <c r="UEU20" s="64"/>
      <c r="UEV20" s="64"/>
      <c r="UEW20" s="64"/>
      <c r="UEX20" s="64"/>
      <c r="UEY20" s="64"/>
      <c r="UEZ20" s="64"/>
      <c r="UFA20" s="64"/>
      <c r="UFB20" s="64"/>
      <c r="UFC20" s="64"/>
      <c r="UFD20" s="64"/>
      <c r="UFE20" s="64"/>
      <c r="UFF20" s="64"/>
      <c r="UFG20" s="64"/>
      <c r="UFH20" s="64"/>
      <c r="UFI20" s="64"/>
      <c r="UFJ20" s="64"/>
      <c r="UFK20" s="64"/>
      <c r="UFL20" s="64"/>
      <c r="UFM20" s="64"/>
      <c r="UFN20" s="64"/>
      <c r="UFO20" s="64"/>
      <c r="UFP20" s="64"/>
      <c r="UFQ20" s="64"/>
      <c r="UFR20" s="64"/>
      <c r="UFS20" s="64"/>
      <c r="UFT20" s="64"/>
      <c r="UFU20" s="64"/>
      <c r="UFV20" s="64"/>
      <c r="UFW20" s="64"/>
      <c r="UFX20" s="64"/>
      <c r="UFY20" s="64"/>
      <c r="UFZ20" s="64"/>
      <c r="UGA20" s="64"/>
      <c r="UGB20" s="64"/>
      <c r="UGC20" s="64"/>
      <c r="UGD20" s="64"/>
      <c r="UGE20" s="64"/>
      <c r="UGF20" s="64"/>
      <c r="UGG20" s="64"/>
      <c r="UGH20" s="64"/>
      <c r="UGI20" s="64"/>
      <c r="UGJ20" s="64"/>
      <c r="UGK20" s="64"/>
      <c r="UGL20" s="64"/>
      <c r="UGM20" s="64"/>
      <c r="UGN20" s="64"/>
      <c r="UGO20" s="64"/>
      <c r="UGP20" s="64"/>
      <c r="UGQ20" s="64"/>
      <c r="UGR20" s="64"/>
      <c r="UGS20" s="64"/>
      <c r="UGT20" s="64"/>
      <c r="UGU20" s="64"/>
      <c r="UGV20" s="64"/>
      <c r="UGW20" s="64"/>
      <c r="UGX20" s="64"/>
      <c r="UGY20" s="64"/>
      <c r="UGZ20" s="64"/>
      <c r="UHA20" s="64"/>
      <c r="UHB20" s="64"/>
      <c r="UHC20" s="64"/>
      <c r="UHD20" s="64"/>
      <c r="UHE20" s="64"/>
      <c r="UHF20" s="64"/>
      <c r="UHG20" s="64"/>
      <c r="UHH20" s="64"/>
      <c r="UHI20" s="64"/>
      <c r="UHJ20" s="64"/>
      <c r="UHK20" s="64"/>
      <c r="UHL20" s="64"/>
      <c r="UHM20" s="64"/>
      <c r="UHN20" s="64"/>
      <c r="UHO20" s="64"/>
      <c r="UHP20" s="64"/>
      <c r="UHQ20" s="64"/>
      <c r="UHR20" s="64"/>
      <c r="UHS20" s="64"/>
      <c r="UHT20" s="64"/>
      <c r="UHU20" s="64"/>
      <c r="UHV20" s="64"/>
      <c r="UHW20" s="64"/>
      <c r="UHX20" s="64"/>
      <c r="UHY20" s="64"/>
      <c r="UHZ20" s="64"/>
      <c r="UIA20" s="64"/>
      <c r="UIB20" s="64"/>
      <c r="UIC20" s="64"/>
      <c r="UID20" s="64"/>
      <c r="UIE20" s="64"/>
      <c r="UIF20" s="64"/>
      <c r="UIG20" s="64"/>
      <c r="UIH20" s="64"/>
      <c r="UII20" s="64"/>
      <c r="UIJ20" s="64"/>
      <c r="UIK20" s="64"/>
      <c r="UIL20" s="64"/>
      <c r="UIM20" s="64"/>
      <c r="UIN20" s="64"/>
      <c r="UIO20" s="64"/>
      <c r="UIP20" s="64"/>
      <c r="UIQ20" s="64"/>
      <c r="UIR20" s="64"/>
      <c r="UIS20" s="64"/>
      <c r="UIT20" s="64"/>
      <c r="UIU20" s="64"/>
      <c r="UIV20" s="64"/>
      <c r="UIW20" s="64"/>
      <c r="UIX20" s="64"/>
      <c r="UIY20" s="64"/>
      <c r="UIZ20" s="64"/>
      <c r="UJA20" s="64"/>
      <c r="UJB20" s="64"/>
      <c r="UJC20" s="64"/>
      <c r="UJD20" s="64"/>
      <c r="UJE20" s="64"/>
      <c r="UJF20" s="64"/>
      <c r="UJG20" s="64"/>
      <c r="UJH20" s="64"/>
      <c r="UJI20" s="64"/>
      <c r="UJJ20" s="64"/>
      <c r="UJK20" s="64"/>
      <c r="UJL20" s="64"/>
      <c r="UJM20" s="64"/>
      <c r="UJN20" s="64"/>
      <c r="UJO20" s="64"/>
      <c r="UJP20" s="64"/>
      <c r="UJQ20" s="64"/>
      <c r="UJR20" s="64"/>
      <c r="UJS20" s="64"/>
      <c r="UJT20" s="64"/>
      <c r="UJU20" s="64"/>
      <c r="UJV20" s="64"/>
      <c r="UJW20" s="64"/>
      <c r="UJX20" s="64"/>
      <c r="UJY20" s="64"/>
      <c r="UJZ20" s="64"/>
      <c r="UKA20" s="64"/>
      <c r="UKB20" s="64"/>
      <c r="UKC20" s="64"/>
      <c r="UKD20" s="64"/>
      <c r="UKE20" s="64"/>
      <c r="UKF20" s="64"/>
      <c r="UKG20" s="64"/>
      <c r="UKH20" s="64"/>
      <c r="UKI20" s="64"/>
      <c r="UKJ20" s="64"/>
      <c r="UKK20" s="64"/>
      <c r="UKL20" s="64"/>
      <c r="UKM20" s="64"/>
      <c r="UKN20" s="64"/>
      <c r="UKO20" s="64"/>
      <c r="UKP20" s="64"/>
      <c r="UKQ20" s="64"/>
      <c r="UKR20" s="64"/>
      <c r="UKS20" s="64"/>
      <c r="UKT20" s="64"/>
      <c r="UKU20" s="64"/>
      <c r="UKV20" s="64"/>
      <c r="UKW20" s="64"/>
      <c r="UKX20" s="64"/>
      <c r="UKY20" s="64"/>
      <c r="UKZ20" s="64"/>
      <c r="ULA20" s="64"/>
      <c r="ULB20" s="64"/>
      <c r="ULC20" s="64"/>
      <c r="ULD20" s="64"/>
      <c r="ULE20" s="64"/>
      <c r="ULF20" s="64"/>
      <c r="ULG20" s="64"/>
      <c r="ULH20" s="64"/>
      <c r="ULI20" s="64"/>
      <c r="ULJ20" s="64"/>
      <c r="ULK20" s="64"/>
      <c r="ULL20" s="64"/>
      <c r="ULM20" s="64"/>
      <c r="ULN20" s="64"/>
      <c r="ULO20" s="64"/>
      <c r="ULP20" s="64"/>
      <c r="ULQ20" s="64"/>
      <c r="ULR20" s="64"/>
      <c r="ULS20" s="64"/>
      <c r="ULT20" s="64"/>
      <c r="ULU20" s="64"/>
      <c r="ULV20" s="64"/>
      <c r="ULW20" s="64"/>
      <c r="ULX20" s="64"/>
      <c r="ULY20" s="64"/>
      <c r="ULZ20" s="64"/>
      <c r="UMA20" s="64"/>
      <c r="UMB20" s="64"/>
      <c r="UMC20" s="64"/>
      <c r="UMD20" s="64"/>
      <c r="UME20" s="64"/>
      <c r="UMF20" s="64"/>
      <c r="UMG20" s="64"/>
      <c r="UMH20" s="64"/>
      <c r="UMI20" s="64"/>
      <c r="UMJ20" s="64"/>
      <c r="UMK20" s="64"/>
      <c r="UML20" s="64"/>
      <c r="UMM20" s="64"/>
      <c r="UMN20" s="64"/>
      <c r="UMO20" s="64"/>
      <c r="UMP20" s="64"/>
      <c r="UMQ20" s="64"/>
      <c r="UMR20" s="64"/>
      <c r="UMS20" s="64"/>
      <c r="UMT20" s="64"/>
      <c r="UMU20" s="64"/>
      <c r="UMV20" s="64"/>
      <c r="UMW20" s="64"/>
      <c r="UMX20" s="64"/>
      <c r="UMY20" s="64"/>
      <c r="UMZ20" s="64"/>
      <c r="UNA20" s="64"/>
      <c r="UNB20" s="64"/>
      <c r="UNC20" s="64"/>
      <c r="UND20" s="64"/>
      <c r="UNE20" s="64"/>
      <c r="UNF20" s="64"/>
      <c r="UNG20" s="64"/>
      <c r="UNH20" s="64"/>
      <c r="UNI20" s="64"/>
      <c r="UNJ20" s="64"/>
      <c r="UNK20" s="64"/>
      <c r="UNL20" s="64"/>
      <c r="UNM20" s="64"/>
      <c r="UNN20" s="64"/>
      <c r="UNO20" s="64"/>
      <c r="UNP20" s="64"/>
      <c r="UNQ20" s="64"/>
      <c r="UNR20" s="64"/>
      <c r="UNS20" s="64"/>
      <c r="UNT20" s="64"/>
      <c r="UNU20" s="64"/>
      <c r="UNV20" s="64"/>
      <c r="UNW20" s="64"/>
      <c r="UNX20" s="64"/>
      <c r="UNY20" s="64"/>
      <c r="UNZ20" s="64"/>
      <c r="UOA20" s="64"/>
      <c r="UOB20" s="64"/>
      <c r="UOC20" s="64"/>
      <c r="UOD20" s="64"/>
      <c r="UOE20" s="64"/>
      <c r="UOF20" s="64"/>
      <c r="UOG20" s="64"/>
      <c r="UOH20" s="64"/>
      <c r="UOI20" s="64"/>
      <c r="UOJ20" s="64"/>
      <c r="UOK20" s="64"/>
      <c r="UOL20" s="64"/>
      <c r="UOM20" s="64"/>
      <c r="UON20" s="64"/>
      <c r="UOO20" s="64"/>
      <c r="UOP20" s="64"/>
      <c r="UOQ20" s="64"/>
      <c r="UOR20" s="64"/>
      <c r="UOS20" s="64"/>
      <c r="UOT20" s="64"/>
      <c r="UOU20" s="64"/>
      <c r="UOV20" s="64"/>
      <c r="UOW20" s="64"/>
      <c r="UOX20" s="64"/>
      <c r="UOY20" s="64"/>
      <c r="UOZ20" s="64"/>
      <c r="UPA20" s="64"/>
      <c r="UPB20" s="64"/>
      <c r="UPC20" s="64"/>
      <c r="UPD20" s="64"/>
      <c r="UPE20" s="64"/>
      <c r="UPF20" s="64"/>
      <c r="UPG20" s="64"/>
      <c r="UPH20" s="64"/>
      <c r="UPI20" s="64"/>
      <c r="UPJ20" s="64"/>
      <c r="UPK20" s="64"/>
      <c r="UPL20" s="64"/>
      <c r="UPM20" s="64"/>
      <c r="UPN20" s="64"/>
      <c r="UPO20" s="64"/>
      <c r="UPP20" s="64"/>
      <c r="UPQ20" s="64"/>
      <c r="UPR20" s="64"/>
      <c r="UPS20" s="64"/>
      <c r="UPT20" s="64"/>
      <c r="UPU20" s="64"/>
      <c r="UPV20" s="64"/>
      <c r="UPW20" s="64"/>
      <c r="UPX20" s="64"/>
      <c r="UPY20" s="64"/>
      <c r="UPZ20" s="64"/>
      <c r="UQA20" s="64"/>
      <c r="UQB20" s="64"/>
      <c r="UQC20" s="64"/>
      <c r="UQD20" s="64"/>
      <c r="UQE20" s="64"/>
      <c r="UQF20" s="64"/>
      <c r="UQG20" s="64"/>
      <c r="UQH20" s="64"/>
      <c r="UQI20" s="64"/>
      <c r="UQJ20" s="64"/>
      <c r="UQK20" s="64"/>
      <c r="UQL20" s="64"/>
      <c r="UQM20" s="64"/>
      <c r="UQN20" s="64"/>
      <c r="UQO20" s="64"/>
      <c r="UQP20" s="64"/>
      <c r="UQQ20" s="64"/>
      <c r="UQR20" s="64"/>
      <c r="UQS20" s="64"/>
      <c r="UQT20" s="64"/>
      <c r="UQU20" s="64"/>
      <c r="UQV20" s="64"/>
      <c r="UQW20" s="64"/>
      <c r="UQX20" s="64"/>
      <c r="UQY20" s="64"/>
      <c r="UQZ20" s="64"/>
      <c r="URA20" s="64"/>
      <c r="URB20" s="64"/>
      <c r="URC20" s="64"/>
      <c r="URD20" s="64"/>
      <c r="URE20" s="64"/>
      <c r="URF20" s="64"/>
      <c r="URG20" s="64"/>
      <c r="URH20" s="64"/>
      <c r="URI20" s="64"/>
      <c r="URJ20" s="64"/>
      <c r="URK20" s="64"/>
      <c r="URL20" s="64"/>
      <c r="URM20" s="64"/>
      <c r="URN20" s="64"/>
      <c r="URO20" s="64"/>
      <c r="URP20" s="64"/>
      <c r="URQ20" s="64"/>
      <c r="URR20" s="64"/>
      <c r="URS20" s="64"/>
      <c r="URT20" s="64"/>
      <c r="URU20" s="64"/>
      <c r="URV20" s="64"/>
      <c r="URW20" s="64"/>
      <c r="URX20" s="64"/>
      <c r="URY20" s="64"/>
      <c r="URZ20" s="64"/>
      <c r="USA20" s="64"/>
      <c r="USB20" s="64"/>
      <c r="USC20" s="64"/>
      <c r="USD20" s="64"/>
      <c r="USE20" s="64"/>
      <c r="USF20" s="64"/>
      <c r="USG20" s="64"/>
      <c r="USH20" s="64"/>
      <c r="USI20" s="64"/>
      <c r="USJ20" s="64"/>
      <c r="USK20" s="64"/>
      <c r="USL20" s="64"/>
      <c r="USM20" s="64"/>
      <c r="USN20" s="64"/>
      <c r="USO20" s="64"/>
      <c r="USP20" s="64"/>
      <c r="USQ20" s="64"/>
      <c r="USR20" s="64"/>
      <c r="USS20" s="64"/>
      <c r="UST20" s="64"/>
      <c r="USU20" s="64"/>
      <c r="USV20" s="64"/>
      <c r="USW20" s="64"/>
      <c r="USX20" s="64"/>
      <c r="USY20" s="64"/>
      <c r="USZ20" s="64"/>
      <c r="UTA20" s="64"/>
      <c r="UTB20" s="64"/>
      <c r="UTC20" s="64"/>
      <c r="UTD20" s="64"/>
      <c r="UTE20" s="64"/>
      <c r="UTF20" s="64"/>
      <c r="UTG20" s="64"/>
      <c r="UTH20" s="64"/>
      <c r="UTI20" s="64"/>
      <c r="UTJ20" s="64"/>
      <c r="UTK20" s="64"/>
      <c r="UTL20" s="64"/>
      <c r="UTM20" s="64"/>
      <c r="UTN20" s="64"/>
      <c r="UTO20" s="64"/>
      <c r="UTP20" s="64"/>
      <c r="UTQ20" s="64"/>
      <c r="UTR20" s="64"/>
      <c r="UTS20" s="64"/>
      <c r="UTT20" s="64"/>
      <c r="UTU20" s="64"/>
      <c r="UTV20" s="64"/>
      <c r="UTW20" s="64"/>
      <c r="UTX20" s="64"/>
      <c r="UTY20" s="64"/>
      <c r="UTZ20" s="64"/>
      <c r="UUA20" s="64"/>
      <c r="UUB20" s="64"/>
      <c r="UUC20" s="64"/>
      <c r="UUD20" s="64"/>
      <c r="UUE20" s="64"/>
      <c r="UUF20" s="64"/>
      <c r="UUG20" s="64"/>
      <c r="UUH20" s="64"/>
      <c r="UUI20" s="64"/>
      <c r="UUJ20" s="64"/>
      <c r="UUK20" s="64"/>
      <c r="UUL20" s="64"/>
      <c r="UUM20" s="64"/>
      <c r="UUN20" s="64"/>
      <c r="UUO20" s="64"/>
      <c r="UUP20" s="64"/>
      <c r="UUQ20" s="64"/>
      <c r="UUR20" s="64"/>
      <c r="UUS20" s="64"/>
      <c r="UUT20" s="64"/>
      <c r="UUU20" s="64"/>
      <c r="UUV20" s="64"/>
      <c r="UUW20" s="64"/>
      <c r="UUX20" s="64"/>
      <c r="UUY20" s="64"/>
      <c r="UUZ20" s="64"/>
      <c r="UVA20" s="64"/>
      <c r="UVB20" s="64"/>
      <c r="UVC20" s="64"/>
      <c r="UVD20" s="64"/>
      <c r="UVE20" s="64"/>
      <c r="UVF20" s="64"/>
      <c r="UVG20" s="64"/>
      <c r="UVH20" s="64"/>
      <c r="UVI20" s="64"/>
      <c r="UVJ20" s="64"/>
      <c r="UVK20" s="64"/>
      <c r="UVL20" s="64"/>
      <c r="UVM20" s="64"/>
      <c r="UVN20" s="64"/>
      <c r="UVO20" s="64"/>
      <c r="UVP20" s="64"/>
      <c r="UVQ20" s="64"/>
      <c r="UVR20" s="64"/>
      <c r="UVS20" s="64"/>
      <c r="UVT20" s="64"/>
      <c r="UVU20" s="64"/>
      <c r="UVV20" s="64"/>
      <c r="UVW20" s="64"/>
      <c r="UVX20" s="64"/>
      <c r="UVY20" s="64"/>
      <c r="UVZ20" s="64"/>
      <c r="UWA20" s="64"/>
      <c r="UWB20" s="64"/>
      <c r="UWC20" s="64"/>
      <c r="UWD20" s="64"/>
      <c r="UWE20" s="64"/>
      <c r="UWF20" s="64"/>
      <c r="UWG20" s="64"/>
      <c r="UWH20" s="64"/>
      <c r="UWI20" s="64"/>
      <c r="UWJ20" s="64"/>
      <c r="UWK20" s="64"/>
      <c r="UWL20" s="64"/>
      <c r="UWM20" s="64"/>
      <c r="UWN20" s="64"/>
      <c r="UWO20" s="64"/>
      <c r="UWP20" s="64"/>
      <c r="UWQ20" s="64"/>
      <c r="UWR20" s="64"/>
      <c r="UWS20" s="64"/>
      <c r="UWT20" s="64"/>
      <c r="UWU20" s="64"/>
      <c r="UWV20" s="64"/>
      <c r="UWW20" s="64"/>
      <c r="UWX20" s="64"/>
      <c r="UWY20" s="64"/>
      <c r="UWZ20" s="64"/>
      <c r="UXA20" s="64"/>
      <c r="UXB20" s="64"/>
      <c r="UXC20" s="64"/>
      <c r="UXD20" s="64"/>
      <c r="UXE20" s="64"/>
      <c r="UXF20" s="64"/>
      <c r="UXG20" s="64"/>
      <c r="UXH20" s="64"/>
      <c r="UXI20" s="64"/>
      <c r="UXJ20" s="64"/>
      <c r="UXK20" s="64"/>
      <c r="UXL20" s="64"/>
      <c r="UXM20" s="64"/>
      <c r="UXN20" s="64"/>
      <c r="UXO20" s="64"/>
      <c r="UXP20" s="64"/>
      <c r="UXQ20" s="64"/>
      <c r="UXR20" s="64"/>
      <c r="UXS20" s="64"/>
      <c r="UXT20" s="64"/>
      <c r="UXU20" s="64"/>
      <c r="UXV20" s="64"/>
      <c r="UXW20" s="64"/>
      <c r="UXX20" s="64"/>
      <c r="UXY20" s="64"/>
      <c r="UXZ20" s="64"/>
      <c r="UYA20" s="64"/>
      <c r="UYB20" s="64"/>
      <c r="UYC20" s="64"/>
      <c r="UYD20" s="64"/>
      <c r="UYE20" s="64"/>
      <c r="UYF20" s="64"/>
      <c r="UYG20" s="64"/>
      <c r="UYH20" s="64"/>
      <c r="UYI20" s="64"/>
      <c r="UYJ20" s="64"/>
      <c r="UYK20" s="64"/>
      <c r="UYL20" s="64"/>
      <c r="UYM20" s="64"/>
      <c r="UYN20" s="64"/>
      <c r="UYO20" s="64"/>
      <c r="UYP20" s="64"/>
      <c r="UYQ20" s="64"/>
      <c r="UYR20" s="64"/>
      <c r="UYS20" s="64"/>
      <c r="UYT20" s="64"/>
      <c r="UYU20" s="64"/>
      <c r="UYV20" s="64"/>
      <c r="UYW20" s="64"/>
      <c r="UYX20" s="64"/>
      <c r="UYY20" s="64"/>
      <c r="UYZ20" s="64"/>
      <c r="UZA20" s="64"/>
      <c r="UZB20" s="64"/>
      <c r="UZC20" s="64"/>
      <c r="UZD20" s="64"/>
      <c r="UZE20" s="64"/>
      <c r="UZF20" s="64"/>
      <c r="UZG20" s="64"/>
      <c r="UZH20" s="64"/>
      <c r="UZI20" s="64"/>
      <c r="UZJ20" s="64"/>
      <c r="UZK20" s="64"/>
      <c r="UZL20" s="64"/>
      <c r="UZM20" s="64"/>
      <c r="UZN20" s="64"/>
      <c r="UZO20" s="64"/>
      <c r="UZP20" s="64"/>
      <c r="UZQ20" s="64"/>
      <c r="UZR20" s="64"/>
      <c r="UZS20" s="64"/>
      <c r="UZT20" s="64"/>
      <c r="UZU20" s="64"/>
      <c r="UZV20" s="64"/>
      <c r="UZW20" s="64"/>
      <c r="UZX20" s="64"/>
      <c r="UZY20" s="64"/>
      <c r="UZZ20" s="64"/>
      <c r="VAA20" s="64"/>
      <c r="VAB20" s="64"/>
      <c r="VAC20" s="64"/>
      <c r="VAD20" s="64"/>
      <c r="VAE20" s="64"/>
      <c r="VAF20" s="64"/>
      <c r="VAG20" s="64"/>
      <c r="VAH20" s="64"/>
      <c r="VAI20" s="64"/>
      <c r="VAJ20" s="64"/>
      <c r="VAK20" s="64"/>
      <c r="VAL20" s="64"/>
      <c r="VAM20" s="64"/>
      <c r="VAN20" s="64"/>
      <c r="VAO20" s="64"/>
      <c r="VAP20" s="64"/>
      <c r="VAQ20" s="64"/>
      <c r="VAR20" s="64"/>
      <c r="VAS20" s="64"/>
      <c r="VAT20" s="64"/>
      <c r="VAU20" s="64"/>
      <c r="VAV20" s="64"/>
      <c r="VAW20" s="64"/>
      <c r="VAX20" s="64"/>
      <c r="VAY20" s="64"/>
      <c r="VAZ20" s="64"/>
      <c r="VBA20" s="64"/>
      <c r="VBB20" s="64"/>
      <c r="VBC20" s="64"/>
      <c r="VBD20" s="64"/>
      <c r="VBE20" s="64"/>
      <c r="VBF20" s="64"/>
      <c r="VBG20" s="64"/>
      <c r="VBH20" s="64"/>
      <c r="VBI20" s="64"/>
      <c r="VBJ20" s="64"/>
      <c r="VBK20" s="64"/>
      <c r="VBL20" s="64"/>
      <c r="VBM20" s="64"/>
      <c r="VBN20" s="64"/>
      <c r="VBO20" s="64"/>
      <c r="VBP20" s="64"/>
      <c r="VBQ20" s="64"/>
      <c r="VBR20" s="64"/>
      <c r="VBS20" s="64"/>
      <c r="VBT20" s="64"/>
      <c r="VBU20" s="64"/>
      <c r="VBV20" s="64"/>
      <c r="VBW20" s="64"/>
      <c r="VBX20" s="64"/>
      <c r="VBY20" s="64"/>
      <c r="VBZ20" s="64"/>
      <c r="VCA20" s="64"/>
      <c r="VCB20" s="64"/>
      <c r="VCC20" s="64"/>
      <c r="VCD20" s="64"/>
      <c r="VCE20" s="64"/>
      <c r="VCF20" s="64"/>
      <c r="VCG20" s="64"/>
      <c r="VCH20" s="64"/>
      <c r="VCI20" s="64"/>
      <c r="VCJ20" s="64"/>
      <c r="VCK20" s="64"/>
      <c r="VCL20" s="64"/>
      <c r="VCM20" s="64"/>
      <c r="VCN20" s="64"/>
      <c r="VCO20" s="64"/>
      <c r="VCP20" s="64"/>
      <c r="VCQ20" s="64"/>
      <c r="VCR20" s="64"/>
      <c r="VCS20" s="64"/>
      <c r="VCT20" s="64"/>
      <c r="VCU20" s="64"/>
      <c r="VCV20" s="64"/>
      <c r="VCW20" s="64"/>
      <c r="VCX20" s="64"/>
      <c r="VCY20" s="64"/>
      <c r="VCZ20" s="64"/>
      <c r="VDA20" s="64"/>
      <c r="VDB20" s="64"/>
      <c r="VDC20" s="64"/>
      <c r="VDD20" s="64"/>
      <c r="VDE20" s="64"/>
      <c r="VDF20" s="64"/>
      <c r="VDG20" s="64"/>
      <c r="VDH20" s="64"/>
      <c r="VDI20" s="64"/>
      <c r="VDJ20" s="64"/>
      <c r="VDK20" s="64"/>
      <c r="VDL20" s="64"/>
      <c r="VDM20" s="64"/>
      <c r="VDN20" s="64"/>
      <c r="VDO20" s="64"/>
      <c r="VDP20" s="64"/>
      <c r="VDQ20" s="64"/>
      <c r="VDR20" s="64"/>
      <c r="VDS20" s="64"/>
      <c r="VDT20" s="64"/>
      <c r="VDU20" s="64"/>
      <c r="VDV20" s="64"/>
      <c r="VDW20" s="64"/>
      <c r="VDX20" s="64"/>
      <c r="VDY20" s="64"/>
      <c r="VDZ20" s="64"/>
      <c r="VEA20" s="64"/>
      <c r="VEB20" s="64"/>
      <c r="VEC20" s="64"/>
      <c r="VED20" s="64"/>
      <c r="VEE20" s="64"/>
      <c r="VEF20" s="64"/>
      <c r="VEG20" s="64"/>
      <c r="VEH20" s="64"/>
      <c r="VEI20" s="64"/>
      <c r="VEJ20" s="64"/>
      <c r="VEK20" s="64"/>
      <c r="VEL20" s="64"/>
      <c r="VEM20" s="64"/>
      <c r="VEN20" s="64"/>
      <c r="VEO20" s="64"/>
      <c r="VEP20" s="64"/>
      <c r="VEQ20" s="64"/>
      <c r="VER20" s="64"/>
      <c r="VES20" s="64"/>
      <c r="VET20" s="64"/>
      <c r="VEU20" s="64"/>
      <c r="VEV20" s="64"/>
      <c r="VEW20" s="64"/>
      <c r="VEX20" s="64"/>
      <c r="VEY20" s="64"/>
      <c r="VEZ20" s="64"/>
      <c r="VFA20" s="64"/>
      <c r="VFB20" s="64"/>
      <c r="VFC20" s="64"/>
      <c r="VFD20" s="64"/>
      <c r="VFE20" s="64"/>
      <c r="VFF20" s="64"/>
      <c r="VFG20" s="64"/>
      <c r="VFH20" s="64"/>
      <c r="VFI20" s="64"/>
      <c r="VFJ20" s="64"/>
      <c r="VFK20" s="64"/>
      <c r="VFL20" s="64"/>
      <c r="VFM20" s="64"/>
      <c r="VFN20" s="64"/>
      <c r="VFO20" s="64"/>
      <c r="VFP20" s="64"/>
      <c r="VFQ20" s="64"/>
      <c r="VFR20" s="64"/>
      <c r="VFS20" s="64"/>
      <c r="VFT20" s="64"/>
      <c r="VFU20" s="64"/>
      <c r="VFV20" s="64"/>
      <c r="VFW20" s="64"/>
      <c r="VFX20" s="64"/>
      <c r="VFY20" s="64"/>
      <c r="VFZ20" s="64"/>
      <c r="VGA20" s="64"/>
      <c r="VGB20" s="64"/>
      <c r="VGC20" s="64"/>
      <c r="VGD20" s="64"/>
      <c r="VGE20" s="64"/>
      <c r="VGF20" s="64"/>
      <c r="VGG20" s="64"/>
      <c r="VGH20" s="64"/>
      <c r="VGI20" s="64"/>
      <c r="VGJ20" s="64"/>
      <c r="VGK20" s="64"/>
      <c r="VGL20" s="64"/>
      <c r="VGM20" s="64"/>
      <c r="VGN20" s="64"/>
      <c r="VGO20" s="64"/>
      <c r="VGP20" s="64"/>
      <c r="VGQ20" s="64"/>
      <c r="VGR20" s="64"/>
      <c r="VGS20" s="64"/>
      <c r="VGT20" s="64"/>
      <c r="VGU20" s="64"/>
      <c r="VGV20" s="64"/>
      <c r="VGW20" s="64"/>
      <c r="VGX20" s="64"/>
      <c r="VGY20" s="64"/>
      <c r="VGZ20" s="64"/>
      <c r="VHA20" s="64"/>
      <c r="VHB20" s="64"/>
      <c r="VHC20" s="64"/>
      <c r="VHD20" s="64"/>
      <c r="VHE20" s="64"/>
      <c r="VHF20" s="64"/>
      <c r="VHG20" s="64"/>
      <c r="VHH20" s="64"/>
      <c r="VHI20" s="64"/>
      <c r="VHJ20" s="64"/>
      <c r="VHK20" s="64"/>
      <c r="VHL20" s="64"/>
      <c r="VHM20" s="64"/>
      <c r="VHN20" s="64"/>
      <c r="VHO20" s="64"/>
      <c r="VHP20" s="64"/>
      <c r="VHQ20" s="64"/>
      <c r="VHR20" s="64"/>
      <c r="VHS20" s="64"/>
      <c r="VHT20" s="64"/>
      <c r="VHU20" s="64"/>
      <c r="VHV20" s="64"/>
      <c r="VHW20" s="64"/>
      <c r="VHX20" s="64"/>
      <c r="VHY20" s="64"/>
      <c r="VHZ20" s="64"/>
      <c r="VIA20" s="64"/>
      <c r="VIB20" s="64"/>
      <c r="VIC20" s="64"/>
      <c r="VID20" s="64"/>
      <c r="VIE20" s="64"/>
      <c r="VIF20" s="64"/>
      <c r="VIG20" s="64"/>
      <c r="VIH20" s="64"/>
      <c r="VII20" s="64"/>
      <c r="VIJ20" s="64"/>
      <c r="VIK20" s="64"/>
      <c r="VIL20" s="64"/>
      <c r="VIM20" s="64"/>
      <c r="VIN20" s="64"/>
      <c r="VIO20" s="64"/>
      <c r="VIP20" s="64"/>
      <c r="VIQ20" s="64"/>
      <c r="VIR20" s="64"/>
      <c r="VIS20" s="64"/>
      <c r="VIT20" s="64"/>
      <c r="VIU20" s="64"/>
      <c r="VIV20" s="64"/>
      <c r="VIW20" s="64"/>
      <c r="VIX20" s="64"/>
      <c r="VIY20" s="64"/>
      <c r="VIZ20" s="64"/>
      <c r="VJA20" s="64"/>
      <c r="VJB20" s="64"/>
      <c r="VJC20" s="64"/>
      <c r="VJD20" s="64"/>
      <c r="VJE20" s="64"/>
      <c r="VJF20" s="64"/>
      <c r="VJG20" s="64"/>
      <c r="VJH20" s="64"/>
      <c r="VJI20" s="64"/>
      <c r="VJJ20" s="64"/>
      <c r="VJK20" s="64"/>
      <c r="VJL20" s="64"/>
      <c r="VJM20" s="64"/>
      <c r="VJN20" s="64"/>
      <c r="VJO20" s="64"/>
      <c r="VJP20" s="64"/>
      <c r="VJQ20" s="64"/>
      <c r="VJR20" s="64"/>
      <c r="VJS20" s="64"/>
      <c r="VJT20" s="64"/>
      <c r="VJU20" s="64"/>
      <c r="VJV20" s="64"/>
      <c r="VJW20" s="64"/>
      <c r="VJX20" s="64"/>
      <c r="VJY20" s="64"/>
      <c r="VJZ20" s="64"/>
      <c r="VKA20" s="64"/>
      <c r="VKB20" s="64"/>
      <c r="VKC20" s="64"/>
      <c r="VKD20" s="64"/>
      <c r="VKE20" s="64"/>
      <c r="VKF20" s="64"/>
      <c r="VKG20" s="64"/>
      <c r="VKH20" s="64"/>
      <c r="VKI20" s="64"/>
      <c r="VKJ20" s="64"/>
      <c r="VKK20" s="64"/>
      <c r="VKL20" s="64"/>
      <c r="VKM20" s="64"/>
      <c r="VKN20" s="64"/>
      <c r="VKO20" s="64"/>
      <c r="VKP20" s="64"/>
      <c r="VKQ20" s="64"/>
      <c r="VKR20" s="64"/>
      <c r="VKS20" s="64"/>
      <c r="VKT20" s="64"/>
      <c r="VKU20" s="64"/>
      <c r="VKV20" s="64"/>
      <c r="VKW20" s="64"/>
      <c r="VKX20" s="64"/>
      <c r="VKY20" s="64"/>
      <c r="VKZ20" s="64"/>
      <c r="VLA20" s="64"/>
      <c r="VLB20" s="64"/>
      <c r="VLC20" s="64"/>
      <c r="VLD20" s="64"/>
      <c r="VLE20" s="64"/>
      <c r="VLF20" s="64"/>
      <c r="VLG20" s="64"/>
      <c r="VLH20" s="64"/>
      <c r="VLI20" s="64"/>
      <c r="VLJ20" s="64"/>
      <c r="VLK20" s="64"/>
      <c r="VLL20" s="64"/>
      <c r="VLM20" s="64"/>
      <c r="VLN20" s="64"/>
      <c r="VLO20" s="64"/>
      <c r="VLP20" s="64"/>
      <c r="VLQ20" s="64"/>
      <c r="VLR20" s="64"/>
      <c r="VLS20" s="64"/>
      <c r="VLT20" s="64"/>
      <c r="VLU20" s="64"/>
      <c r="VLV20" s="64"/>
      <c r="VLW20" s="64"/>
      <c r="VLX20" s="64"/>
      <c r="VLY20" s="64"/>
      <c r="VLZ20" s="64"/>
      <c r="VMA20" s="64"/>
      <c r="VMB20" s="64"/>
      <c r="VMC20" s="64"/>
      <c r="VMD20" s="64"/>
      <c r="VME20" s="64"/>
      <c r="VMF20" s="64"/>
      <c r="VMG20" s="64"/>
      <c r="VMH20" s="64"/>
      <c r="VMI20" s="64"/>
      <c r="VMJ20" s="64"/>
      <c r="VMK20" s="64"/>
      <c r="VML20" s="64"/>
      <c r="VMM20" s="64"/>
      <c r="VMN20" s="64"/>
      <c r="VMO20" s="64"/>
      <c r="VMP20" s="64"/>
      <c r="VMQ20" s="64"/>
      <c r="VMR20" s="64"/>
      <c r="VMS20" s="64"/>
      <c r="VMT20" s="64"/>
      <c r="VMU20" s="64"/>
      <c r="VMV20" s="64"/>
      <c r="VMW20" s="64"/>
      <c r="VMX20" s="64"/>
      <c r="VMY20" s="64"/>
      <c r="VMZ20" s="64"/>
      <c r="VNA20" s="64"/>
      <c r="VNB20" s="64"/>
      <c r="VNC20" s="64"/>
      <c r="VND20" s="64"/>
      <c r="VNE20" s="64"/>
      <c r="VNF20" s="64"/>
      <c r="VNG20" s="64"/>
      <c r="VNH20" s="64"/>
      <c r="VNI20" s="64"/>
      <c r="VNJ20" s="64"/>
      <c r="VNK20" s="64"/>
      <c r="VNL20" s="64"/>
      <c r="VNM20" s="64"/>
      <c r="VNN20" s="64"/>
      <c r="VNO20" s="64"/>
      <c r="VNP20" s="64"/>
      <c r="VNQ20" s="64"/>
      <c r="VNR20" s="64"/>
      <c r="VNS20" s="64"/>
      <c r="VNT20" s="64"/>
      <c r="VNU20" s="64"/>
      <c r="VNV20" s="64"/>
      <c r="VNW20" s="64"/>
      <c r="VNX20" s="64"/>
      <c r="VNY20" s="64"/>
      <c r="VNZ20" s="64"/>
      <c r="VOA20" s="64"/>
      <c r="VOB20" s="64"/>
      <c r="VOC20" s="64"/>
      <c r="VOD20" s="64"/>
      <c r="VOE20" s="64"/>
      <c r="VOF20" s="64"/>
      <c r="VOG20" s="64"/>
      <c r="VOH20" s="64"/>
      <c r="VOI20" s="64"/>
      <c r="VOJ20" s="64"/>
      <c r="VOK20" s="64"/>
      <c r="VOL20" s="64"/>
      <c r="VOM20" s="64"/>
      <c r="VON20" s="64"/>
      <c r="VOO20" s="64"/>
      <c r="VOP20" s="64"/>
      <c r="VOQ20" s="64"/>
      <c r="VOR20" s="64"/>
      <c r="VOS20" s="64"/>
      <c r="VOT20" s="64"/>
      <c r="VOU20" s="64"/>
      <c r="VOV20" s="64"/>
      <c r="VOW20" s="64"/>
      <c r="VOX20" s="64"/>
      <c r="VOY20" s="64"/>
      <c r="VOZ20" s="64"/>
      <c r="VPA20" s="64"/>
      <c r="VPB20" s="64"/>
      <c r="VPC20" s="64"/>
      <c r="VPD20" s="64"/>
      <c r="VPE20" s="64"/>
      <c r="VPF20" s="64"/>
      <c r="VPG20" s="64"/>
      <c r="VPH20" s="64"/>
      <c r="VPI20" s="64"/>
      <c r="VPJ20" s="64"/>
      <c r="VPK20" s="64"/>
      <c r="VPL20" s="64"/>
      <c r="VPM20" s="64"/>
      <c r="VPN20" s="64"/>
      <c r="VPO20" s="64"/>
      <c r="VPP20" s="64"/>
      <c r="VPQ20" s="64"/>
      <c r="VPR20" s="64"/>
      <c r="VPS20" s="64"/>
      <c r="VPT20" s="64"/>
      <c r="VPU20" s="64"/>
      <c r="VPV20" s="64"/>
      <c r="VPW20" s="64"/>
      <c r="VPX20" s="64"/>
      <c r="VPY20" s="64"/>
      <c r="VPZ20" s="64"/>
      <c r="VQA20" s="64"/>
      <c r="VQB20" s="64"/>
      <c r="VQC20" s="64"/>
      <c r="VQD20" s="64"/>
      <c r="VQE20" s="64"/>
      <c r="VQF20" s="64"/>
      <c r="VQG20" s="64"/>
      <c r="VQH20" s="64"/>
      <c r="VQI20" s="64"/>
      <c r="VQJ20" s="64"/>
      <c r="VQK20" s="64"/>
      <c r="VQL20" s="64"/>
      <c r="VQM20" s="64"/>
      <c r="VQN20" s="64"/>
      <c r="VQO20" s="64"/>
      <c r="VQP20" s="64"/>
      <c r="VQQ20" s="64"/>
      <c r="VQR20" s="64"/>
      <c r="VQS20" s="64"/>
      <c r="VQT20" s="64"/>
      <c r="VQU20" s="64"/>
      <c r="VQV20" s="64"/>
      <c r="VQW20" s="64"/>
      <c r="VQX20" s="64"/>
      <c r="VQY20" s="64"/>
      <c r="VQZ20" s="64"/>
      <c r="VRA20" s="64"/>
      <c r="VRB20" s="64"/>
      <c r="VRC20" s="64"/>
      <c r="VRD20" s="64"/>
      <c r="VRE20" s="64"/>
      <c r="VRF20" s="64"/>
      <c r="VRG20" s="64"/>
      <c r="VRH20" s="64"/>
      <c r="VRI20" s="64"/>
      <c r="VRJ20" s="64"/>
      <c r="VRK20" s="64"/>
      <c r="VRL20" s="64"/>
      <c r="VRM20" s="64"/>
      <c r="VRN20" s="64"/>
      <c r="VRO20" s="64"/>
      <c r="VRP20" s="64"/>
      <c r="VRQ20" s="64"/>
      <c r="VRR20" s="64"/>
      <c r="VRS20" s="64"/>
      <c r="VRT20" s="64"/>
      <c r="VRU20" s="64"/>
      <c r="VRV20" s="64"/>
      <c r="VRW20" s="64"/>
      <c r="VRX20" s="64"/>
      <c r="VRY20" s="64"/>
      <c r="VRZ20" s="64"/>
      <c r="VSA20" s="64"/>
      <c r="VSB20" s="64"/>
      <c r="VSC20" s="64"/>
      <c r="VSD20" s="64"/>
      <c r="VSE20" s="64"/>
      <c r="VSF20" s="64"/>
      <c r="VSG20" s="64"/>
      <c r="VSH20" s="64"/>
      <c r="VSI20" s="64"/>
      <c r="VSJ20" s="64"/>
      <c r="VSK20" s="64"/>
      <c r="VSL20" s="64"/>
      <c r="VSM20" s="64"/>
      <c r="VSN20" s="64"/>
      <c r="VSO20" s="64"/>
      <c r="VSP20" s="64"/>
      <c r="VSQ20" s="64"/>
      <c r="VSR20" s="64"/>
      <c r="VSS20" s="64"/>
      <c r="VST20" s="64"/>
      <c r="VSU20" s="64"/>
      <c r="VSV20" s="64"/>
      <c r="VSW20" s="64"/>
      <c r="VSX20" s="64"/>
      <c r="VSY20" s="64"/>
      <c r="VSZ20" s="64"/>
      <c r="VTA20" s="64"/>
      <c r="VTB20" s="64"/>
      <c r="VTC20" s="64"/>
      <c r="VTD20" s="64"/>
      <c r="VTE20" s="64"/>
      <c r="VTF20" s="64"/>
      <c r="VTG20" s="64"/>
      <c r="VTH20" s="64"/>
      <c r="VTI20" s="64"/>
      <c r="VTJ20" s="64"/>
      <c r="VTK20" s="64"/>
      <c r="VTL20" s="64"/>
      <c r="VTM20" s="64"/>
      <c r="VTN20" s="64"/>
      <c r="VTO20" s="64"/>
      <c r="VTP20" s="64"/>
      <c r="VTQ20" s="64"/>
      <c r="VTR20" s="64"/>
      <c r="VTS20" s="64"/>
      <c r="VTT20" s="64"/>
      <c r="VTU20" s="64"/>
      <c r="VTV20" s="64"/>
      <c r="VTW20" s="64"/>
      <c r="VTX20" s="64"/>
      <c r="VTY20" s="64"/>
      <c r="VTZ20" s="64"/>
      <c r="VUA20" s="64"/>
      <c r="VUB20" s="64"/>
      <c r="VUC20" s="64"/>
      <c r="VUD20" s="64"/>
      <c r="VUE20" s="64"/>
      <c r="VUF20" s="64"/>
      <c r="VUG20" s="64"/>
      <c r="VUH20" s="64"/>
      <c r="VUI20" s="64"/>
      <c r="VUJ20" s="64"/>
      <c r="VUK20" s="64"/>
      <c r="VUL20" s="64"/>
      <c r="VUM20" s="64"/>
      <c r="VUN20" s="64"/>
      <c r="VUO20" s="64"/>
      <c r="VUP20" s="64"/>
      <c r="VUQ20" s="64"/>
      <c r="VUR20" s="64"/>
      <c r="VUS20" s="64"/>
      <c r="VUT20" s="64"/>
      <c r="VUU20" s="64"/>
      <c r="VUV20" s="64"/>
      <c r="VUW20" s="64"/>
      <c r="VUX20" s="64"/>
      <c r="VUY20" s="64"/>
      <c r="VUZ20" s="64"/>
      <c r="VVA20" s="64"/>
      <c r="VVB20" s="64"/>
      <c r="VVC20" s="64"/>
      <c r="VVD20" s="64"/>
      <c r="VVE20" s="64"/>
      <c r="VVF20" s="64"/>
      <c r="VVG20" s="64"/>
      <c r="VVH20" s="64"/>
      <c r="VVI20" s="64"/>
      <c r="VVJ20" s="64"/>
      <c r="VVK20" s="64"/>
      <c r="VVL20" s="64"/>
      <c r="VVM20" s="64"/>
      <c r="VVN20" s="64"/>
      <c r="VVO20" s="64"/>
      <c r="VVP20" s="64"/>
      <c r="VVQ20" s="64"/>
      <c r="VVR20" s="64"/>
      <c r="VVS20" s="64"/>
      <c r="VVT20" s="64"/>
      <c r="VVU20" s="64"/>
      <c r="VVV20" s="64"/>
      <c r="VVW20" s="64"/>
      <c r="VVX20" s="64"/>
      <c r="VVY20" s="64"/>
      <c r="VVZ20" s="64"/>
      <c r="VWA20" s="64"/>
      <c r="VWB20" s="64"/>
      <c r="VWC20" s="64"/>
      <c r="VWD20" s="64"/>
      <c r="VWE20" s="64"/>
      <c r="VWF20" s="64"/>
      <c r="VWG20" s="64"/>
      <c r="VWH20" s="64"/>
      <c r="VWI20" s="64"/>
      <c r="VWJ20" s="64"/>
      <c r="VWK20" s="64"/>
      <c r="VWL20" s="64"/>
      <c r="VWM20" s="64"/>
      <c r="VWN20" s="64"/>
      <c r="VWO20" s="64"/>
      <c r="VWP20" s="64"/>
      <c r="VWQ20" s="64"/>
      <c r="VWR20" s="64"/>
      <c r="VWS20" s="64"/>
      <c r="VWT20" s="64"/>
      <c r="VWU20" s="64"/>
      <c r="VWV20" s="64"/>
      <c r="VWW20" s="64"/>
      <c r="VWX20" s="64"/>
      <c r="VWY20" s="64"/>
      <c r="VWZ20" s="64"/>
      <c r="VXA20" s="64"/>
      <c r="VXB20" s="64"/>
      <c r="VXC20" s="64"/>
      <c r="VXD20" s="64"/>
      <c r="VXE20" s="64"/>
      <c r="VXF20" s="64"/>
      <c r="VXG20" s="64"/>
      <c r="VXH20" s="64"/>
      <c r="VXI20" s="64"/>
      <c r="VXJ20" s="64"/>
      <c r="VXK20" s="64"/>
      <c r="VXL20" s="64"/>
      <c r="VXM20" s="64"/>
      <c r="VXN20" s="64"/>
      <c r="VXO20" s="64"/>
      <c r="VXP20" s="64"/>
      <c r="VXQ20" s="64"/>
      <c r="VXR20" s="64"/>
      <c r="VXS20" s="64"/>
      <c r="VXT20" s="64"/>
      <c r="VXU20" s="64"/>
      <c r="VXV20" s="64"/>
      <c r="VXW20" s="64"/>
      <c r="VXX20" s="64"/>
      <c r="VXY20" s="64"/>
      <c r="VXZ20" s="64"/>
      <c r="VYA20" s="64"/>
      <c r="VYB20" s="64"/>
      <c r="VYC20" s="64"/>
      <c r="VYD20" s="64"/>
      <c r="VYE20" s="64"/>
      <c r="VYF20" s="64"/>
      <c r="VYG20" s="64"/>
      <c r="VYH20" s="64"/>
      <c r="VYI20" s="64"/>
      <c r="VYJ20" s="64"/>
      <c r="VYK20" s="64"/>
      <c r="VYL20" s="64"/>
      <c r="VYM20" s="64"/>
      <c r="VYN20" s="64"/>
      <c r="VYO20" s="64"/>
      <c r="VYP20" s="64"/>
      <c r="VYQ20" s="64"/>
      <c r="VYR20" s="64"/>
      <c r="VYS20" s="64"/>
      <c r="VYT20" s="64"/>
      <c r="VYU20" s="64"/>
      <c r="VYV20" s="64"/>
      <c r="VYW20" s="64"/>
      <c r="VYX20" s="64"/>
      <c r="VYY20" s="64"/>
      <c r="VYZ20" s="64"/>
      <c r="VZA20" s="64"/>
      <c r="VZB20" s="64"/>
      <c r="VZC20" s="64"/>
      <c r="VZD20" s="64"/>
      <c r="VZE20" s="64"/>
      <c r="VZF20" s="64"/>
      <c r="VZG20" s="64"/>
      <c r="VZH20" s="64"/>
      <c r="VZI20" s="64"/>
      <c r="VZJ20" s="64"/>
      <c r="VZK20" s="64"/>
      <c r="VZL20" s="64"/>
      <c r="VZM20" s="64"/>
      <c r="VZN20" s="64"/>
      <c r="VZO20" s="64"/>
      <c r="VZP20" s="64"/>
      <c r="VZQ20" s="64"/>
      <c r="VZR20" s="64"/>
      <c r="VZS20" s="64"/>
      <c r="VZT20" s="64"/>
      <c r="VZU20" s="64"/>
      <c r="VZV20" s="64"/>
      <c r="VZW20" s="64"/>
      <c r="VZX20" s="64"/>
      <c r="VZY20" s="64"/>
      <c r="VZZ20" s="64"/>
      <c r="WAA20" s="64"/>
      <c r="WAB20" s="64"/>
      <c r="WAC20" s="64"/>
      <c r="WAD20" s="64"/>
      <c r="WAE20" s="64"/>
      <c r="WAF20" s="64"/>
      <c r="WAG20" s="64"/>
      <c r="WAH20" s="64"/>
      <c r="WAI20" s="64"/>
      <c r="WAJ20" s="64"/>
      <c r="WAK20" s="64"/>
      <c r="WAL20" s="64"/>
      <c r="WAM20" s="64"/>
      <c r="WAN20" s="64"/>
      <c r="WAO20" s="64"/>
      <c r="WAP20" s="64"/>
      <c r="WAQ20" s="64"/>
      <c r="WAR20" s="64"/>
      <c r="WAS20" s="64"/>
      <c r="WAT20" s="64"/>
      <c r="WAU20" s="64"/>
      <c r="WAV20" s="64"/>
      <c r="WAW20" s="64"/>
      <c r="WAX20" s="64"/>
      <c r="WAY20" s="64"/>
      <c r="WAZ20" s="64"/>
      <c r="WBA20" s="64"/>
      <c r="WBB20" s="64"/>
      <c r="WBC20" s="64"/>
      <c r="WBD20" s="64"/>
      <c r="WBE20" s="64"/>
      <c r="WBF20" s="64"/>
      <c r="WBG20" s="64"/>
      <c r="WBH20" s="64"/>
      <c r="WBI20" s="64"/>
      <c r="WBJ20" s="64"/>
      <c r="WBK20" s="64"/>
      <c r="WBL20" s="64"/>
      <c r="WBM20" s="64"/>
      <c r="WBN20" s="64"/>
      <c r="WBO20" s="64"/>
      <c r="WBP20" s="64"/>
      <c r="WBQ20" s="64"/>
      <c r="WBR20" s="64"/>
      <c r="WBS20" s="64"/>
      <c r="WBT20" s="64"/>
      <c r="WBU20" s="64"/>
      <c r="WBV20" s="64"/>
      <c r="WBW20" s="64"/>
      <c r="WBX20" s="64"/>
      <c r="WBY20" s="64"/>
      <c r="WBZ20" s="64"/>
      <c r="WCA20" s="64"/>
      <c r="WCB20" s="64"/>
      <c r="WCC20" s="64"/>
      <c r="WCD20" s="64"/>
      <c r="WCE20" s="64"/>
      <c r="WCF20" s="64"/>
      <c r="WCG20" s="64"/>
      <c r="WCH20" s="64"/>
      <c r="WCI20" s="64"/>
      <c r="WCJ20" s="64"/>
      <c r="WCK20" s="64"/>
      <c r="WCL20" s="64"/>
      <c r="WCM20" s="64"/>
      <c r="WCN20" s="64"/>
      <c r="WCO20" s="64"/>
      <c r="WCP20" s="64"/>
      <c r="WCQ20" s="64"/>
      <c r="WCR20" s="64"/>
      <c r="WCS20" s="64"/>
      <c r="WCT20" s="64"/>
      <c r="WCU20" s="64"/>
      <c r="WCV20" s="64"/>
      <c r="WCW20" s="64"/>
      <c r="WCX20" s="64"/>
      <c r="WCY20" s="64"/>
      <c r="WCZ20" s="64"/>
      <c r="WDA20" s="64"/>
      <c r="WDB20" s="64"/>
      <c r="WDC20" s="64"/>
      <c r="WDD20" s="64"/>
      <c r="WDE20" s="64"/>
      <c r="WDF20" s="64"/>
      <c r="WDG20" s="64"/>
      <c r="WDH20" s="64"/>
      <c r="WDI20" s="64"/>
      <c r="WDJ20" s="64"/>
      <c r="WDK20" s="64"/>
      <c r="WDL20" s="64"/>
      <c r="WDM20" s="64"/>
      <c r="WDN20" s="64"/>
      <c r="WDO20" s="64"/>
      <c r="WDP20" s="64"/>
      <c r="WDQ20" s="64"/>
      <c r="WDR20" s="64"/>
      <c r="WDS20" s="64"/>
      <c r="WDT20" s="64"/>
      <c r="WDU20" s="64"/>
      <c r="WDV20" s="64"/>
      <c r="WDW20" s="64"/>
      <c r="WDX20" s="64"/>
      <c r="WDY20" s="64"/>
      <c r="WDZ20" s="64"/>
      <c r="WEA20" s="64"/>
      <c r="WEB20" s="64"/>
      <c r="WEC20" s="64"/>
      <c r="WED20" s="64"/>
      <c r="WEE20" s="64"/>
      <c r="WEF20" s="64"/>
      <c r="WEG20" s="64"/>
      <c r="WEH20" s="64"/>
      <c r="WEI20" s="64"/>
      <c r="WEJ20" s="64"/>
      <c r="WEK20" s="64"/>
      <c r="WEL20" s="64"/>
      <c r="WEM20" s="64"/>
      <c r="WEN20" s="64"/>
      <c r="WEO20" s="64"/>
      <c r="WEP20" s="64"/>
      <c r="WEQ20" s="64"/>
      <c r="WER20" s="64"/>
      <c r="WES20" s="64"/>
      <c r="WET20" s="64"/>
      <c r="WEU20" s="64"/>
      <c r="WEV20" s="64"/>
      <c r="WEW20" s="64"/>
      <c r="WEX20" s="64"/>
      <c r="WEY20" s="64"/>
      <c r="WEZ20" s="64"/>
      <c r="WFA20" s="64"/>
      <c r="WFB20" s="64"/>
      <c r="WFC20" s="64"/>
      <c r="WFD20" s="64"/>
      <c r="WFE20" s="64"/>
      <c r="WFF20" s="64"/>
      <c r="WFG20" s="64"/>
      <c r="WFH20" s="64"/>
      <c r="WFI20" s="64"/>
      <c r="WFJ20" s="64"/>
      <c r="WFK20" s="64"/>
      <c r="WFL20" s="64"/>
      <c r="WFM20" s="64"/>
      <c r="WFN20" s="64"/>
      <c r="WFO20" s="64"/>
      <c r="WFP20" s="64"/>
      <c r="WFQ20" s="64"/>
      <c r="WFR20" s="64"/>
      <c r="WFS20" s="64"/>
      <c r="WFT20" s="64"/>
      <c r="WFU20" s="64"/>
      <c r="WFV20" s="64"/>
      <c r="WFW20" s="64"/>
      <c r="WFX20" s="64"/>
      <c r="WFY20" s="64"/>
      <c r="WFZ20" s="64"/>
      <c r="WGA20" s="64"/>
      <c r="WGB20" s="64"/>
      <c r="WGC20" s="64"/>
      <c r="WGD20" s="64"/>
      <c r="WGE20" s="64"/>
      <c r="WGF20" s="64"/>
      <c r="WGG20" s="64"/>
      <c r="WGH20" s="64"/>
      <c r="WGI20" s="64"/>
      <c r="WGJ20" s="64"/>
      <c r="WGK20" s="64"/>
      <c r="WGL20" s="64"/>
      <c r="WGM20" s="64"/>
      <c r="WGN20" s="64"/>
      <c r="WGO20" s="64"/>
      <c r="WGP20" s="64"/>
      <c r="WGQ20" s="64"/>
      <c r="WGR20" s="64"/>
      <c r="WGS20" s="64"/>
      <c r="WGT20" s="64"/>
      <c r="WGU20" s="64"/>
      <c r="WGV20" s="64"/>
      <c r="WGW20" s="64"/>
      <c r="WGX20" s="64"/>
      <c r="WGY20" s="64"/>
      <c r="WGZ20" s="64"/>
      <c r="WHA20" s="64"/>
      <c r="WHB20" s="64"/>
      <c r="WHC20" s="64"/>
      <c r="WHD20" s="64"/>
      <c r="WHE20" s="64"/>
      <c r="WHF20" s="64"/>
      <c r="WHG20" s="64"/>
      <c r="WHH20" s="64"/>
      <c r="WHI20" s="64"/>
      <c r="WHJ20" s="64"/>
      <c r="WHK20" s="64"/>
      <c r="WHL20" s="64"/>
      <c r="WHM20" s="64"/>
      <c r="WHN20" s="64"/>
      <c r="WHO20" s="64"/>
      <c r="WHP20" s="64"/>
      <c r="WHQ20" s="64"/>
      <c r="WHR20" s="64"/>
      <c r="WHS20" s="64"/>
      <c r="WHT20" s="64"/>
      <c r="WHU20" s="64"/>
      <c r="WHV20" s="64"/>
      <c r="WHW20" s="64"/>
      <c r="WHX20" s="64"/>
      <c r="WHY20" s="64"/>
      <c r="WHZ20" s="64"/>
      <c r="WIA20" s="64"/>
      <c r="WIB20" s="64"/>
      <c r="WIC20" s="64"/>
      <c r="WID20" s="64"/>
      <c r="WIE20" s="64"/>
      <c r="WIF20" s="64"/>
      <c r="WIG20" s="64"/>
      <c r="WIH20" s="64"/>
      <c r="WII20" s="64"/>
      <c r="WIJ20" s="64"/>
      <c r="WIK20" s="64"/>
      <c r="WIL20" s="64"/>
      <c r="WIM20" s="64"/>
      <c r="WIN20" s="64"/>
      <c r="WIO20" s="64"/>
      <c r="WIP20" s="64"/>
      <c r="WIQ20" s="64"/>
      <c r="WIR20" s="64"/>
      <c r="WIS20" s="64"/>
      <c r="WIT20" s="64"/>
      <c r="WIU20" s="64"/>
      <c r="WIV20" s="64"/>
      <c r="WIW20" s="64"/>
      <c r="WIX20" s="64"/>
      <c r="WIY20" s="64"/>
      <c r="WIZ20" s="64"/>
      <c r="WJA20" s="64"/>
      <c r="WJB20" s="64"/>
      <c r="WJC20" s="64"/>
      <c r="WJD20" s="64"/>
      <c r="WJE20" s="64"/>
      <c r="WJF20" s="64"/>
      <c r="WJG20" s="64"/>
      <c r="WJH20" s="64"/>
      <c r="WJI20" s="64"/>
      <c r="WJJ20" s="64"/>
      <c r="WJK20" s="64"/>
      <c r="WJL20" s="64"/>
      <c r="WJM20" s="64"/>
      <c r="WJN20" s="64"/>
      <c r="WJO20" s="64"/>
      <c r="WJP20" s="64"/>
      <c r="WJQ20" s="64"/>
      <c r="WJR20" s="64"/>
      <c r="WJS20" s="64"/>
      <c r="WJT20" s="64"/>
      <c r="WJU20" s="64"/>
      <c r="WJV20" s="64"/>
      <c r="WJW20" s="64"/>
      <c r="WJX20" s="64"/>
      <c r="WJY20" s="64"/>
      <c r="WJZ20" s="64"/>
      <c r="WKA20" s="64"/>
      <c r="WKB20" s="64"/>
      <c r="WKC20" s="64"/>
      <c r="WKD20" s="64"/>
      <c r="WKE20" s="64"/>
      <c r="WKF20" s="64"/>
      <c r="WKG20" s="64"/>
      <c r="WKH20" s="64"/>
      <c r="WKI20" s="64"/>
      <c r="WKJ20" s="64"/>
      <c r="WKK20" s="64"/>
      <c r="WKL20" s="64"/>
      <c r="WKM20" s="64"/>
      <c r="WKN20" s="64"/>
      <c r="WKO20" s="64"/>
      <c r="WKP20" s="64"/>
      <c r="WKQ20" s="64"/>
      <c r="WKR20" s="64"/>
      <c r="WKS20" s="64"/>
      <c r="WKT20" s="64"/>
      <c r="WKU20" s="64"/>
      <c r="WKV20" s="64"/>
      <c r="WKW20" s="64"/>
      <c r="WKX20" s="64"/>
      <c r="WKY20" s="64"/>
      <c r="WKZ20" s="64"/>
      <c r="WLA20" s="64"/>
      <c r="WLB20" s="64"/>
      <c r="WLC20" s="64"/>
      <c r="WLD20" s="64"/>
      <c r="WLE20" s="64"/>
      <c r="WLF20" s="64"/>
      <c r="WLG20" s="64"/>
      <c r="WLH20" s="64"/>
      <c r="WLI20" s="64"/>
      <c r="WLJ20" s="64"/>
      <c r="WLK20" s="64"/>
      <c r="WLL20" s="64"/>
      <c r="WLM20" s="64"/>
      <c r="WLN20" s="64"/>
      <c r="WLO20" s="64"/>
      <c r="WLP20" s="64"/>
      <c r="WLQ20" s="64"/>
      <c r="WLR20" s="64"/>
      <c r="WLS20" s="64"/>
      <c r="WLT20" s="64"/>
      <c r="WLU20" s="64"/>
      <c r="WLV20" s="64"/>
      <c r="WLW20" s="64"/>
      <c r="WLX20" s="64"/>
      <c r="WLY20" s="64"/>
      <c r="WLZ20" s="64"/>
      <c r="WMA20" s="64"/>
      <c r="WMB20" s="64"/>
      <c r="WMC20" s="64"/>
      <c r="WMD20" s="64"/>
      <c r="WME20" s="64"/>
      <c r="WMF20" s="64"/>
      <c r="WMG20" s="64"/>
      <c r="WMH20" s="64"/>
      <c r="WMI20" s="64"/>
      <c r="WMJ20" s="64"/>
      <c r="WMK20" s="64"/>
      <c r="WML20" s="64"/>
      <c r="WMM20" s="64"/>
      <c r="WMN20" s="64"/>
      <c r="WMO20" s="64"/>
      <c r="WMP20" s="64"/>
      <c r="WMQ20" s="64"/>
      <c r="WMR20" s="64"/>
      <c r="WMS20" s="64"/>
      <c r="WMT20" s="64"/>
      <c r="WMU20" s="64"/>
      <c r="WMV20" s="64"/>
      <c r="WMW20" s="64"/>
      <c r="WMX20" s="64"/>
      <c r="WMY20" s="64"/>
      <c r="WMZ20" s="64"/>
      <c r="WNA20" s="64"/>
      <c r="WNB20" s="64"/>
      <c r="WNC20" s="64"/>
      <c r="WND20" s="64"/>
      <c r="WNE20" s="64"/>
      <c r="WNF20" s="64"/>
      <c r="WNG20" s="64"/>
      <c r="WNH20" s="64"/>
      <c r="WNI20" s="64"/>
      <c r="WNJ20" s="64"/>
      <c r="WNK20" s="64"/>
      <c r="WNL20" s="64"/>
      <c r="WNM20" s="64"/>
      <c r="WNN20" s="64"/>
      <c r="WNO20" s="64"/>
      <c r="WNP20" s="64"/>
      <c r="WNQ20" s="64"/>
      <c r="WNR20" s="64"/>
      <c r="WNS20" s="64"/>
      <c r="WNT20" s="64"/>
      <c r="WNU20" s="64"/>
      <c r="WNV20" s="64"/>
      <c r="WNW20" s="64"/>
      <c r="WNX20" s="64"/>
      <c r="WNY20" s="64"/>
      <c r="WNZ20" s="64"/>
      <c r="WOA20" s="64"/>
      <c r="WOB20" s="64"/>
      <c r="WOC20" s="64"/>
      <c r="WOD20" s="64"/>
      <c r="WOE20" s="64"/>
      <c r="WOF20" s="64"/>
      <c r="WOG20" s="64"/>
      <c r="WOH20" s="64"/>
      <c r="WOI20" s="64"/>
      <c r="WOJ20" s="64"/>
      <c r="WOK20" s="64"/>
      <c r="WOL20" s="64"/>
      <c r="WOM20" s="64"/>
      <c r="WON20" s="64"/>
      <c r="WOO20" s="64"/>
      <c r="WOP20" s="64"/>
      <c r="WOQ20" s="64"/>
      <c r="WOR20" s="64"/>
      <c r="WOS20" s="64"/>
      <c r="WOT20" s="64"/>
      <c r="WOU20" s="64"/>
      <c r="WOV20" s="64"/>
      <c r="WOW20" s="64"/>
      <c r="WOX20" s="64"/>
      <c r="WOY20" s="64"/>
      <c r="WOZ20" s="64"/>
      <c r="WPA20" s="64"/>
      <c r="WPB20" s="64"/>
      <c r="WPC20" s="64"/>
      <c r="WPD20" s="64"/>
      <c r="WPE20" s="64"/>
      <c r="WPF20" s="64"/>
      <c r="WPG20" s="64"/>
      <c r="WPH20" s="64"/>
      <c r="WPI20" s="64"/>
      <c r="WPJ20" s="64"/>
      <c r="WPK20" s="64"/>
      <c r="WPL20" s="64"/>
      <c r="WPM20" s="64"/>
      <c r="WPN20" s="64"/>
      <c r="WPO20" s="64"/>
      <c r="WPP20" s="64"/>
      <c r="WPQ20" s="64"/>
      <c r="WPR20" s="64"/>
      <c r="WPS20" s="64"/>
      <c r="WPT20" s="64"/>
      <c r="WPU20" s="64"/>
      <c r="WPV20" s="64"/>
      <c r="WPW20" s="64"/>
      <c r="WPX20" s="64"/>
      <c r="WPY20" s="64"/>
      <c r="WPZ20" s="64"/>
      <c r="WQA20" s="64"/>
      <c r="WQB20" s="64"/>
      <c r="WQC20" s="64"/>
      <c r="WQD20" s="64"/>
      <c r="WQE20" s="64"/>
      <c r="WQF20" s="64"/>
      <c r="WQG20" s="64"/>
      <c r="WQH20" s="64"/>
      <c r="WQI20" s="64"/>
      <c r="WQJ20" s="64"/>
      <c r="WQK20" s="64"/>
      <c r="WQL20" s="64"/>
      <c r="WQM20" s="64"/>
      <c r="WQN20" s="64"/>
      <c r="WQO20" s="64"/>
      <c r="WQP20" s="64"/>
      <c r="WQQ20" s="64"/>
      <c r="WQR20" s="64"/>
      <c r="WQS20" s="64"/>
      <c r="WQT20" s="64"/>
      <c r="WQU20" s="64"/>
      <c r="WQV20" s="64"/>
      <c r="WQW20" s="64"/>
      <c r="WQX20" s="64"/>
      <c r="WQY20" s="64"/>
      <c r="WQZ20" s="64"/>
      <c r="WRA20" s="64"/>
      <c r="WRB20" s="64"/>
      <c r="WRC20" s="64"/>
      <c r="WRD20" s="64"/>
      <c r="WRE20" s="64"/>
      <c r="WRF20" s="64"/>
      <c r="WRG20" s="64"/>
      <c r="WRH20" s="64"/>
      <c r="WRI20" s="64"/>
      <c r="WRJ20" s="64"/>
      <c r="WRK20" s="64"/>
      <c r="WRL20" s="64"/>
      <c r="WRM20" s="64"/>
      <c r="WRN20" s="64"/>
      <c r="WRO20" s="64"/>
      <c r="WRP20" s="64"/>
      <c r="WRQ20" s="64"/>
      <c r="WRR20" s="64"/>
      <c r="WRS20" s="64"/>
      <c r="WRT20" s="64"/>
      <c r="WRU20" s="64"/>
      <c r="WRV20" s="64"/>
      <c r="WRW20" s="64"/>
      <c r="WRX20" s="64"/>
      <c r="WRY20" s="64"/>
      <c r="WRZ20" s="64"/>
      <c r="WSA20" s="64"/>
      <c r="WSB20" s="64"/>
      <c r="WSC20" s="64"/>
      <c r="WSD20" s="64"/>
      <c r="WSE20" s="64"/>
      <c r="WSF20" s="64"/>
      <c r="WSG20" s="64"/>
      <c r="WSH20" s="64"/>
      <c r="WSI20" s="64"/>
      <c r="WSJ20" s="64"/>
      <c r="WSK20" s="64"/>
      <c r="WSL20" s="64"/>
      <c r="WSM20" s="64"/>
      <c r="WSN20" s="64"/>
      <c r="WSO20" s="64"/>
      <c r="WSP20" s="64"/>
      <c r="WSQ20" s="64"/>
      <c r="WSR20" s="64"/>
      <c r="WSS20" s="64"/>
      <c r="WST20" s="64"/>
      <c r="WSU20" s="64"/>
      <c r="WSV20" s="64"/>
      <c r="WSW20" s="64"/>
      <c r="WSX20" s="64"/>
      <c r="WSY20" s="64"/>
      <c r="WSZ20" s="64"/>
      <c r="WTA20" s="64"/>
      <c r="WTB20" s="64"/>
      <c r="WTC20" s="64"/>
      <c r="WTD20" s="64"/>
      <c r="WTE20" s="64"/>
      <c r="WTF20" s="64"/>
      <c r="WTG20" s="64"/>
      <c r="WTH20" s="64"/>
      <c r="WTI20" s="64"/>
      <c r="WTJ20" s="64"/>
      <c r="WTK20" s="64"/>
      <c r="WTL20" s="64"/>
      <c r="WTM20" s="64"/>
      <c r="WTN20" s="64"/>
      <c r="WTO20" s="64"/>
      <c r="WTP20" s="64"/>
      <c r="WTQ20" s="64"/>
      <c r="WTR20" s="64"/>
      <c r="WTS20" s="64"/>
      <c r="WTT20" s="64"/>
      <c r="WTU20" s="64"/>
      <c r="WTV20" s="64"/>
      <c r="WTW20" s="64"/>
      <c r="WTX20" s="64"/>
      <c r="WTY20" s="64"/>
      <c r="WTZ20" s="64"/>
      <c r="WUA20" s="64"/>
      <c r="WUB20" s="64"/>
      <c r="WUC20" s="64"/>
      <c r="WUD20" s="64"/>
      <c r="WUE20" s="64"/>
      <c r="WUF20" s="64"/>
      <c r="WUG20" s="64"/>
      <c r="WUH20" s="64"/>
      <c r="WUI20" s="64"/>
      <c r="WUJ20" s="64"/>
      <c r="WUK20" s="64"/>
      <c r="WUL20" s="64"/>
      <c r="WUM20" s="64"/>
      <c r="WUN20" s="64"/>
      <c r="WUO20" s="64"/>
      <c r="WUP20" s="64"/>
      <c r="WUQ20" s="64"/>
      <c r="WUR20" s="64"/>
      <c r="WUS20" s="64"/>
      <c r="WUT20" s="64"/>
      <c r="WUU20" s="64"/>
      <c r="WUV20" s="64"/>
      <c r="WUW20" s="64"/>
      <c r="WUX20" s="64"/>
      <c r="WUY20" s="64"/>
      <c r="WUZ20" s="64"/>
      <c r="WVA20" s="64"/>
      <c r="WVB20" s="64"/>
      <c r="WVC20" s="64"/>
      <c r="WVD20" s="64"/>
      <c r="WVE20" s="64"/>
      <c r="WVF20" s="64"/>
      <c r="WVG20" s="64"/>
      <c r="WVH20" s="64"/>
      <c r="WVI20" s="64"/>
      <c r="WVJ20" s="64"/>
      <c r="WVK20" s="64"/>
      <c r="WVL20" s="64"/>
      <c r="WVM20" s="64"/>
      <c r="WVN20" s="64"/>
      <c r="WVO20" s="64"/>
      <c r="WVP20" s="64"/>
      <c r="WVQ20" s="64"/>
      <c r="WVR20" s="64"/>
      <c r="WVS20" s="64"/>
      <c r="WVT20" s="64"/>
      <c r="WVU20" s="64"/>
      <c r="WVV20" s="64"/>
      <c r="WVW20" s="64"/>
      <c r="WVX20" s="64"/>
      <c r="WVY20" s="64"/>
      <c r="WVZ20" s="64"/>
      <c r="WWA20" s="64"/>
      <c r="WWB20" s="64"/>
      <c r="WWC20" s="64"/>
      <c r="WWD20" s="64"/>
      <c r="WWE20" s="64"/>
      <c r="WWF20" s="64"/>
      <c r="WWG20" s="64"/>
      <c r="WWH20" s="64"/>
      <c r="WWI20" s="64"/>
      <c r="WWJ20" s="64"/>
      <c r="WWK20" s="64"/>
      <c r="WWL20" s="64"/>
      <c r="WWM20" s="64"/>
      <c r="WWN20" s="64"/>
      <c r="WWO20" s="64"/>
      <c r="WWP20" s="64"/>
      <c r="WWQ20" s="64"/>
      <c r="WWR20" s="64"/>
      <c r="WWS20" s="64"/>
      <c r="WWT20" s="64"/>
      <c r="WWU20" s="64"/>
      <c r="WWV20" s="64"/>
      <c r="WWW20" s="64"/>
      <c r="WWX20" s="64"/>
      <c r="WWY20" s="64"/>
      <c r="WWZ20" s="64"/>
      <c r="WXA20" s="64"/>
      <c r="WXB20" s="64"/>
      <c r="WXC20" s="64"/>
      <c r="WXD20" s="64"/>
      <c r="WXE20" s="64"/>
      <c r="WXF20" s="64"/>
      <c r="WXG20" s="64"/>
      <c r="WXH20" s="64"/>
      <c r="WXI20" s="64"/>
      <c r="WXJ20" s="64"/>
      <c r="WXK20" s="64"/>
      <c r="WXL20" s="64"/>
      <c r="WXM20" s="64"/>
      <c r="WXN20" s="64"/>
      <c r="WXO20" s="64"/>
      <c r="WXP20" s="64"/>
      <c r="WXQ20" s="64"/>
      <c r="WXR20" s="64"/>
      <c r="WXS20" s="64"/>
      <c r="WXT20" s="64"/>
      <c r="WXU20" s="64"/>
      <c r="WXV20" s="64"/>
      <c r="WXW20" s="64"/>
      <c r="WXX20" s="64"/>
      <c r="WXY20" s="64"/>
      <c r="WXZ20" s="64"/>
      <c r="WYA20" s="64"/>
      <c r="WYB20" s="64"/>
      <c r="WYC20" s="64"/>
      <c r="WYD20" s="64"/>
      <c r="WYE20" s="64"/>
      <c r="WYF20" s="64"/>
      <c r="WYG20" s="64"/>
      <c r="WYH20" s="64"/>
      <c r="WYI20" s="64"/>
      <c r="WYJ20" s="64"/>
      <c r="WYK20" s="64"/>
      <c r="WYL20" s="64"/>
      <c r="WYM20" s="64"/>
      <c r="WYN20" s="64"/>
      <c r="WYO20" s="64"/>
      <c r="WYP20" s="64"/>
      <c r="WYQ20" s="64"/>
      <c r="WYR20" s="64"/>
      <c r="WYS20" s="64"/>
      <c r="WYT20" s="64"/>
      <c r="WYU20" s="64"/>
      <c r="WYV20" s="64"/>
      <c r="WYW20" s="64"/>
      <c r="WYX20" s="64"/>
      <c r="WYY20" s="64"/>
      <c r="WYZ20" s="64"/>
      <c r="WZA20" s="64"/>
      <c r="WZB20" s="64"/>
      <c r="WZC20" s="64"/>
      <c r="WZD20" s="64"/>
      <c r="WZE20" s="64"/>
      <c r="WZF20" s="64"/>
      <c r="WZG20" s="64"/>
      <c r="WZH20" s="64"/>
      <c r="WZI20" s="64"/>
      <c r="WZJ20" s="64"/>
      <c r="WZK20" s="64"/>
      <c r="WZL20" s="64"/>
      <c r="WZM20" s="64"/>
      <c r="WZN20" s="64"/>
      <c r="WZO20" s="64"/>
      <c r="WZP20" s="64"/>
      <c r="WZQ20" s="64"/>
      <c r="WZR20" s="64"/>
      <c r="WZS20" s="64"/>
      <c r="WZT20" s="64"/>
      <c r="WZU20" s="64"/>
      <c r="WZV20" s="64"/>
      <c r="WZW20" s="64"/>
      <c r="WZX20" s="64"/>
      <c r="WZY20" s="64"/>
      <c r="WZZ20" s="64"/>
      <c r="XAA20" s="64"/>
      <c r="XAB20" s="64"/>
      <c r="XAC20" s="64"/>
      <c r="XAD20" s="64"/>
      <c r="XAE20" s="64"/>
      <c r="XAF20" s="64"/>
      <c r="XAG20" s="64"/>
      <c r="XAH20" s="64"/>
      <c r="XAI20" s="64"/>
      <c r="XAJ20" s="64"/>
      <c r="XAK20" s="64"/>
      <c r="XAL20" s="64"/>
      <c r="XAM20" s="64"/>
      <c r="XAN20" s="64"/>
      <c r="XAO20" s="64"/>
      <c r="XAP20" s="64"/>
      <c r="XAQ20" s="64"/>
      <c r="XAR20" s="64"/>
      <c r="XAS20" s="64"/>
      <c r="XAT20" s="64"/>
      <c r="XAU20" s="64"/>
      <c r="XAV20" s="64"/>
      <c r="XAW20" s="64"/>
      <c r="XAX20" s="64"/>
      <c r="XAY20" s="64"/>
      <c r="XAZ20" s="64"/>
      <c r="XBA20" s="64"/>
      <c r="XBB20" s="64"/>
      <c r="XBC20" s="64"/>
      <c r="XBD20" s="64"/>
      <c r="XBE20" s="64"/>
      <c r="XBF20" s="64"/>
      <c r="XBG20" s="64"/>
      <c r="XBH20" s="64"/>
      <c r="XBI20" s="64"/>
      <c r="XBJ20" s="64"/>
      <c r="XBK20" s="64"/>
      <c r="XBL20" s="64"/>
      <c r="XBM20" s="64"/>
      <c r="XBN20" s="64"/>
      <c r="XBO20" s="64"/>
      <c r="XBP20" s="64"/>
      <c r="XBQ20" s="64"/>
      <c r="XBR20" s="64"/>
      <c r="XBS20" s="64"/>
      <c r="XBT20" s="64"/>
      <c r="XBU20" s="64"/>
      <c r="XBV20" s="64"/>
      <c r="XBW20" s="64"/>
      <c r="XBX20" s="64"/>
      <c r="XBY20" s="64"/>
      <c r="XBZ20" s="64"/>
      <c r="XCA20" s="64"/>
      <c r="XCB20" s="64"/>
      <c r="XCC20" s="64"/>
      <c r="XCD20" s="64"/>
      <c r="XCE20" s="64"/>
      <c r="XCF20" s="64"/>
      <c r="XCG20" s="64"/>
      <c r="XCH20" s="64"/>
      <c r="XCI20" s="64"/>
      <c r="XCJ20" s="64"/>
      <c r="XCK20" s="64"/>
      <c r="XCL20" s="64"/>
      <c r="XCM20" s="64"/>
      <c r="XCN20" s="64"/>
      <c r="XCO20" s="64"/>
      <c r="XCP20" s="64"/>
      <c r="XCQ20" s="64"/>
      <c r="XCR20" s="64"/>
      <c r="XCS20" s="64"/>
      <c r="XCT20" s="64"/>
      <c r="XCU20" s="64"/>
      <c r="XCV20" s="64"/>
      <c r="XCW20" s="64"/>
      <c r="XCX20" s="64"/>
      <c r="XCY20" s="64"/>
      <c r="XCZ20" s="64"/>
      <c r="XDA20" s="64"/>
      <c r="XDB20" s="64"/>
      <c r="XDC20" s="64"/>
      <c r="XDD20" s="64"/>
      <c r="XDE20" s="64"/>
      <c r="XDF20" s="64"/>
      <c r="XDG20" s="64"/>
      <c r="XDH20" s="64"/>
      <c r="XDI20" s="64"/>
      <c r="XDJ20" s="64"/>
      <c r="XDK20" s="64"/>
      <c r="XDL20" s="64"/>
      <c r="XDM20" s="64"/>
      <c r="XDN20" s="64"/>
      <c r="XDO20" s="64"/>
      <c r="XDP20" s="64"/>
      <c r="XDQ20" s="64"/>
      <c r="XDR20" s="64"/>
      <c r="XDS20" s="64"/>
      <c r="XDT20" s="64"/>
      <c r="XDU20" s="64"/>
      <c r="XDV20" s="64"/>
      <c r="XDW20" s="64"/>
      <c r="XDX20" s="64"/>
      <c r="XDY20" s="64"/>
      <c r="XDZ20" s="64"/>
      <c r="XEA20" s="64"/>
      <c r="XEB20" s="64"/>
      <c r="XEC20" s="64"/>
      <c r="XED20" s="64"/>
      <c r="XEE20" s="64"/>
      <c r="XEF20" s="64"/>
      <c r="XEG20" s="64"/>
      <c r="XEH20" s="64"/>
      <c r="XEI20" s="64"/>
      <c r="XEJ20" s="64"/>
      <c r="XEK20" s="64"/>
      <c r="XEL20" s="64"/>
      <c r="XEM20" s="64"/>
      <c r="XEN20" s="64"/>
      <c r="XEO20" s="64"/>
      <c r="XEP20" s="64"/>
      <c r="XEQ20" s="64"/>
      <c r="XER20" s="64"/>
      <c r="XES20" s="64"/>
      <c r="XET20" s="64"/>
      <c r="XEU20" s="64"/>
      <c r="XEV20" s="64"/>
      <c r="XEW20" s="64"/>
      <c r="XEX20" s="64"/>
      <c r="XEY20" s="64"/>
      <c r="XEZ20" s="64"/>
      <c r="XFA20" s="64"/>
      <c r="XFB20" s="64"/>
      <c r="XFC20" s="64"/>
      <c r="XFD20" s="64"/>
    </row>
    <row r="21" spans="1:16384" ht="20">
      <c r="A21" s="22" t="s">
        <v>323</v>
      </c>
      <c r="B21">
        <v>0</v>
      </c>
      <c r="C21">
        <v>111791.96873705667</v>
      </c>
      <c r="D21">
        <v>0</v>
      </c>
      <c r="E21">
        <v>85464.241177821823</v>
      </c>
      <c r="F21">
        <v>45457.069636000007</v>
      </c>
      <c r="G21">
        <v>67475.977928400011</v>
      </c>
      <c r="H21">
        <v>48405.570084563995</v>
      </c>
      <c r="I21">
        <v>94884.420085200021</v>
      </c>
      <c r="J21">
        <v>30633.976885591648</v>
      </c>
      <c r="K21">
        <v>108307.34726470002</v>
      </c>
      <c r="L21">
        <v>113572.0237548</v>
      </c>
      <c r="M21">
        <v>78953.373029116003</v>
      </c>
      <c r="N21">
        <v>85149.774268356545</v>
      </c>
      <c r="O21">
        <v>40401.380272499984</v>
      </c>
      <c r="P21">
        <v>66151.907777340806</v>
      </c>
      <c r="Q21">
        <v>101153.35129479998</v>
      </c>
      <c r="R21">
        <v>78711.417400187463</v>
      </c>
      <c r="S21">
        <v>111885.2953064</v>
      </c>
      <c r="T21">
        <v>105757.79890295363</v>
      </c>
      <c r="U21">
        <v>90843.570796301079</v>
      </c>
      <c r="V21">
        <v>74711.477155208006</v>
      </c>
      <c r="W21">
        <v>87638.659719599993</v>
      </c>
      <c r="X21">
        <v>52555.714609800008</v>
      </c>
      <c r="Y21">
        <v>82787.949881599998</v>
      </c>
      <c r="Z21">
        <v>71813.243748723995</v>
      </c>
      <c r="AA21">
        <v>104188.5602178</v>
      </c>
      <c r="AB21">
        <v>112104.4123428</v>
      </c>
      <c r="AC21">
        <v>78447.877658526981</v>
      </c>
      <c r="AD21">
        <v>67955.577423234194</v>
      </c>
      <c r="AE21">
        <v>72897.165303148926</v>
      </c>
      <c r="AF21">
        <v>111098.92376362308</v>
      </c>
      <c r="AG21">
        <v>113299.1870048</v>
      </c>
      <c r="AH21">
        <v>33623.992029866284</v>
      </c>
      <c r="AI21">
        <v>68559.45911689999</v>
      </c>
      <c r="AJ21">
        <v>64942.958993711865</v>
      </c>
      <c r="AK21">
        <v>88063.903394034161</v>
      </c>
      <c r="AL21">
        <v>49553.821283999991</v>
      </c>
      <c r="AM21">
        <v>68798.395790775554</v>
      </c>
      <c r="AN21">
        <v>70384.868769599998</v>
      </c>
      <c r="AO21">
        <v>85310.481123635982</v>
      </c>
      <c r="AP21">
        <v>48407.505251075992</v>
      </c>
      <c r="AQ21">
        <v>64863.020523556712</v>
      </c>
      <c r="AR21">
        <v>87013.469896115974</v>
      </c>
      <c r="AS21">
        <v>99452.007715699991</v>
      </c>
      <c r="AT21">
        <v>76651.839879199993</v>
      </c>
      <c r="AU21">
        <v>100557.64767859997</v>
      </c>
      <c r="AV21">
        <v>65210.431358623013</v>
      </c>
      <c r="AW21">
        <v>100244.35403839999</v>
      </c>
      <c r="AX21" t="e">
        <v>#N/A</v>
      </c>
      <c r="AY21">
        <v>82705.114556999994</v>
      </c>
      <c r="AZ21">
        <v>43524.86951132286</v>
      </c>
      <c r="BA21">
        <v>100935.43768854279</v>
      </c>
      <c r="BB21">
        <v>109409.10627810001</v>
      </c>
      <c r="BC21">
        <v>74362.322386800006</v>
      </c>
      <c r="BD21">
        <v>75242.68129694961</v>
      </c>
      <c r="BE21">
        <v>109712.64297799997</v>
      </c>
      <c r="BF21">
        <v>47192.283214400006</v>
      </c>
      <c r="BG21">
        <v>87974.663141399986</v>
      </c>
      <c r="BH21">
        <v>34020.658028499987</v>
      </c>
      <c r="BI21">
        <v>86247.783232299989</v>
      </c>
      <c r="BJ21">
        <v>70449.244334099989</v>
      </c>
      <c r="BK21">
        <v>82959.895892961416</v>
      </c>
      <c r="BL21">
        <v>77783.619731922954</v>
      </c>
      <c r="BM21">
        <v>96942.204885500003</v>
      </c>
      <c r="BN21">
        <v>61792.112395999982</v>
      </c>
      <c r="BO21">
        <v>93210.494823399989</v>
      </c>
      <c r="BP21">
        <v>86181.577048214967</v>
      </c>
      <c r="BQ21">
        <v>107266.86474609999</v>
      </c>
      <c r="BR21">
        <v>93416.493445300017</v>
      </c>
      <c r="BS21">
        <v>94920.468923699998</v>
      </c>
      <c r="BT21">
        <v>92468.135499181808</v>
      </c>
      <c r="BU21">
        <v>97844.568311909301</v>
      </c>
      <c r="BV21">
        <v>81224.465494366916</v>
      </c>
      <c r="BW21">
        <v>114159.16183869999</v>
      </c>
      <c r="BX21">
        <v>57129.781045599986</v>
      </c>
      <c r="BY21" t="e">
        <v>#N/A</v>
      </c>
      <c r="BZ21">
        <v>83067.824016000013</v>
      </c>
      <c r="CA21">
        <v>73354.204056099989</v>
      </c>
      <c r="CB21">
        <v>0</v>
      </c>
      <c r="CC21" t="e">
        <v>#N/A</v>
      </c>
      <c r="CD21" t="e">
        <v>#N/A</v>
      </c>
      <c r="CE21">
        <v>58517.122154399985</v>
      </c>
      <c r="CF21">
        <v>66418.184733999995</v>
      </c>
      <c r="CG21">
        <v>52937.484338700015</v>
      </c>
      <c r="CH21">
        <v>77549.808282999991</v>
      </c>
      <c r="CI21">
        <v>148377.60000000001</v>
      </c>
      <c r="CJ21">
        <v>71273.757078098948</v>
      </c>
      <c r="CK21">
        <v>38994.609999999993</v>
      </c>
      <c r="CL21">
        <v>64942.987660358653</v>
      </c>
      <c r="CM21">
        <v>69903.000000000015</v>
      </c>
      <c r="CN21">
        <v>55520.830414742326</v>
      </c>
      <c r="CO21">
        <v>106494.20025026817</v>
      </c>
      <c r="CP21">
        <v>66248.811319039989</v>
      </c>
      <c r="CQ21">
        <v>88647.349999999991</v>
      </c>
      <c r="CR21">
        <v>68380.197963775994</v>
      </c>
      <c r="CS21">
        <v>57647.44</v>
      </c>
      <c r="CT21">
        <v>100591.31241209251</v>
      </c>
      <c r="CU21">
        <v>75487.73</v>
      </c>
      <c r="CV21">
        <v>73707.175583999997</v>
      </c>
      <c r="CW21">
        <v>93269.299999999988</v>
      </c>
      <c r="CX21">
        <v>52282.367313868803</v>
      </c>
      <c r="CY21">
        <v>60691.821193631484</v>
      </c>
      <c r="CZ21">
        <v>36845.770529304005</v>
      </c>
      <c r="DA21" s="97">
        <v>102658.15</v>
      </c>
      <c r="DB21">
        <v>47415.239999999991</v>
      </c>
      <c r="DC21">
        <v>78728.399999999994</v>
      </c>
      <c r="DD21">
        <v>0</v>
      </c>
      <c r="DE21">
        <v>0</v>
      </c>
      <c r="DF21">
        <v>0</v>
      </c>
      <c r="DG21">
        <v>0</v>
      </c>
      <c r="DH21">
        <v>98875.61</v>
      </c>
      <c r="DI21">
        <v>0</v>
      </c>
      <c r="DJ21">
        <v>0</v>
      </c>
      <c r="DK21">
        <v>80711.4926795387</v>
      </c>
      <c r="DL21">
        <v>5641.0388339200026</v>
      </c>
      <c r="DM21">
        <v>0</v>
      </c>
      <c r="DN21">
        <v>76708.605173920776</v>
      </c>
      <c r="DO21">
        <v>59466.534731837448</v>
      </c>
      <c r="DP21">
        <v>80456.273186134422</v>
      </c>
      <c r="DQ21">
        <v>0</v>
      </c>
      <c r="DR21">
        <v>101374.14</v>
      </c>
      <c r="DS21">
        <v>84031.748915630698</v>
      </c>
      <c r="DT21" t="e">
        <v>#N/A</v>
      </c>
      <c r="DU21">
        <v>18139.459406463786</v>
      </c>
      <c r="DV21">
        <v>0</v>
      </c>
      <c r="DW21">
        <v>34214.699999999983</v>
      </c>
      <c r="DX21">
        <v>13487.987056604159</v>
      </c>
      <c r="DY21">
        <v>0</v>
      </c>
      <c r="DZ21">
        <v>54917.759999999995</v>
      </c>
      <c r="EA21">
        <v>0</v>
      </c>
      <c r="EB21">
        <v>0</v>
      </c>
      <c r="EC21">
        <v>56322.200000000012</v>
      </c>
      <c r="ED21">
        <v>0</v>
      </c>
      <c r="EE21">
        <v>0</v>
      </c>
      <c r="EF21">
        <v>74885.901071999993</v>
      </c>
      <c r="EG21">
        <v>56108</v>
      </c>
      <c r="EH21">
        <v>98729.88</v>
      </c>
      <c r="EI21">
        <v>0</v>
      </c>
      <c r="EJ21">
        <v>63609.839999999982</v>
      </c>
      <c r="EK21">
        <v>85061.79</v>
      </c>
      <c r="EL21">
        <v>0</v>
      </c>
      <c r="EM21">
        <v>64364.421440767983</v>
      </c>
      <c r="EN21">
        <v>0</v>
      </c>
      <c r="EO21">
        <v>0</v>
      </c>
      <c r="EP21">
        <v>4443.0987999999998</v>
      </c>
      <c r="EQ21">
        <v>0</v>
      </c>
      <c r="ER21">
        <v>17809.2783133056</v>
      </c>
      <c r="ES21">
        <v>90076.160000000003</v>
      </c>
      <c r="ET21">
        <v>90635.16</v>
      </c>
      <c r="EU21">
        <v>43055.850072045476</v>
      </c>
      <c r="EV21">
        <v>0</v>
      </c>
      <c r="EW21">
        <v>18286.383592189428</v>
      </c>
      <c r="EX21">
        <v>60925.831347902073</v>
      </c>
      <c r="EY21">
        <v>77081.83503630849</v>
      </c>
      <c r="EZ21">
        <v>0</v>
      </c>
      <c r="FA21">
        <v>0</v>
      </c>
      <c r="FB21">
        <v>97691.36043993599</v>
      </c>
      <c r="FC21">
        <v>0</v>
      </c>
      <c r="FD21">
        <v>54492.661616007157</v>
      </c>
      <c r="FE21">
        <v>102207.58999999998</v>
      </c>
      <c r="FF21">
        <v>0</v>
      </c>
      <c r="FG21">
        <v>73263.44</v>
      </c>
      <c r="FH21">
        <v>0</v>
      </c>
      <c r="FI21">
        <v>78572.254975999997</v>
      </c>
      <c r="FJ21">
        <v>76881.37000000001</v>
      </c>
      <c r="FK21">
        <v>0</v>
      </c>
      <c r="FL21">
        <v>15389.811114432006</v>
      </c>
      <c r="FM21">
        <v>56172.25151144241</v>
      </c>
      <c r="FN21">
        <v>0</v>
      </c>
      <c r="FO21">
        <v>77946.55</v>
      </c>
      <c r="FP21" t="e">
        <v>#N/A</v>
      </c>
      <c r="FQ21">
        <v>0</v>
      </c>
      <c r="FR21" s="1">
        <v>601.34815999999944</v>
      </c>
      <c r="FS21">
        <v>107399.87999999999</v>
      </c>
      <c r="FT21">
        <v>16018.466271677447</v>
      </c>
      <c r="FU21">
        <v>77778.188377842729</v>
      </c>
      <c r="FV21">
        <v>0</v>
      </c>
      <c r="FW21">
        <v>25655.713816678403</v>
      </c>
      <c r="FX21">
        <v>0</v>
      </c>
      <c r="FY21">
        <v>0</v>
      </c>
      <c r="FZ21">
        <v>20880.533814323207</v>
      </c>
      <c r="GA21">
        <v>67251.420000000013</v>
      </c>
      <c r="GB21">
        <v>0</v>
      </c>
      <c r="GC21">
        <v>17889.57163328</v>
      </c>
      <c r="GD21">
        <v>52044.190534078531</v>
      </c>
      <c r="GE21">
        <v>0</v>
      </c>
      <c r="GF21">
        <v>29672.479897864025</v>
      </c>
      <c r="GG21" t="e">
        <v>#N/A</v>
      </c>
      <c r="GH21">
        <v>68440.36</v>
      </c>
      <c r="GI21">
        <v>0</v>
      </c>
      <c r="GJ21">
        <v>0</v>
      </c>
      <c r="GK21">
        <v>95235.736633086854</v>
      </c>
      <c r="GL21" t="e">
        <v>#N/A</v>
      </c>
      <c r="GM21">
        <v>37409.683130544137</v>
      </c>
      <c r="GN21">
        <v>78887.150000000023</v>
      </c>
      <c r="GO21">
        <v>0</v>
      </c>
      <c r="GP21">
        <v>0</v>
      </c>
      <c r="GQ21">
        <v>0</v>
      </c>
      <c r="GR21">
        <v>92539.65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68291.337630208</v>
      </c>
      <c r="GZ21">
        <v>102348.04877006168</v>
      </c>
      <c r="HA21">
        <v>77612.2</v>
      </c>
      <c r="HB21" t="e">
        <v>#N/A</v>
      </c>
      <c r="HC21">
        <v>84550.499999999985</v>
      </c>
      <c r="HD21">
        <v>85780.94</v>
      </c>
      <c r="HE21">
        <v>81931.520000000019</v>
      </c>
      <c r="HF21">
        <v>6692.8144639999937</v>
      </c>
      <c r="HG21">
        <v>28623.892333439991</v>
      </c>
      <c r="HH21">
        <v>0</v>
      </c>
      <c r="HI21">
        <v>0</v>
      </c>
      <c r="HJ21" t="e">
        <v>#N/A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28703.512327679997</v>
      </c>
      <c r="HS21">
        <v>60199.74</v>
      </c>
      <c r="HT21">
        <v>7244.4830399999992</v>
      </c>
      <c r="HU21">
        <v>0</v>
      </c>
      <c r="HV21">
        <v>79754.39999999998</v>
      </c>
      <c r="HW21">
        <v>0</v>
      </c>
      <c r="HX21">
        <v>68387.199999999997</v>
      </c>
      <c r="HY21">
        <v>64370.67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75706.687013290459</v>
      </c>
      <c r="IG21">
        <v>0</v>
      </c>
      <c r="IH21">
        <v>79137.774039662574</v>
      </c>
      <c r="II21">
        <v>0</v>
      </c>
      <c r="IJ21">
        <v>0</v>
      </c>
      <c r="IK21">
        <v>0</v>
      </c>
      <c r="IL21">
        <v>117570.79623117507</v>
      </c>
      <c r="IM21">
        <v>0</v>
      </c>
      <c r="IN21">
        <v>46315.779999999992</v>
      </c>
      <c r="IO21">
        <v>46755.61939131494</v>
      </c>
      <c r="IP21">
        <v>65829.679999999993</v>
      </c>
      <c r="IQ21">
        <v>0</v>
      </c>
      <c r="IR21" t="e">
        <v>#N/A</v>
      </c>
      <c r="IS21">
        <v>0</v>
      </c>
      <c r="IT21">
        <v>112253.94922157384</v>
      </c>
      <c r="IU21">
        <v>47656.959999999985</v>
      </c>
      <c r="IV21">
        <v>0</v>
      </c>
      <c r="IW21">
        <v>0</v>
      </c>
      <c r="IX21">
        <v>0</v>
      </c>
      <c r="IY21">
        <v>33149.73352948008</v>
      </c>
      <c r="IZ21">
        <v>100539.18000000001</v>
      </c>
      <c r="JA21" s="64"/>
      <c r="JB21" s="64"/>
      <c r="JC21" s="64"/>
      <c r="JD21" s="64"/>
      <c r="JE21" s="64"/>
      <c r="JF21" s="64"/>
      <c r="JG21" s="64"/>
      <c r="JH21" s="64"/>
      <c r="JI21" s="64"/>
      <c r="JJ21" s="64"/>
      <c r="JK21" s="64"/>
      <c r="JL21" s="64"/>
      <c r="JM21" s="64"/>
      <c r="JN21" s="64"/>
      <c r="JO21" s="64"/>
      <c r="JP21" s="64"/>
      <c r="JQ21" s="64"/>
      <c r="JR21" s="64"/>
      <c r="JS21" s="64"/>
      <c r="JT21" s="64"/>
      <c r="JU21" s="64"/>
      <c r="JV21" s="64"/>
      <c r="JW21" s="64"/>
      <c r="JX21" s="64"/>
      <c r="JY21" s="64"/>
      <c r="JZ21" s="64"/>
      <c r="KA21" s="64"/>
      <c r="KB21" s="64"/>
      <c r="KC21" s="64"/>
      <c r="KD21" s="64"/>
      <c r="KE21" s="64"/>
      <c r="KF21" s="64"/>
      <c r="KG21" s="64"/>
      <c r="KH21" s="64"/>
      <c r="KI21" s="64"/>
      <c r="KJ21" s="64"/>
      <c r="KK21" s="64"/>
      <c r="KL21" s="64"/>
      <c r="KM21" s="64"/>
      <c r="KN21" s="64"/>
      <c r="KO21" s="64"/>
      <c r="KP21" s="64"/>
      <c r="KQ21" s="64"/>
      <c r="KR21" s="64"/>
      <c r="KS21" s="64"/>
      <c r="KT21" s="64"/>
      <c r="KU21" s="64"/>
      <c r="KV21" s="64"/>
      <c r="KW21" s="64"/>
      <c r="KX21" s="64"/>
      <c r="KY21" s="64"/>
      <c r="KZ21" s="64"/>
      <c r="LA21" s="64"/>
      <c r="LB21" s="64"/>
      <c r="LC21" s="64"/>
      <c r="LD21" s="64"/>
      <c r="LE21" s="64"/>
      <c r="LF21" s="64"/>
      <c r="LG21" s="64"/>
      <c r="LH21" s="64"/>
      <c r="LI21" s="64"/>
      <c r="LJ21" s="64"/>
      <c r="LK21" s="64"/>
      <c r="LL21" s="64"/>
      <c r="LM21" s="64"/>
      <c r="LN21" s="64"/>
      <c r="LO21" s="64"/>
      <c r="LP21" s="64"/>
      <c r="LQ21" s="64"/>
      <c r="LR21" s="64"/>
      <c r="LS21" s="64"/>
      <c r="LT21" s="64"/>
      <c r="LU21" s="64"/>
      <c r="LV21" s="64"/>
      <c r="LW21" s="64"/>
      <c r="LX21" s="64"/>
      <c r="LY21" s="64"/>
      <c r="LZ21" s="64"/>
      <c r="MA21" s="64"/>
      <c r="MB21" s="64"/>
      <c r="MC21" s="64"/>
      <c r="MD21" s="64"/>
      <c r="ME21" s="64"/>
      <c r="MF21" s="64"/>
      <c r="MG21" s="64"/>
      <c r="MH21" s="64"/>
      <c r="MI21" s="64"/>
      <c r="MJ21" s="64"/>
      <c r="MK21" s="64"/>
      <c r="ML21" s="64"/>
      <c r="MM21" s="64"/>
      <c r="MN21" s="64"/>
      <c r="MO21" s="64"/>
      <c r="MP21" s="64"/>
      <c r="MQ21" s="64"/>
      <c r="MR21" s="64"/>
      <c r="MS21" s="64"/>
      <c r="MT21" s="64"/>
      <c r="MU21" s="64"/>
      <c r="MV21" s="64"/>
      <c r="MW21" s="64"/>
      <c r="MX21" s="64"/>
      <c r="MY21" s="64"/>
      <c r="MZ21" s="64"/>
      <c r="NA21" s="64"/>
      <c r="NB21" s="64"/>
      <c r="NC21" s="64"/>
      <c r="ND21" s="64"/>
      <c r="NE21" s="64"/>
      <c r="NF21" s="64"/>
      <c r="NG21" s="64"/>
      <c r="NH21" s="64"/>
      <c r="NI21" s="64"/>
      <c r="NJ21" s="64"/>
      <c r="NK21" s="64"/>
      <c r="NL21" s="64"/>
      <c r="NM21" s="64"/>
      <c r="NN21" s="64"/>
      <c r="NO21" s="64"/>
      <c r="NP21" s="64"/>
      <c r="NQ21" s="64"/>
      <c r="NR21" s="64"/>
      <c r="NS21" s="64"/>
      <c r="NT21" s="64"/>
      <c r="NU21" s="64"/>
      <c r="NV21" s="64"/>
      <c r="NW21" s="64"/>
      <c r="NX21" s="64"/>
      <c r="NY21" s="64"/>
      <c r="NZ21" s="64"/>
      <c r="OA21" s="64"/>
      <c r="OB21" s="64"/>
      <c r="OC21" s="64"/>
      <c r="OD21" s="64"/>
      <c r="OE21" s="64"/>
      <c r="OF21" s="64"/>
      <c r="OG21" s="64"/>
      <c r="OH21" s="64"/>
      <c r="OI21" s="64"/>
      <c r="OJ21" s="64"/>
      <c r="OK21" s="64"/>
      <c r="OL21" s="64"/>
      <c r="OM21" s="64"/>
      <c r="ON21" s="64"/>
      <c r="OO21" s="64"/>
      <c r="OP21" s="64"/>
      <c r="OQ21" s="64"/>
      <c r="OR21" s="64"/>
      <c r="OS21" s="64"/>
      <c r="OT21" s="64"/>
      <c r="OU21" s="64"/>
      <c r="OV21" s="64"/>
      <c r="OW21" s="64"/>
      <c r="OX21" s="64"/>
      <c r="OY21" s="64"/>
      <c r="OZ21" s="64"/>
      <c r="PA21" s="64"/>
      <c r="PB21" s="64"/>
      <c r="PC21" s="64"/>
      <c r="PD21" s="64"/>
      <c r="PE21" s="64"/>
      <c r="PF21" s="64"/>
      <c r="PG21" s="64"/>
      <c r="PH21" s="64"/>
      <c r="PI21" s="64"/>
      <c r="PJ21" s="64"/>
      <c r="PK21" s="64"/>
      <c r="PL21" s="64"/>
      <c r="PM21" s="64"/>
      <c r="PN21" s="64"/>
      <c r="PO21" s="64"/>
      <c r="PP21" s="64"/>
      <c r="PQ21" s="64"/>
      <c r="PR21" s="64"/>
      <c r="PS21" s="64"/>
      <c r="PT21" s="64"/>
      <c r="PU21" s="64"/>
      <c r="PV21" s="64"/>
      <c r="PW21" s="64"/>
      <c r="PX21" s="64"/>
      <c r="PY21" s="64"/>
      <c r="PZ21" s="64"/>
      <c r="QA21" s="64"/>
      <c r="QB21" s="64"/>
      <c r="QC21" s="64"/>
      <c r="QD21" s="64"/>
      <c r="QE21" s="64"/>
      <c r="QF21" s="64"/>
      <c r="QG21" s="64"/>
      <c r="QH21" s="64"/>
      <c r="QI21" s="64"/>
      <c r="QJ21" s="64"/>
      <c r="QK21" s="64"/>
      <c r="QL21" s="64"/>
      <c r="QM21" s="64"/>
      <c r="QN21" s="64"/>
      <c r="QO21" s="64"/>
      <c r="QP21" s="64"/>
      <c r="QQ21" s="64"/>
      <c r="QR21" s="64"/>
      <c r="QS21" s="64"/>
      <c r="QT21" s="64"/>
      <c r="QU21" s="64"/>
      <c r="QV21" s="64"/>
      <c r="QW21" s="64"/>
      <c r="QX21" s="64"/>
      <c r="QY21" s="64"/>
      <c r="QZ21" s="64"/>
      <c r="RA21" s="64"/>
      <c r="RB21" s="64"/>
      <c r="RC21" s="64"/>
      <c r="RD21" s="64"/>
      <c r="RE21" s="64"/>
      <c r="RF21" s="64"/>
      <c r="RG21" s="64"/>
      <c r="RH21" s="64"/>
      <c r="RI21" s="64"/>
      <c r="RJ21" s="64"/>
      <c r="RK21" s="64"/>
      <c r="RL21" s="64"/>
      <c r="RM21" s="64"/>
      <c r="RN21" s="64"/>
      <c r="RO21" s="64"/>
      <c r="RP21" s="64"/>
      <c r="RQ21" s="64"/>
      <c r="RR21" s="64"/>
      <c r="RS21" s="64"/>
      <c r="RT21" s="64"/>
      <c r="RU21" s="64"/>
      <c r="RV21" s="64"/>
      <c r="RW21" s="64"/>
      <c r="RX21" s="64"/>
      <c r="RY21" s="64"/>
      <c r="RZ21" s="64"/>
      <c r="SA21" s="64"/>
      <c r="SB21" s="64"/>
      <c r="SC21" s="64"/>
      <c r="SD21" s="64"/>
      <c r="SE21" s="64"/>
      <c r="SF21" s="64"/>
      <c r="SG21" s="64"/>
      <c r="SH21" s="64"/>
      <c r="SI21" s="64"/>
      <c r="SJ21" s="64"/>
      <c r="SK21" s="64"/>
      <c r="SL21" s="64"/>
      <c r="SM21" s="64"/>
      <c r="SN21" s="64"/>
      <c r="SO21" s="64"/>
      <c r="SP21" s="64"/>
      <c r="SQ21" s="64"/>
      <c r="SR21" s="64"/>
      <c r="SS21" s="64"/>
      <c r="ST21" s="64"/>
      <c r="SU21" s="64"/>
      <c r="SV21" s="64"/>
      <c r="SW21" s="64"/>
      <c r="SX21" s="64"/>
      <c r="SY21" s="64"/>
      <c r="SZ21" s="64"/>
      <c r="TA21" s="64"/>
      <c r="TB21" s="64"/>
      <c r="TC21" s="64"/>
      <c r="TD21" s="64"/>
      <c r="TE21" s="64"/>
      <c r="TF21" s="64"/>
      <c r="TG21" s="64"/>
      <c r="TH21" s="64"/>
      <c r="TI21" s="64"/>
      <c r="TJ21" s="64"/>
      <c r="TK21" s="64"/>
      <c r="TL21" s="64"/>
      <c r="TM21" s="64"/>
      <c r="TN21" s="64"/>
      <c r="TO21" s="64"/>
      <c r="TP21" s="64"/>
      <c r="TQ21" s="64"/>
      <c r="TR21" s="64"/>
      <c r="TS21" s="64"/>
      <c r="TT21" s="64"/>
      <c r="TU21" s="64"/>
      <c r="TV21" s="64"/>
      <c r="TW21" s="64"/>
      <c r="TX21" s="64"/>
      <c r="TY21" s="64"/>
      <c r="TZ21" s="64"/>
      <c r="UA21" s="64"/>
      <c r="UB21" s="64"/>
      <c r="UC21" s="64"/>
      <c r="UD21" s="64"/>
      <c r="UE21" s="64"/>
      <c r="UF21" s="64"/>
      <c r="UG21" s="64"/>
      <c r="UH21" s="64"/>
      <c r="UI21" s="64"/>
      <c r="UJ21" s="64"/>
      <c r="UK21" s="64"/>
      <c r="UL21" s="64"/>
      <c r="UM21" s="64"/>
      <c r="UN21" s="64"/>
      <c r="UO21" s="64"/>
      <c r="UP21" s="64"/>
      <c r="UQ21" s="64"/>
      <c r="UR21" s="64"/>
      <c r="US21" s="64"/>
      <c r="UT21" s="64"/>
      <c r="UU21" s="64"/>
      <c r="UV21" s="64"/>
      <c r="UW21" s="64"/>
      <c r="UX21" s="64"/>
      <c r="UY21" s="64"/>
      <c r="UZ21" s="64"/>
      <c r="VA21" s="64"/>
      <c r="VB21" s="64"/>
      <c r="VC21" s="64"/>
      <c r="VD21" s="64"/>
      <c r="VE21" s="64"/>
      <c r="VF21" s="64"/>
      <c r="VG21" s="64"/>
      <c r="VH21" s="64"/>
      <c r="VI21" s="64"/>
      <c r="VJ21" s="64"/>
      <c r="VK21" s="64"/>
      <c r="VL21" s="64"/>
      <c r="VM21" s="64"/>
      <c r="VN21" s="64"/>
      <c r="VO21" s="64"/>
      <c r="VP21" s="64"/>
      <c r="VQ21" s="64"/>
      <c r="VR21" s="64"/>
      <c r="VS21" s="64"/>
      <c r="VT21" s="64"/>
      <c r="VU21" s="64"/>
      <c r="VV21" s="64"/>
      <c r="VW21" s="64"/>
      <c r="VX21" s="64"/>
      <c r="VY21" s="64"/>
      <c r="VZ21" s="64"/>
      <c r="WA21" s="64"/>
      <c r="WB21" s="64"/>
      <c r="WC21" s="64"/>
      <c r="WD21" s="64"/>
      <c r="WE21" s="64"/>
      <c r="WF21" s="64"/>
      <c r="WG21" s="64"/>
      <c r="WH21" s="64"/>
      <c r="WI21" s="64"/>
      <c r="WJ21" s="64"/>
      <c r="WK21" s="64"/>
      <c r="WL21" s="64"/>
      <c r="WM21" s="64"/>
      <c r="WN21" s="64"/>
      <c r="WO21" s="64"/>
      <c r="WP21" s="64"/>
      <c r="WQ21" s="64"/>
      <c r="WR21" s="64"/>
      <c r="WS21" s="64"/>
      <c r="WT21" s="64"/>
      <c r="WU21" s="64"/>
      <c r="WV21" s="64"/>
      <c r="WW21" s="64"/>
      <c r="WX21" s="64"/>
      <c r="WY21" s="64"/>
      <c r="WZ21" s="64"/>
      <c r="XA21" s="64"/>
      <c r="XB21" s="64"/>
      <c r="XC21" s="64"/>
      <c r="XD21" s="64"/>
      <c r="XE21" s="64"/>
      <c r="XF21" s="64"/>
      <c r="XG21" s="64"/>
      <c r="XH21" s="64"/>
      <c r="XI21" s="64"/>
      <c r="XJ21" s="64"/>
      <c r="XK21" s="64"/>
      <c r="XL21" s="64"/>
      <c r="XM21" s="64"/>
      <c r="XN21" s="64"/>
      <c r="XO21" s="64"/>
      <c r="XP21" s="64"/>
      <c r="XQ21" s="64"/>
      <c r="XR21" s="64"/>
      <c r="XS21" s="64"/>
      <c r="XT21" s="64"/>
      <c r="XU21" s="64"/>
      <c r="XV21" s="64"/>
      <c r="XW21" s="64"/>
      <c r="XX21" s="64"/>
      <c r="XY21" s="64"/>
      <c r="XZ21" s="64"/>
      <c r="YA21" s="64"/>
      <c r="YB21" s="64"/>
      <c r="YC21" s="64"/>
      <c r="YD21" s="64"/>
      <c r="YE21" s="64"/>
      <c r="YF21" s="64"/>
      <c r="YG21" s="64"/>
      <c r="YH21" s="64"/>
      <c r="YI21" s="64"/>
      <c r="YJ21" s="64"/>
      <c r="YK21" s="64"/>
      <c r="YL21" s="64"/>
      <c r="YM21" s="64"/>
      <c r="YN21" s="64"/>
      <c r="YO21" s="64"/>
      <c r="YP21" s="64"/>
      <c r="YQ21" s="64"/>
      <c r="YR21" s="64"/>
      <c r="YS21" s="64"/>
      <c r="YT21" s="64"/>
      <c r="YU21" s="64"/>
      <c r="YV21" s="64"/>
      <c r="YW21" s="64"/>
      <c r="YX21" s="64"/>
      <c r="YY21" s="64"/>
      <c r="YZ21" s="64"/>
      <c r="ZA21" s="64"/>
      <c r="ZB21" s="64"/>
      <c r="ZC21" s="64"/>
      <c r="ZD21" s="64"/>
      <c r="ZE21" s="64"/>
      <c r="ZF21" s="64"/>
      <c r="ZG21" s="64"/>
      <c r="ZH21" s="64"/>
      <c r="ZI21" s="64"/>
      <c r="ZJ21" s="64"/>
      <c r="ZK21" s="64"/>
      <c r="ZL21" s="64"/>
      <c r="ZM21" s="64"/>
      <c r="ZN21" s="64"/>
      <c r="ZO21" s="64"/>
      <c r="ZP21" s="64"/>
      <c r="ZQ21" s="64"/>
      <c r="ZR21" s="64"/>
      <c r="ZS21" s="64"/>
      <c r="ZT21" s="64"/>
      <c r="ZU21" s="64"/>
      <c r="ZV21" s="64"/>
      <c r="ZW21" s="64"/>
      <c r="ZX21" s="64"/>
      <c r="ZY21" s="64"/>
      <c r="ZZ21" s="64"/>
      <c r="AAA21" s="64"/>
      <c r="AAB21" s="64"/>
      <c r="AAC21" s="64"/>
      <c r="AAD21" s="64"/>
      <c r="AAE21" s="64"/>
      <c r="AAF21" s="64"/>
      <c r="AAG21" s="64"/>
      <c r="AAH21" s="64"/>
      <c r="AAI21" s="64"/>
      <c r="AAJ21" s="64"/>
      <c r="AAK21" s="64"/>
      <c r="AAL21" s="64"/>
      <c r="AAM21" s="64"/>
      <c r="AAN21" s="64"/>
      <c r="AAO21" s="64"/>
      <c r="AAP21" s="64"/>
      <c r="AAQ21" s="64"/>
      <c r="AAR21" s="64"/>
      <c r="AAS21" s="64"/>
      <c r="AAT21" s="64"/>
      <c r="AAU21" s="64"/>
      <c r="AAV21" s="64"/>
      <c r="AAW21" s="64"/>
      <c r="AAX21" s="64"/>
      <c r="AAY21" s="64"/>
      <c r="AAZ21" s="64"/>
      <c r="ABA21" s="64"/>
      <c r="ABB21" s="64"/>
      <c r="ABC21" s="64"/>
      <c r="ABD21" s="64"/>
      <c r="ABE21" s="64"/>
      <c r="ABF21" s="64"/>
      <c r="ABG21" s="64"/>
      <c r="ABH21" s="64"/>
      <c r="ABI21" s="64"/>
      <c r="ABJ21" s="64"/>
      <c r="ABK21" s="64"/>
      <c r="ABL21" s="64"/>
      <c r="ABM21" s="64"/>
      <c r="ABN21" s="64"/>
      <c r="ABO21" s="64"/>
      <c r="ABP21" s="64"/>
      <c r="ABQ21" s="64"/>
      <c r="ABR21" s="64"/>
      <c r="ABS21" s="64"/>
      <c r="ABT21" s="64"/>
      <c r="ABU21" s="64"/>
      <c r="ABV21" s="64"/>
      <c r="ABW21" s="64"/>
      <c r="ABX21" s="64"/>
      <c r="ABY21" s="64"/>
      <c r="ABZ21" s="64"/>
      <c r="ACA21" s="64"/>
      <c r="ACB21" s="64"/>
      <c r="ACC21" s="64"/>
      <c r="ACD21" s="64"/>
      <c r="ACE21" s="64"/>
      <c r="ACF21" s="64"/>
      <c r="ACG21" s="64"/>
      <c r="ACH21" s="64"/>
      <c r="ACI21" s="64"/>
      <c r="ACJ21" s="64"/>
      <c r="ACK21" s="64"/>
      <c r="ACL21" s="64"/>
      <c r="ACM21" s="64"/>
      <c r="ACN21" s="64"/>
      <c r="ACO21" s="64"/>
      <c r="ACP21" s="64"/>
      <c r="ACQ21" s="64"/>
      <c r="ACR21" s="64"/>
      <c r="ACS21" s="64"/>
      <c r="ACT21" s="64"/>
      <c r="ACU21" s="64"/>
      <c r="ACV21" s="64"/>
      <c r="ACW21" s="64"/>
      <c r="ACX21" s="64"/>
      <c r="ACY21" s="64"/>
      <c r="ACZ21" s="64"/>
      <c r="ADA21" s="64"/>
      <c r="ADB21" s="64"/>
      <c r="ADC21" s="64"/>
      <c r="ADD21" s="64"/>
      <c r="ADE21" s="64"/>
      <c r="ADF21" s="64"/>
      <c r="ADG21" s="64"/>
      <c r="ADH21" s="64"/>
      <c r="ADI21" s="64"/>
      <c r="ADJ21" s="64"/>
      <c r="ADK21" s="64"/>
      <c r="ADL21" s="64"/>
      <c r="ADM21" s="64"/>
      <c r="ADN21" s="64"/>
      <c r="ADO21" s="64"/>
      <c r="ADP21" s="64"/>
      <c r="ADQ21" s="64"/>
      <c r="ADR21" s="64"/>
      <c r="ADS21" s="64"/>
      <c r="ADT21" s="64"/>
      <c r="ADU21" s="64"/>
      <c r="ADV21" s="64"/>
      <c r="ADW21" s="64"/>
      <c r="ADX21" s="64"/>
      <c r="ADY21" s="64"/>
      <c r="ADZ21" s="64"/>
      <c r="AEA21" s="64"/>
      <c r="AEB21" s="64"/>
      <c r="AEC21" s="64"/>
      <c r="AED21" s="64"/>
      <c r="AEE21" s="64"/>
      <c r="AEF21" s="64"/>
      <c r="AEG21" s="64"/>
      <c r="AEH21" s="64"/>
      <c r="AEI21" s="64"/>
      <c r="AEJ21" s="64"/>
      <c r="AEK21" s="64"/>
      <c r="AEL21" s="64"/>
      <c r="AEM21" s="64"/>
      <c r="AEN21" s="64"/>
      <c r="AEO21" s="64"/>
      <c r="AEP21" s="64"/>
      <c r="AEQ21" s="64"/>
      <c r="AER21" s="64"/>
      <c r="AES21" s="64"/>
      <c r="AET21" s="64"/>
      <c r="AEU21" s="64"/>
      <c r="AEV21" s="64"/>
      <c r="AEW21" s="64"/>
      <c r="AEX21" s="64"/>
      <c r="AEY21" s="64"/>
      <c r="AEZ21" s="64"/>
      <c r="AFA21" s="64"/>
      <c r="AFB21" s="64"/>
      <c r="AFC21" s="64"/>
      <c r="AFD21" s="64"/>
      <c r="AFE21" s="64"/>
      <c r="AFF21" s="64"/>
      <c r="AFG21" s="64"/>
      <c r="AFH21" s="64"/>
      <c r="AFI21" s="64"/>
      <c r="AFJ21" s="64"/>
      <c r="AFK21" s="64"/>
      <c r="AFL21" s="64"/>
      <c r="AFM21" s="64"/>
      <c r="AFN21" s="64"/>
      <c r="AFO21" s="64"/>
      <c r="AFP21" s="64"/>
      <c r="AFQ21" s="64"/>
      <c r="AFR21" s="64"/>
      <c r="AFS21" s="64"/>
      <c r="AFT21" s="64"/>
      <c r="AFU21" s="64"/>
      <c r="AFV21" s="64"/>
      <c r="AFW21" s="64"/>
      <c r="AFX21" s="64"/>
      <c r="AFY21" s="64"/>
      <c r="AFZ21" s="64"/>
      <c r="AGA21" s="64"/>
      <c r="AGB21" s="64"/>
      <c r="AGC21" s="64"/>
      <c r="AGD21" s="64"/>
      <c r="AGE21" s="64"/>
      <c r="AGF21" s="64"/>
      <c r="AGG21" s="64"/>
      <c r="AGH21" s="64"/>
      <c r="AGI21" s="64"/>
      <c r="AGJ21" s="64"/>
      <c r="AGK21" s="64"/>
      <c r="AGL21" s="64"/>
      <c r="AGM21" s="64"/>
      <c r="AGN21" s="64"/>
      <c r="AGO21" s="64"/>
      <c r="AGP21" s="64"/>
      <c r="AGQ21" s="64"/>
      <c r="AGR21" s="64"/>
      <c r="AGS21" s="64"/>
      <c r="AGT21" s="64"/>
      <c r="AGU21" s="64"/>
      <c r="AGV21" s="64"/>
      <c r="AGW21" s="64"/>
      <c r="AGX21" s="64"/>
      <c r="AGY21" s="64"/>
      <c r="AGZ21" s="64"/>
      <c r="AHA21" s="64"/>
      <c r="AHB21" s="64"/>
      <c r="AHC21" s="64"/>
      <c r="AHD21" s="64"/>
      <c r="AHE21" s="64"/>
      <c r="AHF21" s="64"/>
      <c r="AHG21" s="64"/>
      <c r="AHH21" s="64"/>
      <c r="AHI21" s="64"/>
      <c r="AHJ21" s="64"/>
      <c r="AHK21" s="64"/>
      <c r="AHL21" s="64"/>
      <c r="AHM21" s="64"/>
      <c r="AHN21" s="64"/>
      <c r="AHO21" s="64"/>
      <c r="AHP21" s="64"/>
      <c r="AHQ21" s="64"/>
      <c r="AHR21" s="64"/>
      <c r="AHS21" s="64"/>
      <c r="AHT21" s="64"/>
      <c r="AHU21" s="64"/>
      <c r="AHV21" s="64"/>
      <c r="AHW21" s="64"/>
      <c r="AHX21" s="64"/>
      <c r="AHY21" s="64"/>
      <c r="AHZ21" s="64"/>
      <c r="AIA21" s="64"/>
      <c r="AIB21" s="64"/>
      <c r="AIC21" s="64"/>
      <c r="AID21" s="64"/>
      <c r="AIE21" s="64"/>
      <c r="AIF21" s="64"/>
      <c r="AIG21" s="64"/>
      <c r="AIH21" s="64"/>
      <c r="AII21" s="64"/>
      <c r="AIJ21" s="64"/>
      <c r="AIK21" s="64"/>
      <c r="AIL21" s="64"/>
      <c r="AIM21" s="64"/>
      <c r="AIN21" s="64"/>
      <c r="AIO21" s="64"/>
      <c r="AIP21" s="64"/>
      <c r="AIQ21" s="64"/>
      <c r="AIR21" s="64"/>
      <c r="AIS21" s="64"/>
      <c r="AIT21" s="64"/>
      <c r="AIU21" s="64"/>
      <c r="AIV21" s="64"/>
      <c r="AIW21" s="64"/>
      <c r="AIX21" s="64"/>
      <c r="AIY21" s="64"/>
      <c r="AIZ21" s="64"/>
      <c r="AJA21" s="64"/>
      <c r="AJB21" s="64"/>
      <c r="AJC21" s="64"/>
      <c r="AJD21" s="64"/>
      <c r="AJE21" s="64"/>
      <c r="AJF21" s="64"/>
      <c r="AJG21" s="64"/>
      <c r="AJH21" s="64"/>
      <c r="AJI21" s="64"/>
      <c r="AJJ21" s="64"/>
      <c r="AJK21" s="64"/>
      <c r="AJL21" s="64"/>
      <c r="AJM21" s="64"/>
      <c r="AJN21" s="64"/>
      <c r="AJO21" s="64"/>
      <c r="AJP21" s="64"/>
      <c r="AJQ21" s="64"/>
      <c r="AJR21" s="64"/>
      <c r="AJS21" s="64"/>
      <c r="AJT21" s="64"/>
      <c r="AJU21" s="64"/>
      <c r="AJV21" s="64"/>
      <c r="AJW21" s="64"/>
      <c r="AJX21" s="64"/>
      <c r="AJY21" s="64"/>
      <c r="AJZ21" s="64"/>
      <c r="AKA21" s="64"/>
      <c r="AKB21" s="64"/>
      <c r="AKC21" s="64"/>
      <c r="AKD21" s="64"/>
      <c r="AKE21" s="64"/>
      <c r="AKF21" s="64"/>
      <c r="AKG21" s="64"/>
      <c r="AKH21" s="64"/>
      <c r="AKI21" s="64"/>
      <c r="AKJ21" s="64"/>
      <c r="AKK21" s="64"/>
      <c r="AKL21" s="64"/>
      <c r="AKM21" s="64"/>
      <c r="AKN21" s="64"/>
      <c r="AKO21" s="64"/>
      <c r="AKP21" s="64"/>
      <c r="AKQ21" s="64"/>
      <c r="AKR21" s="64"/>
      <c r="AKS21" s="64"/>
      <c r="AKT21" s="64"/>
      <c r="AKU21" s="64"/>
      <c r="AKV21" s="64"/>
      <c r="AKW21" s="64"/>
      <c r="AKX21" s="64"/>
      <c r="AKY21" s="64"/>
      <c r="AKZ21" s="64"/>
      <c r="ALA21" s="64"/>
      <c r="ALB21" s="64"/>
      <c r="ALC21" s="64"/>
      <c r="ALD21" s="64"/>
      <c r="ALE21" s="64"/>
      <c r="ALF21" s="64"/>
      <c r="ALG21" s="64"/>
      <c r="ALH21" s="64"/>
      <c r="ALI21" s="64"/>
      <c r="ALJ21" s="64"/>
      <c r="ALK21" s="64"/>
      <c r="ALL21" s="64"/>
      <c r="ALM21" s="64"/>
      <c r="ALN21" s="64"/>
      <c r="ALO21" s="64"/>
      <c r="ALP21" s="64"/>
      <c r="ALQ21" s="64"/>
      <c r="ALR21" s="64"/>
      <c r="ALS21" s="64"/>
      <c r="ALT21" s="64"/>
      <c r="ALU21" s="64"/>
      <c r="ALV21" s="64"/>
      <c r="ALW21" s="64"/>
      <c r="ALX21" s="64"/>
      <c r="ALY21" s="64"/>
      <c r="ALZ21" s="64"/>
      <c r="AMA21" s="64"/>
      <c r="AMB21" s="64"/>
      <c r="AMC21" s="64"/>
      <c r="AMD21" s="64"/>
      <c r="AME21" s="64"/>
      <c r="AMF21" s="64"/>
      <c r="AMG21" s="64"/>
      <c r="AMH21" s="64"/>
      <c r="AMI21" s="64"/>
      <c r="AMJ21" s="64"/>
      <c r="AMK21" s="64"/>
      <c r="AML21" s="64"/>
      <c r="AMM21" s="64"/>
      <c r="AMN21" s="64"/>
      <c r="AMO21" s="64"/>
      <c r="AMP21" s="64"/>
      <c r="AMQ21" s="64"/>
      <c r="AMR21" s="64"/>
      <c r="AMS21" s="64"/>
      <c r="AMT21" s="64"/>
      <c r="AMU21" s="64"/>
      <c r="AMV21" s="64"/>
      <c r="AMW21" s="64"/>
      <c r="AMX21" s="64"/>
      <c r="AMY21" s="64"/>
      <c r="AMZ21" s="64"/>
      <c r="ANA21" s="64"/>
      <c r="ANB21" s="64"/>
      <c r="ANC21" s="64"/>
      <c r="AND21" s="64"/>
      <c r="ANE21" s="64"/>
      <c r="ANF21" s="64"/>
      <c r="ANG21" s="64"/>
      <c r="ANH21" s="64"/>
      <c r="ANI21" s="64"/>
      <c r="ANJ21" s="64"/>
      <c r="ANK21" s="64"/>
      <c r="ANL21" s="64"/>
      <c r="ANM21" s="64"/>
      <c r="ANN21" s="64"/>
      <c r="ANO21" s="64"/>
      <c r="ANP21" s="64"/>
      <c r="ANQ21" s="64"/>
      <c r="ANR21" s="64"/>
      <c r="ANS21" s="64"/>
      <c r="ANT21" s="64"/>
      <c r="ANU21" s="64"/>
      <c r="ANV21" s="64"/>
      <c r="ANW21" s="64"/>
      <c r="ANX21" s="64"/>
      <c r="ANY21" s="64"/>
      <c r="ANZ21" s="64"/>
      <c r="AOA21" s="64"/>
      <c r="AOB21" s="64"/>
      <c r="AOC21" s="64"/>
      <c r="AOD21" s="64"/>
      <c r="AOE21" s="64"/>
      <c r="AOF21" s="64"/>
      <c r="AOG21" s="64"/>
      <c r="AOH21" s="64"/>
      <c r="AOI21" s="64"/>
      <c r="AOJ21" s="64"/>
      <c r="AOK21" s="64"/>
      <c r="AOL21" s="64"/>
      <c r="AOM21" s="64"/>
      <c r="AON21" s="64"/>
      <c r="AOO21" s="64"/>
      <c r="AOP21" s="64"/>
      <c r="AOQ21" s="64"/>
      <c r="AOR21" s="64"/>
      <c r="AOS21" s="64"/>
      <c r="AOT21" s="64"/>
      <c r="AOU21" s="64"/>
      <c r="AOV21" s="64"/>
      <c r="AOW21" s="64"/>
      <c r="AOX21" s="64"/>
      <c r="AOY21" s="64"/>
      <c r="AOZ21" s="64"/>
      <c r="APA21" s="64"/>
      <c r="APB21" s="64"/>
      <c r="APC21" s="64"/>
      <c r="APD21" s="64"/>
      <c r="APE21" s="64"/>
      <c r="APF21" s="64"/>
      <c r="APG21" s="64"/>
      <c r="APH21" s="64"/>
      <c r="API21" s="64"/>
      <c r="APJ21" s="64"/>
      <c r="APK21" s="64"/>
      <c r="APL21" s="64"/>
      <c r="APM21" s="64"/>
      <c r="APN21" s="64"/>
      <c r="APO21" s="64"/>
      <c r="APP21" s="64"/>
      <c r="APQ21" s="64"/>
      <c r="APR21" s="64"/>
      <c r="APS21" s="64"/>
      <c r="APT21" s="64"/>
      <c r="APU21" s="64"/>
      <c r="APV21" s="64"/>
      <c r="APW21" s="64"/>
      <c r="APX21" s="64"/>
      <c r="APY21" s="64"/>
      <c r="APZ21" s="64"/>
      <c r="AQA21" s="64"/>
      <c r="AQB21" s="64"/>
      <c r="AQC21" s="64"/>
      <c r="AQD21" s="64"/>
      <c r="AQE21" s="64"/>
      <c r="AQF21" s="64"/>
      <c r="AQG21" s="64"/>
      <c r="AQH21" s="64"/>
      <c r="AQI21" s="64"/>
      <c r="AQJ21" s="64"/>
      <c r="AQK21" s="64"/>
      <c r="AQL21" s="64"/>
      <c r="AQM21" s="64"/>
      <c r="AQN21" s="64"/>
      <c r="AQO21" s="64"/>
      <c r="AQP21" s="64"/>
      <c r="AQQ21" s="64"/>
      <c r="AQR21" s="64"/>
      <c r="AQS21" s="64"/>
      <c r="AQT21" s="64"/>
      <c r="AQU21" s="64"/>
      <c r="AQV21" s="64"/>
      <c r="AQW21" s="64"/>
      <c r="AQX21" s="64"/>
      <c r="AQY21" s="64"/>
      <c r="AQZ21" s="64"/>
      <c r="ARA21" s="64"/>
      <c r="ARB21" s="64"/>
      <c r="ARC21" s="64"/>
      <c r="ARD21" s="64"/>
      <c r="ARE21" s="64"/>
      <c r="ARF21" s="64"/>
      <c r="ARG21" s="64"/>
      <c r="ARH21" s="64"/>
      <c r="ARI21" s="64"/>
      <c r="ARJ21" s="64"/>
      <c r="ARK21" s="64"/>
      <c r="ARL21" s="64"/>
      <c r="ARM21" s="64"/>
      <c r="ARN21" s="64"/>
      <c r="ARO21" s="64"/>
      <c r="ARP21" s="64"/>
      <c r="ARQ21" s="64"/>
      <c r="ARR21" s="64"/>
      <c r="ARS21" s="64"/>
      <c r="ART21" s="64"/>
      <c r="ARU21" s="64"/>
      <c r="ARV21" s="64"/>
      <c r="ARW21" s="64"/>
      <c r="ARX21" s="64"/>
      <c r="ARY21" s="64"/>
      <c r="ARZ21" s="64"/>
      <c r="ASA21" s="64"/>
      <c r="ASB21" s="64"/>
      <c r="ASC21" s="64"/>
      <c r="ASD21" s="64"/>
      <c r="ASE21" s="64"/>
      <c r="ASF21" s="64"/>
      <c r="ASG21" s="64"/>
      <c r="ASH21" s="64"/>
      <c r="ASI21" s="64"/>
      <c r="ASJ21" s="64"/>
      <c r="ASK21" s="64"/>
      <c r="ASL21" s="64"/>
      <c r="ASM21" s="64"/>
      <c r="ASN21" s="64"/>
      <c r="ASO21" s="64"/>
      <c r="ASP21" s="64"/>
      <c r="ASQ21" s="64"/>
      <c r="ASR21" s="64"/>
      <c r="ASS21" s="64"/>
      <c r="AST21" s="64"/>
      <c r="ASU21" s="64"/>
      <c r="ASV21" s="64"/>
      <c r="ASW21" s="64"/>
      <c r="ASX21" s="64"/>
      <c r="ASY21" s="64"/>
      <c r="ASZ21" s="64"/>
      <c r="ATA21" s="64"/>
      <c r="ATB21" s="64"/>
      <c r="ATC21" s="64"/>
      <c r="ATD21" s="64"/>
      <c r="ATE21" s="64"/>
      <c r="ATF21" s="64"/>
      <c r="ATG21" s="64"/>
      <c r="ATH21" s="64"/>
      <c r="ATI21" s="64"/>
      <c r="ATJ21" s="64"/>
      <c r="ATK21" s="64"/>
      <c r="ATL21" s="64"/>
      <c r="ATM21" s="64"/>
      <c r="ATN21" s="64"/>
      <c r="ATO21" s="64"/>
      <c r="ATP21" s="64"/>
      <c r="ATQ21" s="64"/>
      <c r="ATR21" s="64"/>
      <c r="ATS21" s="64"/>
      <c r="ATT21" s="64"/>
      <c r="ATU21" s="64"/>
      <c r="ATV21" s="64"/>
      <c r="ATW21" s="64"/>
      <c r="ATX21" s="64"/>
      <c r="ATY21" s="64"/>
      <c r="ATZ21" s="64"/>
      <c r="AUA21" s="64"/>
      <c r="AUB21" s="64"/>
      <c r="AUC21" s="64"/>
      <c r="AUD21" s="64"/>
      <c r="AUE21" s="64"/>
      <c r="AUF21" s="64"/>
      <c r="AUG21" s="64"/>
      <c r="AUH21" s="64"/>
      <c r="AUI21" s="64"/>
      <c r="AUJ21" s="64"/>
      <c r="AUK21" s="64"/>
      <c r="AUL21" s="64"/>
      <c r="AUM21" s="64"/>
      <c r="AUN21" s="64"/>
      <c r="AUO21" s="64"/>
      <c r="AUP21" s="64"/>
      <c r="AUQ21" s="64"/>
      <c r="AUR21" s="64"/>
      <c r="AUS21" s="64"/>
      <c r="AUT21" s="64"/>
      <c r="AUU21" s="64"/>
      <c r="AUV21" s="64"/>
      <c r="AUW21" s="64"/>
      <c r="AUX21" s="64"/>
      <c r="AUY21" s="64"/>
      <c r="AUZ21" s="64"/>
      <c r="AVA21" s="64"/>
      <c r="AVB21" s="64"/>
      <c r="AVC21" s="64"/>
      <c r="AVD21" s="64"/>
      <c r="AVE21" s="64"/>
      <c r="AVF21" s="64"/>
      <c r="AVG21" s="64"/>
      <c r="AVH21" s="64"/>
      <c r="AVI21" s="64"/>
      <c r="AVJ21" s="64"/>
      <c r="AVK21" s="64"/>
      <c r="AVL21" s="64"/>
      <c r="AVM21" s="64"/>
      <c r="AVN21" s="64"/>
      <c r="AVO21" s="64"/>
      <c r="AVP21" s="64"/>
      <c r="AVQ21" s="64"/>
      <c r="AVR21" s="64"/>
      <c r="AVS21" s="64"/>
      <c r="AVT21" s="64"/>
      <c r="AVU21" s="64"/>
      <c r="AVV21" s="64"/>
      <c r="AVW21" s="64"/>
      <c r="AVX21" s="64"/>
      <c r="AVY21" s="64"/>
      <c r="AVZ21" s="64"/>
      <c r="AWA21" s="64"/>
      <c r="AWB21" s="64"/>
      <c r="AWC21" s="64"/>
      <c r="AWD21" s="64"/>
      <c r="AWE21" s="64"/>
      <c r="AWF21" s="64"/>
      <c r="AWG21" s="64"/>
      <c r="AWH21" s="64"/>
      <c r="AWI21" s="64"/>
      <c r="AWJ21" s="64"/>
      <c r="AWK21" s="64"/>
      <c r="AWL21" s="64"/>
      <c r="AWM21" s="64"/>
      <c r="AWN21" s="64"/>
      <c r="AWO21" s="64"/>
      <c r="AWP21" s="64"/>
      <c r="AWQ21" s="64"/>
      <c r="AWR21" s="64"/>
      <c r="AWS21" s="64"/>
      <c r="AWT21" s="64"/>
      <c r="AWU21" s="64"/>
      <c r="AWV21" s="64"/>
      <c r="AWW21" s="64"/>
      <c r="AWX21" s="64"/>
      <c r="AWY21" s="64"/>
      <c r="AWZ21" s="64"/>
      <c r="AXA21" s="64"/>
      <c r="AXB21" s="64"/>
      <c r="AXC21" s="64"/>
      <c r="AXD21" s="64"/>
      <c r="AXE21" s="64"/>
      <c r="AXF21" s="64"/>
      <c r="AXG21" s="64"/>
      <c r="AXH21" s="64"/>
      <c r="AXI21" s="64"/>
      <c r="AXJ21" s="64"/>
      <c r="AXK21" s="64"/>
      <c r="AXL21" s="64"/>
      <c r="AXM21" s="64"/>
      <c r="AXN21" s="64"/>
      <c r="AXO21" s="64"/>
      <c r="AXP21" s="64"/>
      <c r="AXQ21" s="64"/>
      <c r="AXR21" s="64"/>
      <c r="AXS21" s="64"/>
      <c r="AXT21" s="64"/>
      <c r="AXU21" s="64"/>
      <c r="AXV21" s="64"/>
      <c r="AXW21" s="64"/>
      <c r="AXX21" s="64"/>
      <c r="AXY21" s="64"/>
      <c r="AXZ21" s="64"/>
      <c r="AYA21" s="64"/>
      <c r="AYB21" s="64"/>
      <c r="AYC21" s="64"/>
      <c r="AYD21" s="64"/>
      <c r="AYE21" s="64"/>
      <c r="AYF21" s="64"/>
      <c r="AYG21" s="64"/>
      <c r="AYH21" s="64"/>
      <c r="AYI21" s="64"/>
      <c r="AYJ21" s="64"/>
      <c r="AYK21" s="64"/>
      <c r="AYL21" s="64"/>
      <c r="AYM21" s="64"/>
      <c r="AYN21" s="64"/>
      <c r="AYO21" s="64"/>
      <c r="AYP21" s="64"/>
      <c r="AYQ21" s="64"/>
      <c r="AYR21" s="64"/>
      <c r="AYS21" s="64"/>
      <c r="AYT21" s="64"/>
      <c r="AYU21" s="64"/>
      <c r="AYV21" s="64"/>
      <c r="AYW21" s="64"/>
      <c r="AYX21" s="64"/>
      <c r="AYY21" s="64"/>
      <c r="AYZ21" s="64"/>
      <c r="AZA21" s="64"/>
      <c r="AZB21" s="64"/>
      <c r="AZC21" s="64"/>
      <c r="AZD21" s="64"/>
      <c r="AZE21" s="64"/>
      <c r="AZF21" s="64"/>
      <c r="AZG21" s="64"/>
      <c r="AZH21" s="64"/>
      <c r="AZI21" s="64"/>
      <c r="AZJ21" s="64"/>
      <c r="AZK21" s="64"/>
      <c r="AZL21" s="64"/>
      <c r="AZM21" s="64"/>
      <c r="AZN21" s="64"/>
      <c r="AZO21" s="64"/>
      <c r="AZP21" s="64"/>
      <c r="AZQ21" s="64"/>
      <c r="AZR21" s="64"/>
      <c r="AZS21" s="64"/>
      <c r="AZT21" s="64"/>
      <c r="AZU21" s="64"/>
      <c r="AZV21" s="64"/>
      <c r="AZW21" s="64"/>
      <c r="AZX21" s="64"/>
      <c r="AZY21" s="64"/>
      <c r="AZZ21" s="64"/>
      <c r="BAA21" s="64"/>
      <c r="BAB21" s="64"/>
      <c r="BAC21" s="64"/>
      <c r="BAD21" s="64"/>
      <c r="BAE21" s="64"/>
      <c r="BAF21" s="64"/>
      <c r="BAG21" s="64"/>
      <c r="BAH21" s="64"/>
      <c r="BAI21" s="64"/>
      <c r="BAJ21" s="64"/>
      <c r="BAK21" s="64"/>
      <c r="BAL21" s="64"/>
      <c r="BAM21" s="64"/>
      <c r="BAN21" s="64"/>
      <c r="BAO21" s="64"/>
      <c r="BAP21" s="64"/>
      <c r="BAQ21" s="64"/>
      <c r="BAR21" s="64"/>
      <c r="BAS21" s="64"/>
      <c r="BAT21" s="64"/>
      <c r="BAU21" s="64"/>
      <c r="BAV21" s="64"/>
      <c r="BAW21" s="64"/>
      <c r="BAX21" s="64"/>
      <c r="BAY21" s="64"/>
      <c r="BAZ21" s="64"/>
      <c r="BBA21" s="64"/>
      <c r="BBB21" s="64"/>
      <c r="BBC21" s="64"/>
      <c r="BBD21" s="64"/>
      <c r="BBE21" s="64"/>
      <c r="BBF21" s="64"/>
      <c r="BBG21" s="64"/>
      <c r="BBH21" s="64"/>
      <c r="BBI21" s="64"/>
      <c r="BBJ21" s="64"/>
      <c r="BBK21" s="64"/>
      <c r="BBL21" s="64"/>
      <c r="BBM21" s="64"/>
      <c r="BBN21" s="64"/>
      <c r="BBO21" s="64"/>
      <c r="BBP21" s="64"/>
      <c r="BBQ21" s="64"/>
      <c r="BBR21" s="64"/>
      <c r="BBS21" s="64"/>
      <c r="BBT21" s="64"/>
      <c r="BBU21" s="64"/>
      <c r="BBV21" s="64"/>
      <c r="BBW21" s="64"/>
      <c r="BBX21" s="64"/>
      <c r="BBY21" s="64"/>
      <c r="BBZ21" s="64"/>
      <c r="BCA21" s="64"/>
      <c r="BCB21" s="64"/>
      <c r="BCC21" s="64"/>
      <c r="BCD21" s="64"/>
      <c r="BCE21" s="64"/>
      <c r="BCF21" s="64"/>
      <c r="BCG21" s="64"/>
      <c r="BCH21" s="64"/>
      <c r="BCI21" s="64"/>
      <c r="BCJ21" s="64"/>
      <c r="BCK21" s="64"/>
      <c r="BCL21" s="64"/>
      <c r="BCM21" s="64"/>
      <c r="BCN21" s="64"/>
      <c r="BCO21" s="64"/>
      <c r="BCP21" s="64"/>
      <c r="BCQ21" s="64"/>
      <c r="BCR21" s="64"/>
      <c r="BCS21" s="64"/>
      <c r="BCT21" s="64"/>
      <c r="BCU21" s="64"/>
      <c r="BCV21" s="64"/>
      <c r="BCW21" s="64"/>
      <c r="BCX21" s="64"/>
      <c r="BCY21" s="64"/>
      <c r="BCZ21" s="64"/>
      <c r="BDA21" s="64"/>
      <c r="BDB21" s="64"/>
      <c r="BDC21" s="64"/>
      <c r="BDD21" s="64"/>
      <c r="BDE21" s="64"/>
      <c r="BDF21" s="64"/>
      <c r="BDG21" s="64"/>
      <c r="BDH21" s="64"/>
      <c r="BDI21" s="64"/>
      <c r="BDJ21" s="64"/>
      <c r="BDK21" s="64"/>
      <c r="BDL21" s="64"/>
      <c r="BDM21" s="64"/>
      <c r="BDN21" s="64"/>
      <c r="BDO21" s="64"/>
      <c r="BDP21" s="64"/>
      <c r="BDQ21" s="64"/>
      <c r="BDR21" s="64"/>
      <c r="BDS21" s="64"/>
      <c r="BDT21" s="64"/>
      <c r="BDU21" s="64"/>
      <c r="BDV21" s="64"/>
      <c r="BDW21" s="64"/>
      <c r="BDX21" s="64"/>
      <c r="BDY21" s="64"/>
      <c r="BDZ21" s="64"/>
      <c r="BEA21" s="64"/>
      <c r="BEB21" s="64"/>
      <c r="BEC21" s="64"/>
      <c r="BED21" s="64"/>
      <c r="BEE21" s="64"/>
      <c r="BEF21" s="64"/>
      <c r="BEG21" s="64"/>
      <c r="BEH21" s="64"/>
      <c r="BEI21" s="64"/>
      <c r="BEJ21" s="64"/>
      <c r="BEK21" s="64"/>
      <c r="BEL21" s="64"/>
      <c r="BEM21" s="64"/>
      <c r="BEN21" s="64"/>
      <c r="BEO21" s="64"/>
      <c r="BEP21" s="64"/>
      <c r="BEQ21" s="64"/>
      <c r="BER21" s="64"/>
      <c r="BES21" s="64"/>
      <c r="BET21" s="64"/>
      <c r="BEU21" s="64"/>
      <c r="BEV21" s="64"/>
      <c r="BEW21" s="64"/>
      <c r="BEX21" s="64"/>
      <c r="BEY21" s="64"/>
      <c r="BEZ21" s="64"/>
      <c r="BFA21" s="64"/>
      <c r="BFB21" s="64"/>
      <c r="BFC21" s="64"/>
      <c r="BFD21" s="64"/>
      <c r="BFE21" s="64"/>
      <c r="BFF21" s="64"/>
      <c r="BFG21" s="64"/>
      <c r="BFH21" s="64"/>
      <c r="BFI21" s="64"/>
      <c r="BFJ21" s="64"/>
      <c r="BFK21" s="64"/>
      <c r="BFL21" s="64"/>
      <c r="BFM21" s="64"/>
      <c r="BFN21" s="64"/>
      <c r="BFO21" s="64"/>
      <c r="BFP21" s="64"/>
      <c r="BFQ21" s="64"/>
      <c r="BFR21" s="64"/>
      <c r="BFS21" s="64"/>
      <c r="BFT21" s="64"/>
      <c r="BFU21" s="64"/>
      <c r="BFV21" s="64"/>
      <c r="BFW21" s="64"/>
      <c r="BFX21" s="64"/>
      <c r="BFY21" s="64"/>
      <c r="BFZ21" s="64"/>
      <c r="BGA21" s="64"/>
      <c r="BGB21" s="64"/>
      <c r="BGC21" s="64"/>
      <c r="BGD21" s="64"/>
      <c r="BGE21" s="64"/>
      <c r="BGF21" s="64"/>
      <c r="BGG21" s="64"/>
      <c r="BGH21" s="64"/>
      <c r="BGI21" s="64"/>
      <c r="BGJ21" s="64"/>
      <c r="BGK21" s="64"/>
      <c r="BGL21" s="64"/>
      <c r="BGM21" s="64"/>
      <c r="BGN21" s="64"/>
      <c r="BGO21" s="64"/>
      <c r="BGP21" s="64"/>
      <c r="BGQ21" s="64"/>
      <c r="BGR21" s="64"/>
      <c r="BGS21" s="64"/>
      <c r="BGT21" s="64"/>
      <c r="BGU21" s="64"/>
      <c r="BGV21" s="64"/>
      <c r="BGW21" s="64"/>
      <c r="BGX21" s="64"/>
      <c r="BGY21" s="64"/>
      <c r="BGZ21" s="64"/>
      <c r="BHA21" s="64"/>
      <c r="BHB21" s="64"/>
      <c r="BHC21" s="64"/>
      <c r="BHD21" s="64"/>
      <c r="BHE21" s="64"/>
      <c r="BHF21" s="64"/>
      <c r="BHG21" s="64"/>
      <c r="BHH21" s="64"/>
      <c r="BHI21" s="64"/>
      <c r="BHJ21" s="64"/>
      <c r="BHK21" s="64"/>
      <c r="BHL21" s="64"/>
      <c r="BHM21" s="64"/>
      <c r="BHN21" s="64"/>
      <c r="BHO21" s="64"/>
      <c r="BHP21" s="64"/>
      <c r="BHQ21" s="64"/>
      <c r="BHR21" s="64"/>
      <c r="BHS21" s="64"/>
      <c r="BHT21" s="64"/>
      <c r="BHU21" s="64"/>
      <c r="BHV21" s="64"/>
      <c r="BHW21" s="64"/>
      <c r="BHX21" s="64"/>
      <c r="BHY21" s="64"/>
      <c r="BHZ21" s="64"/>
      <c r="BIA21" s="64"/>
      <c r="BIB21" s="64"/>
      <c r="BIC21" s="64"/>
      <c r="BID21" s="64"/>
      <c r="BIE21" s="64"/>
      <c r="BIF21" s="64"/>
      <c r="BIG21" s="64"/>
      <c r="BIH21" s="64"/>
      <c r="BII21" s="64"/>
      <c r="BIJ21" s="64"/>
      <c r="BIK21" s="64"/>
      <c r="BIL21" s="64"/>
      <c r="BIM21" s="64"/>
      <c r="BIN21" s="64"/>
      <c r="BIO21" s="64"/>
      <c r="BIP21" s="64"/>
      <c r="BIQ21" s="64"/>
      <c r="BIR21" s="64"/>
      <c r="BIS21" s="64"/>
      <c r="BIT21" s="64"/>
      <c r="BIU21" s="64"/>
      <c r="BIV21" s="64"/>
      <c r="BIW21" s="64"/>
      <c r="BIX21" s="64"/>
      <c r="BIY21" s="64"/>
      <c r="BIZ21" s="64"/>
      <c r="BJA21" s="64"/>
      <c r="BJB21" s="64"/>
      <c r="BJC21" s="64"/>
      <c r="BJD21" s="64"/>
      <c r="BJE21" s="64"/>
      <c r="BJF21" s="64"/>
      <c r="BJG21" s="64"/>
      <c r="BJH21" s="64"/>
      <c r="BJI21" s="64"/>
      <c r="BJJ21" s="64"/>
      <c r="BJK21" s="64"/>
      <c r="BJL21" s="64"/>
      <c r="BJM21" s="64"/>
      <c r="BJN21" s="64"/>
      <c r="BJO21" s="64"/>
      <c r="BJP21" s="64"/>
      <c r="BJQ21" s="64"/>
      <c r="BJR21" s="64"/>
      <c r="BJS21" s="64"/>
      <c r="BJT21" s="64"/>
      <c r="BJU21" s="64"/>
      <c r="BJV21" s="64"/>
      <c r="BJW21" s="64"/>
      <c r="BJX21" s="64"/>
      <c r="BJY21" s="64"/>
      <c r="BJZ21" s="64"/>
      <c r="BKA21" s="64"/>
      <c r="BKB21" s="64"/>
      <c r="BKC21" s="64"/>
      <c r="BKD21" s="64"/>
      <c r="BKE21" s="64"/>
      <c r="BKF21" s="64"/>
      <c r="BKG21" s="64"/>
      <c r="BKH21" s="64"/>
      <c r="BKI21" s="64"/>
      <c r="BKJ21" s="64"/>
      <c r="BKK21" s="64"/>
      <c r="BKL21" s="64"/>
      <c r="BKM21" s="64"/>
      <c r="BKN21" s="64"/>
      <c r="BKO21" s="64"/>
      <c r="BKP21" s="64"/>
      <c r="BKQ21" s="64"/>
      <c r="BKR21" s="64"/>
      <c r="BKS21" s="64"/>
      <c r="BKT21" s="64"/>
      <c r="BKU21" s="64"/>
      <c r="BKV21" s="64"/>
      <c r="BKW21" s="64"/>
      <c r="BKX21" s="64"/>
      <c r="BKY21" s="64"/>
      <c r="BKZ21" s="64"/>
      <c r="BLA21" s="64"/>
      <c r="BLB21" s="64"/>
      <c r="BLC21" s="64"/>
      <c r="BLD21" s="64"/>
      <c r="BLE21" s="64"/>
      <c r="BLF21" s="64"/>
      <c r="BLG21" s="64"/>
      <c r="BLH21" s="64"/>
      <c r="BLI21" s="64"/>
      <c r="BLJ21" s="64"/>
      <c r="BLK21" s="64"/>
      <c r="BLL21" s="64"/>
      <c r="BLM21" s="64"/>
      <c r="BLN21" s="64"/>
      <c r="BLO21" s="64"/>
      <c r="BLP21" s="64"/>
      <c r="BLQ21" s="64"/>
      <c r="BLR21" s="64"/>
      <c r="BLS21" s="64"/>
      <c r="BLT21" s="64"/>
      <c r="BLU21" s="64"/>
      <c r="BLV21" s="64"/>
      <c r="BLW21" s="64"/>
      <c r="BLX21" s="64"/>
      <c r="BLY21" s="64"/>
      <c r="BLZ21" s="64"/>
      <c r="BMA21" s="64"/>
      <c r="BMB21" s="64"/>
      <c r="BMC21" s="64"/>
      <c r="BMD21" s="64"/>
      <c r="BME21" s="64"/>
      <c r="BMF21" s="64"/>
      <c r="BMG21" s="64"/>
      <c r="BMH21" s="64"/>
      <c r="BMI21" s="64"/>
      <c r="BMJ21" s="64"/>
      <c r="BMK21" s="64"/>
      <c r="BML21" s="64"/>
      <c r="BMM21" s="64"/>
      <c r="BMN21" s="64"/>
      <c r="BMO21" s="64"/>
      <c r="BMP21" s="64"/>
      <c r="BMQ21" s="64"/>
      <c r="BMR21" s="64"/>
      <c r="BMS21" s="64"/>
      <c r="BMT21" s="64"/>
      <c r="BMU21" s="64"/>
      <c r="BMV21" s="64"/>
      <c r="BMW21" s="64"/>
      <c r="BMX21" s="64"/>
      <c r="BMY21" s="64"/>
      <c r="BMZ21" s="64"/>
      <c r="BNA21" s="64"/>
      <c r="BNB21" s="64"/>
      <c r="BNC21" s="64"/>
      <c r="BND21" s="64"/>
      <c r="BNE21" s="64"/>
      <c r="BNF21" s="64"/>
      <c r="BNG21" s="64"/>
      <c r="BNH21" s="64"/>
      <c r="BNI21" s="64"/>
      <c r="BNJ21" s="64"/>
      <c r="BNK21" s="64"/>
      <c r="BNL21" s="64"/>
      <c r="BNM21" s="64"/>
      <c r="BNN21" s="64"/>
      <c r="BNO21" s="64"/>
      <c r="BNP21" s="64"/>
      <c r="BNQ21" s="64"/>
      <c r="BNR21" s="64"/>
      <c r="BNS21" s="64"/>
      <c r="BNT21" s="64"/>
      <c r="BNU21" s="64"/>
      <c r="BNV21" s="64"/>
      <c r="BNW21" s="64"/>
      <c r="BNX21" s="64"/>
      <c r="BNY21" s="64"/>
      <c r="BNZ21" s="64"/>
      <c r="BOA21" s="64"/>
      <c r="BOB21" s="64"/>
      <c r="BOC21" s="64"/>
      <c r="BOD21" s="64"/>
      <c r="BOE21" s="64"/>
      <c r="BOF21" s="64"/>
      <c r="BOG21" s="64"/>
      <c r="BOH21" s="64"/>
      <c r="BOI21" s="64"/>
      <c r="BOJ21" s="64"/>
      <c r="BOK21" s="64"/>
      <c r="BOL21" s="64"/>
      <c r="BOM21" s="64"/>
      <c r="BON21" s="64"/>
      <c r="BOO21" s="64"/>
      <c r="BOP21" s="64"/>
      <c r="BOQ21" s="64"/>
      <c r="BOR21" s="64"/>
      <c r="BOS21" s="64"/>
      <c r="BOT21" s="64"/>
      <c r="BOU21" s="64"/>
      <c r="BOV21" s="64"/>
      <c r="BOW21" s="64"/>
      <c r="BOX21" s="64"/>
      <c r="BOY21" s="64"/>
      <c r="BOZ21" s="64"/>
      <c r="BPA21" s="64"/>
      <c r="BPB21" s="64"/>
      <c r="BPC21" s="64"/>
      <c r="BPD21" s="64"/>
      <c r="BPE21" s="64"/>
      <c r="BPF21" s="64"/>
      <c r="BPG21" s="64"/>
      <c r="BPH21" s="64"/>
      <c r="BPI21" s="64"/>
      <c r="BPJ21" s="64"/>
      <c r="BPK21" s="64"/>
      <c r="BPL21" s="64"/>
      <c r="BPM21" s="64"/>
      <c r="BPN21" s="64"/>
      <c r="BPO21" s="64"/>
      <c r="BPP21" s="64"/>
      <c r="BPQ21" s="64"/>
      <c r="BPR21" s="64"/>
      <c r="BPS21" s="64"/>
      <c r="BPT21" s="64"/>
      <c r="BPU21" s="64"/>
      <c r="BPV21" s="64"/>
      <c r="BPW21" s="64"/>
      <c r="BPX21" s="64"/>
      <c r="BPY21" s="64"/>
      <c r="BPZ21" s="64"/>
      <c r="BQA21" s="64"/>
      <c r="BQB21" s="64"/>
      <c r="BQC21" s="64"/>
      <c r="BQD21" s="64"/>
      <c r="BQE21" s="64"/>
      <c r="BQF21" s="64"/>
      <c r="BQG21" s="64"/>
      <c r="BQH21" s="64"/>
      <c r="BQI21" s="64"/>
      <c r="BQJ21" s="64"/>
      <c r="BQK21" s="64"/>
      <c r="BQL21" s="64"/>
      <c r="BQM21" s="64"/>
      <c r="BQN21" s="64"/>
      <c r="BQO21" s="64"/>
      <c r="BQP21" s="64"/>
      <c r="BQQ21" s="64"/>
      <c r="BQR21" s="64"/>
      <c r="BQS21" s="64"/>
      <c r="BQT21" s="64"/>
      <c r="BQU21" s="64"/>
      <c r="BQV21" s="64"/>
      <c r="BQW21" s="64"/>
      <c r="BQX21" s="64"/>
      <c r="BQY21" s="64"/>
      <c r="BQZ21" s="64"/>
      <c r="BRA21" s="64"/>
      <c r="BRB21" s="64"/>
      <c r="BRC21" s="64"/>
      <c r="BRD21" s="64"/>
      <c r="BRE21" s="64"/>
      <c r="BRF21" s="64"/>
      <c r="BRG21" s="64"/>
      <c r="BRH21" s="64"/>
      <c r="BRI21" s="64"/>
      <c r="BRJ21" s="64"/>
      <c r="BRK21" s="64"/>
      <c r="BRL21" s="64"/>
      <c r="BRM21" s="64"/>
      <c r="BRN21" s="64"/>
      <c r="BRO21" s="64"/>
      <c r="BRP21" s="64"/>
      <c r="BRQ21" s="64"/>
      <c r="BRR21" s="64"/>
      <c r="BRS21" s="64"/>
      <c r="BRT21" s="64"/>
      <c r="BRU21" s="64"/>
      <c r="BRV21" s="64"/>
      <c r="BRW21" s="64"/>
      <c r="BRX21" s="64"/>
      <c r="BRY21" s="64"/>
      <c r="BRZ21" s="64"/>
      <c r="BSA21" s="64"/>
      <c r="BSB21" s="64"/>
      <c r="BSC21" s="64"/>
      <c r="BSD21" s="64"/>
      <c r="BSE21" s="64"/>
      <c r="BSF21" s="64"/>
      <c r="BSG21" s="64"/>
      <c r="BSH21" s="64"/>
      <c r="BSI21" s="64"/>
      <c r="BSJ21" s="64"/>
      <c r="BSK21" s="64"/>
      <c r="BSL21" s="64"/>
      <c r="BSM21" s="64"/>
      <c r="BSN21" s="64"/>
      <c r="BSO21" s="64"/>
      <c r="BSP21" s="64"/>
      <c r="BSQ21" s="64"/>
      <c r="BSR21" s="64"/>
      <c r="BSS21" s="64"/>
      <c r="BST21" s="64"/>
      <c r="BSU21" s="64"/>
      <c r="BSV21" s="64"/>
      <c r="BSW21" s="64"/>
      <c r="BSX21" s="64"/>
      <c r="BSY21" s="64"/>
      <c r="BSZ21" s="64"/>
      <c r="BTA21" s="64"/>
      <c r="BTB21" s="64"/>
      <c r="BTC21" s="64"/>
      <c r="BTD21" s="64"/>
      <c r="BTE21" s="64"/>
      <c r="BTF21" s="64"/>
      <c r="BTG21" s="64"/>
      <c r="BTH21" s="64"/>
      <c r="BTI21" s="64"/>
      <c r="BTJ21" s="64"/>
      <c r="BTK21" s="64"/>
      <c r="BTL21" s="64"/>
      <c r="BTM21" s="64"/>
      <c r="BTN21" s="64"/>
      <c r="BTO21" s="64"/>
      <c r="BTP21" s="64"/>
      <c r="BTQ21" s="64"/>
      <c r="BTR21" s="64"/>
      <c r="BTS21" s="64"/>
      <c r="BTT21" s="64"/>
      <c r="BTU21" s="64"/>
      <c r="BTV21" s="64"/>
      <c r="BTW21" s="64"/>
      <c r="BTX21" s="64"/>
      <c r="BTY21" s="64"/>
      <c r="BTZ21" s="64"/>
      <c r="BUA21" s="64"/>
      <c r="BUB21" s="64"/>
      <c r="BUC21" s="64"/>
      <c r="BUD21" s="64"/>
      <c r="BUE21" s="64"/>
      <c r="BUF21" s="64"/>
      <c r="BUG21" s="64"/>
      <c r="BUH21" s="64"/>
      <c r="BUI21" s="64"/>
      <c r="BUJ21" s="64"/>
      <c r="BUK21" s="64"/>
      <c r="BUL21" s="64"/>
      <c r="BUM21" s="64"/>
      <c r="BUN21" s="64"/>
      <c r="BUO21" s="64"/>
      <c r="BUP21" s="64"/>
      <c r="BUQ21" s="64"/>
      <c r="BUR21" s="64"/>
      <c r="BUS21" s="64"/>
      <c r="BUT21" s="64"/>
      <c r="BUU21" s="64"/>
      <c r="BUV21" s="64"/>
      <c r="BUW21" s="64"/>
      <c r="BUX21" s="64"/>
      <c r="BUY21" s="64"/>
      <c r="BUZ21" s="64"/>
      <c r="BVA21" s="64"/>
      <c r="BVB21" s="64"/>
      <c r="BVC21" s="64"/>
      <c r="BVD21" s="64"/>
      <c r="BVE21" s="64"/>
      <c r="BVF21" s="64"/>
      <c r="BVG21" s="64"/>
      <c r="BVH21" s="64"/>
      <c r="BVI21" s="64"/>
      <c r="BVJ21" s="64"/>
      <c r="BVK21" s="64"/>
      <c r="BVL21" s="64"/>
      <c r="BVM21" s="64"/>
      <c r="BVN21" s="64"/>
      <c r="BVO21" s="64"/>
      <c r="BVP21" s="64"/>
      <c r="BVQ21" s="64"/>
      <c r="BVR21" s="64"/>
      <c r="BVS21" s="64"/>
      <c r="BVT21" s="64"/>
      <c r="BVU21" s="64"/>
      <c r="BVV21" s="64"/>
      <c r="BVW21" s="64"/>
      <c r="BVX21" s="64"/>
      <c r="BVY21" s="64"/>
      <c r="BVZ21" s="64"/>
      <c r="BWA21" s="64"/>
      <c r="BWB21" s="64"/>
      <c r="BWC21" s="64"/>
      <c r="BWD21" s="64"/>
      <c r="BWE21" s="64"/>
      <c r="BWF21" s="64"/>
      <c r="BWG21" s="64"/>
      <c r="BWH21" s="64"/>
      <c r="BWI21" s="64"/>
      <c r="BWJ21" s="64"/>
      <c r="BWK21" s="64"/>
      <c r="BWL21" s="64"/>
      <c r="BWM21" s="64"/>
      <c r="BWN21" s="64"/>
      <c r="BWO21" s="64"/>
      <c r="BWP21" s="64"/>
      <c r="BWQ21" s="64"/>
      <c r="BWR21" s="64"/>
      <c r="BWS21" s="64"/>
      <c r="BWT21" s="64"/>
      <c r="BWU21" s="64"/>
      <c r="BWV21" s="64"/>
      <c r="BWW21" s="64"/>
      <c r="BWX21" s="64"/>
      <c r="BWY21" s="64"/>
      <c r="BWZ21" s="64"/>
      <c r="BXA21" s="64"/>
      <c r="BXB21" s="64"/>
      <c r="BXC21" s="64"/>
      <c r="BXD21" s="64"/>
      <c r="BXE21" s="64"/>
      <c r="BXF21" s="64"/>
      <c r="BXG21" s="64"/>
      <c r="BXH21" s="64"/>
      <c r="BXI21" s="64"/>
      <c r="BXJ21" s="64"/>
      <c r="BXK21" s="64"/>
      <c r="BXL21" s="64"/>
      <c r="BXM21" s="64"/>
      <c r="BXN21" s="64"/>
      <c r="BXO21" s="64"/>
      <c r="BXP21" s="64"/>
      <c r="BXQ21" s="64"/>
      <c r="BXR21" s="64"/>
      <c r="BXS21" s="64"/>
      <c r="BXT21" s="64"/>
      <c r="BXU21" s="64"/>
      <c r="BXV21" s="64"/>
      <c r="BXW21" s="64"/>
      <c r="BXX21" s="64"/>
      <c r="BXY21" s="64"/>
      <c r="BXZ21" s="64"/>
      <c r="BYA21" s="64"/>
      <c r="BYB21" s="64"/>
      <c r="BYC21" s="64"/>
      <c r="BYD21" s="64"/>
      <c r="BYE21" s="64"/>
      <c r="BYF21" s="64"/>
      <c r="BYG21" s="64"/>
      <c r="BYH21" s="64"/>
      <c r="BYI21" s="64"/>
      <c r="BYJ21" s="64"/>
      <c r="BYK21" s="64"/>
      <c r="BYL21" s="64"/>
      <c r="BYM21" s="64"/>
      <c r="BYN21" s="64"/>
      <c r="BYO21" s="64"/>
      <c r="BYP21" s="64"/>
      <c r="BYQ21" s="64"/>
      <c r="BYR21" s="64"/>
      <c r="BYS21" s="64"/>
      <c r="BYT21" s="64"/>
      <c r="BYU21" s="64"/>
      <c r="BYV21" s="64"/>
      <c r="BYW21" s="64"/>
      <c r="BYX21" s="64"/>
      <c r="BYY21" s="64"/>
      <c r="BYZ21" s="64"/>
      <c r="BZA21" s="64"/>
      <c r="BZB21" s="64"/>
      <c r="BZC21" s="64"/>
      <c r="BZD21" s="64"/>
      <c r="BZE21" s="64"/>
      <c r="BZF21" s="64"/>
      <c r="BZG21" s="64"/>
      <c r="BZH21" s="64"/>
      <c r="BZI21" s="64"/>
      <c r="BZJ21" s="64"/>
      <c r="BZK21" s="64"/>
      <c r="BZL21" s="64"/>
      <c r="BZM21" s="64"/>
      <c r="BZN21" s="64"/>
      <c r="BZO21" s="64"/>
      <c r="BZP21" s="64"/>
      <c r="BZQ21" s="64"/>
      <c r="BZR21" s="64"/>
      <c r="BZS21" s="64"/>
      <c r="BZT21" s="64"/>
      <c r="BZU21" s="64"/>
      <c r="BZV21" s="64"/>
      <c r="BZW21" s="64"/>
      <c r="BZX21" s="64"/>
      <c r="BZY21" s="64"/>
      <c r="BZZ21" s="64"/>
      <c r="CAA21" s="64"/>
      <c r="CAB21" s="64"/>
      <c r="CAC21" s="64"/>
      <c r="CAD21" s="64"/>
      <c r="CAE21" s="64"/>
      <c r="CAF21" s="64"/>
      <c r="CAG21" s="64"/>
      <c r="CAH21" s="64"/>
      <c r="CAI21" s="64"/>
      <c r="CAJ21" s="64"/>
      <c r="CAK21" s="64"/>
      <c r="CAL21" s="64"/>
      <c r="CAM21" s="64"/>
      <c r="CAN21" s="64"/>
      <c r="CAO21" s="64"/>
      <c r="CAP21" s="64"/>
      <c r="CAQ21" s="64"/>
      <c r="CAR21" s="64"/>
      <c r="CAS21" s="64"/>
      <c r="CAT21" s="64"/>
      <c r="CAU21" s="64"/>
      <c r="CAV21" s="64"/>
      <c r="CAW21" s="64"/>
      <c r="CAX21" s="64"/>
      <c r="CAY21" s="64"/>
      <c r="CAZ21" s="64"/>
      <c r="CBA21" s="64"/>
      <c r="CBB21" s="64"/>
      <c r="CBC21" s="64"/>
      <c r="CBD21" s="64"/>
      <c r="CBE21" s="64"/>
      <c r="CBF21" s="64"/>
      <c r="CBG21" s="64"/>
      <c r="CBH21" s="64"/>
      <c r="CBI21" s="64"/>
      <c r="CBJ21" s="64"/>
      <c r="CBK21" s="64"/>
      <c r="CBL21" s="64"/>
      <c r="CBM21" s="64"/>
      <c r="CBN21" s="64"/>
      <c r="CBO21" s="64"/>
      <c r="CBP21" s="64"/>
      <c r="CBQ21" s="64"/>
      <c r="CBR21" s="64"/>
      <c r="CBS21" s="64"/>
      <c r="CBT21" s="64"/>
      <c r="CBU21" s="64"/>
      <c r="CBV21" s="64"/>
      <c r="CBW21" s="64"/>
      <c r="CBX21" s="64"/>
      <c r="CBY21" s="64"/>
      <c r="CBZ21" s="64"/>
      <c r="CCA21" s="64"/>
      <c r="CCB21" s="64"/>
      <c r="CCC21" s="64"/>
      <c r="CCD21" s="64"/>
      <c r="CCE21" s="64"/>
      <c r="CCF21" s="64"/>
      <c r="CCG21" s="64"/>
      <c r="CCH21" s="64"/>
      <c r="CCI21" s="64"/>
      <c r="CCJ21" s="64"/>
      <c r="CCK21" s="64"/>
      <c r="CCL21" s="64"/>
      <c r="CCM21" s="64"/>
      <c r="CCN21" s="64"/>
      <c r="CCO21" s="64"/>
      <c r="CCP21" s="64"/>
      <c r="CCQ21" s="64"/>
      <c r="CCR21" s="64"/>
      <c r="CCS21" s="64"/>
      <c r="CCT21" s="64"/>
      <c r="CCU21" s="64"/>
      <c r="CCV21" s="64"/>
      <c r="CCW21" s="64"/>
      <c r="CCX21" s="64"/>
      <c r="CCY21" s="64"/>
      <c r="CCZ21" s="64"/>
      <c r="CDA21" s="64"/>
      <c r="CDB21" s="64"/>
      <c r="CDC21" s="64"/>
      <c r="CDD21" s="64"/>
      <c r="CDE21" s="64"/>
      <c r="CDF21" s="64"/>
      <c r="CDG21" s="64"/>
      <c r="CDH21" s="64"/>
      <c r="CDI21" s="64"/>
      <c r="CDJ21" s="64"/>
      <c r="CDK21" s="64"/>
      <c r="CDL21" s="64"/>
      <c r="CDM21" s="64"/>
      <c r="CDN21" s="64"/>
      <c r="CDO21" s="64"/>
      <c r="CDP21" s="64"/>
      <c r="CDQ21" s="64"/>
      <c r="CDR21" s="64"/>
      <c r="CDS21" s="64"/>
      <c r="CDT21" s="64"/>
      <c r="CDU21" s="64"/>
      <c r="CDV21" s="64"/>
      <c r="CDW21" s="64"/>
      <c r="CDX21" s="64"/>
      <c r="CDY21" s="64"/>
      <c r="CDZ21" s="64"/>
      <c r="CEA21" s="64"/>
      <c r="CEB21" s="64"/>
      <c r="CEC21" s="64"/>
      <c r="CED21" s="64"/>
      <c r="CEE21" s="64"/>
      <c r="CEF21" s="64"/>
      <c r="CEG21" s="64"/>
      <c r="CEH21" s="64"/>
      <c r="CEI21" s="64"/>
      <c r="CEJ21" s="64"/>
      <c r="CEK21" s="64"/>
      <c r="CEL21" s="64"/>
      <c r="CEM21" s="64"/>
      <c r="CEN21" s="64"/>
      <c r="CEO21" s="64"/>
      <c r="CEP21" s="64"/>
      <c r="CEQ21" s="64"/>
      <c r="CER21" s="64"/>
      <c r="CES21" s="64"/>
      <c r="CET21" s="64"/>
      <c r="CEU21" s="64"/>
      <c r="CEV21" s="64"/>
      <c r="CEW21" s="64"/>
      <c r="CEX21" s="64"/>
      <c r="CEY21" s="64"/>
      <c r="CEZ21" s="64"/>
      <c r="CFA21" s="64"/>
      <c r="CFB21" s="64"/>
      <c r="CFC21" s="64"/>
      <c r="CFD21" s="64"/>
      <c r="CFE21" s="64"/>
      <c r="CFF21" s="64"/>
      <c r="CFG21" s="64"/>
      <c r="CFH21" s="64"/>
      <c r="CFI21" s="64"/>
      <c r="CFJ21" s="64"/>
      <c r="CFK21" s="64"/>
      <c r="CFL21" s="64"/>
      <c r="CFM21" s="64"/>
      <c r="CFN21" s="64"/>
      <c r="CFO21" s="64"/>
      <c r="CFP21" s="64"/>
      <c r="CFQ21" s="64"/>
      <c r="CFR21" s="64"/>
      <c r="CFS21" s="64"/>
      <c r="CFT21" s="64"/>
      <c r="CFU21" s="64"/>
      <c r="CFV21" s="64"/>
      <c r="CFW21" s="64"/>
      <c r="CFX21" s="64"/>
      <c r="CFY21" s="64"/>
      <c r="CFZ21" s="64"/>
      <c r="CGA21" s="64"/>
      <c r="CGB21" s="64"/>
      <c r="CGC21" s="64"/>
      <c r="CGD21" s="64"/>
      <c r="CGE21" s="64"/>
      <c r="CGF21" s="64"/>
      <c r="CGG21" s="64"/>
      <c r="CGH21" s="64"/>
      <c r="CGI21" s="64"/>
      <c r="CGJ21" s="64"/>
      <c r="CGK21" s="64"/>
      <c r="CGL21" s="64"/>
      <c r="CGM21" s="64"/>
      <c r="CGN21" s="64"/>
      <c r="CGO21" s="64"/>
      <c r="CGP21" s="64"/>
      <c r="CGQ21" s="64"/>
      <c r="CGR21" s="64"/>
      <c r="CGS21" s="64"/>
      <c r="CGT21" s="64"/>
      <c r="CGU21" s="64"/>
      <c r="CGV21" s="64"/>
      <c r="CGW21" s="64"/>
      <c r="CGX21" s="64"/>
      <c r="CGY21" s="64"/>
      <c r="CGZ21" s="64"/>
      <c r="CHA21" s="64"/>
      <c r="CHB21" s="64"/>
      <c r="CHC21" s="64"/>
      <c r="CHD21" s="64"/>
      <c r="CHE21" s="64"/>
      <c r="CHF21" s="64"/>
      <c r="CHG21" s="64"/>
      <c r="CHH21" s="64"/>
      <c r="CHI21" s="64"/>
      <c r="CHJ21" s="64"/>
      <c r="CHK21" s="64"/>
      <c r="CHL21" s="64"/>
      <c r="CHM21" s="64"/>
      <c r="CHN21" s="64"/>
      <c r="CHO21" s="64"/>
      <c r="CHP21" s="64"/>
      <c r="CHQ21" s="64"/>
      <c r="CHR21" s="64"/>
      <c r="CHS21" s="64"/>
      <c r="CHT21" s="64"/>
      <c r="CHU21" s="64"/>
      <c r="CHV21" s="64"/>
      <c r="CHW21" s="64"/>
      <c r="CHX21" s="64"/>
      <c r="CHY21" s="64"/>
      <c r="CHZ21" s="64"/>
      <c r="CIA21" s="64"/>
      <c r="CIB21" s="64"/>
      <c r="CIC21" s="64"/>
      <c r="CID21" s="64"/>
      <c r="CIE21" s="64"/>
      <c r="CIF21" s="64"/>
      <c r="CIG21" s="64"/>
      <c r="CIH21" s="64"/>
      <c r="CII21" s="64"/>
      <c r="CIJ21" s="64"/>
      <c r="CIK21" s="64"/>
      <c r="CIL21" s="64"/>
      <c r="CIM21" s="64"/>
      <c r="CIN21" s="64"/>
      <c r="CIO21" s="64"/>
      <c r="CIP21" s="64"/>
      <c r="CIQ21" s="64"/>
      <c r="CIR21" s="64"/>
      <c r="CIS21" s="64"/>
      <c r="CIT21" s="64"/>
      <c r="CIU21" s="64"/>
      <c r="CIV21" s="64"/>
      <c r="CIW21" s="64"/>
      <c r="CIX21" s="64"/>
      <c r="CIY21" s="64"/>
      <c r="CIZ21" s="64"/>
      <c r="CJA21" s="64"/>
      <c r="CJB21" s="64"/>
      <c r="CJC21" s="64"/>
      <c r="CJD21" s="64"/>
      <c r="CJE21" s="64"/>
      <c r="CJF21" s="64"/>
      <c r="CJG21" s="64"/>
      <c r="CJH21" s="64"/>
      <c r="CJI21" s="64"/>
      <c r="CJJ21" s="64"/>
      <c r="CJK21" s="64"/>
      <c r="CJL21" s="64"/>
      <c r="CJM21" s="64"/>
      <c r="CJN21" s="64"/>
      <c r="CJO21" s="64"/>
      <c r="CJP21" s="64"/>
      <c r="CJQ21" s="64"/>
      <c r="CJR21" s="64"/>
      <c r="CJS21" s="64"/>
      <c r="CJT21" s="64"/>
      <c r="CJU21" s="64"/>
      <c r="CJV21" s="64"/>
      <c r="CJW21" s="64"/>
      <c r="CJX21" s="64"/>
      <c r="CJY21" s="64"/>
      <c r="CJZ21" s="64"/>
      <c r="CKA21" s="64"/>
      <c r="CKB21" s="64"/>
      <c r="CKC21" s="64"/>
      <c r="CKD21" s="64"/>
      <c r="CKE21" s="64"/>
      <c r="CKF21" s="64"/>
      <c r="CKG21" s="64"/>
      <c r="CKH21" s="64"/>
      <c r="CKI21" s="64"/>
      <c r="CKJ21" s="64"/>
      <c r="CKK21" s="64"/>
      <c r="CKL21" s="64"/>
      <c r="CKM21" s="64"/>
      <c r="CKN21" s="64"/>
      <c r="CKO21" s="64"/>
      <c r="CKP21" s="64"/>
      <c r="CKQ21" s="64"/>
      <c r="CKR21" s="64"/>
      <c r="CKS21" s="64"/>
      <c r="CKT21" s="64"/>
      <c r="CKU21" s="64"/>
      <c r="CKV21" s="64"/>
      <c r="CKW21" s="64"/>
      <c r="CKX21" s="64"/>
      <c r="CKY21" s="64"/>
      <c r="CKZ21" s="64"/>
      <c r="CLA21" s="64"/>
      <c r="CLB21" s="64"/>
      <c r="CLC21" s="64"/>
      <c r="CLD21" s="64"/>
      <c r="CLE21" s="64"/>
      <c r="CLF21" s="64"/>
      <c r="CLG21" s="64"/>
      <c r="CLH21" s="64"/>
      <c r="CLI21" s="64"/>
      <c r="CLJ21" s="64"/>
      <c r="CLK21" s="64"/>
      <c r="CLL21" s="64"/>
      <c r="CLM21" s="64"/>
      <c r="CLN21" s="64"/>
      <c r="CLO21" s="64"/>
      <c r="CLP21" s="64"/>
      <c r="CLQ21" s="64"/>
      <c r="CLR21" s="64"/>
      <c r="CLS21" s="64"/>
      <c r="CLT21" s="64"/>
      <c r="CLU21" s="64"/>
      <c r="CLV21" s="64"/>
      <c r="CLW21" s="64"/>
      <c r="CLX21" s="64"/>
      <c r="CLY21" s="64"/>
      <c r="CLZ21" s="64"/>
      <c r="CMA21" s="64"/>
      <c r="CMB21" s="64"/>
      <c r="CMC21" s="64"/>
      <c r="CMD21" s="64"/>
      <c r="CME21" s="64"/>
      <c r="CMF21" s="64"/>
      <c r="CMG21" s="64"/>
      <c r="CMH21" s="64"/>
      <c r="CMI21" s="64"/>
      <c r="CMJ21" s="64"/>
      <c r="CMK21" s="64"/>
      <c r="CML21" s="64"/>
      <c r="CMM21" s="64"/>
      <c r="CMN21" s="64"/>
      <c r="CMO21" s="64"/>
      <c r="CMP21" s="64"/>
      <c r="CMQ21" s="64"/>
      <c r="CMR21" s="64"/>
      <c r="CMS21" s="64"/>
      <c r="CMT21" s="64"/>
      <c r="CMU21" s="64"/>
      <c r="CMV21" s="64"/>
      <c r="CMW21" s="64"/>
      <c r="CMX21" s="64"/>
      <c r="CMY21" s="64"/>
      <c r="CMZ21" s="64"/>
      <c r="CNA21" s="64"/>
      <c r="CNB21" s="64"/>
      <c r="CNC21" s="64"/>
      <c r="CND21" s="64"/>
      <c r="CNE21" s="64"/>
      <c r="CNF21" s="64"/>
      <c r="CNG21" s="64"/>
      <c r="CNH21" s="64"/>
      <c r="CNI21" s="64"/>
      <c r="CNJ21" s="64"/>
      <c r="CNK21" s="64"/>
      <c r="CNL21" s="64"/>
      <c r="CNM21" s="64"/>
      <c r="CNN21" s="64"/>
      <c r="CNO21" s="64"/>
      <c r="CNP21" s="64"/>
      <c r="CNQ21" s="64"/>
      <c r="CNR21" s="64"/>
      <c r="CNS21" s="64"/>
      <c r="CNT21" s="64"/>
      <c r="CNU21" s="64"/>
      <c r="CNV21" s="64"/>
      <c r="CNW21" s="64"/>
      <c r="CNX21" s="64"/>
      <c r="CNY21" s="64"/>
      <c r="CNZ21" s="64"/>
      <c r="COA21" s="64"/>
      <c r="COB21" s="64"/>
      <c r="COC21" s="64"/>
      <c r="COD21" s="64"/>
      <c r="COE21" s="64"/>
      <c r="COF21" s="64"/>
      <c r="COG21" s="64"/>
      <c r="COH21" s="64"/>
      <c r="COI21" s="64"/>
      <c r="COJ21" s="64"/>
      <c r="COK21" s="64"/>
      <c r="COL21" s="64"/>
      <c r="COM21" s="64"/>
      <c r="CON21" s="64"/>
      <c r="COO21" s="64"/>
      <c r="COP21" s="64"/>
      <c r="COQ21" s="64"/>
      <c r="COR21" s="64"/>
      <c r="COS21" s="64"/>
      <c r="COT21" s="64"/>
      <c r="COU21" s="64"/>
      <c r="COV21" s="64"/>
      <c r="COW21" s="64"/>
      <c r="COX21" s="64"/>
      <c r="COY21" s="64"/>
      <c r="COZ21" s="64"/>
      <c r="CPA21" s="64"/>
      <c r="CPB21" s="64"/>
      <c r="CPC21" s="64"/>
      <c r="CPD21" s="64"/>
      <c r="CPE21" s="64"/>
      <c r="CPF21" s="64"/>
      <c r="CPG21" s="64"/>
      <c r="CPH21" s="64"/>
      <c r="CPI21" s="64"/>
      <c r="CPJ21" s="64"/>
      <c r="CPK21" s="64"/>
      <c r="CPL21" s="64"/>
      <c r="CPM21" s="64"/>
      <c r="CPN21" s="64"/>
      <c r="CPO21" s="64"/>
      <c r="CPP21" s="64"/>
      <c r="CPQ21" s="64"/>
      <c r="CPR21" s="64"/>
      <c r="CPS21" s="64"/>
      <c r="CPT21" s="64"/>
      <c r="CPU21" s="64"/>
      <c r="CPV21" s="64"/>
      <c r="CPW21" s="64"/>
      <c r="CPX21" s="64"/>
      <c r="CPY21" s="64"/>
      <c r="CPZ21" s="64"/>
      <c r="CQA21" s="64"/>
      <c r="CQB21" s="64"/>
      <c r="CQC21" s="64"/>
      <c r="CQD21" s="64"/>
      <c r="CQE21" s="64"/>
      <c r="CQF21" s="64"/>
      <c r="CQG21" s="64"/>
      <c r="CQH21" s="64"/>
      <c r="CQI21" s="64"/>
      <c r="CQJ21" s="64"/>
      <c r="CQK21" s="64"/>
      <c r="CQL21" s="64"/>
      <c r="CQM21" s="64"/>
      <c r="CQN21" s="64"/>
      <c r="CQO21" s="64"/>
      <c r="CQP21" s="64"/>
      <c r="CQQ21" s="64"/>
      <c r="CQR21" s="64"/>
      <c r="CQS21" s="64"/>
      <c r="CQT21" s="64"/>
      <c r="CQU21" s="64"/>
      <c r="CQV21" s="64"/>
      <c r="CQW21" s="64"/>
      <c r="CQX21" s="64"/>
      <c r="CQY21" s="64"/>
      <c r="CQZ21" s="64"/>
      <c r="CRA21" s="64"/>
      <c r="CRB21" s="64"/>
      <c r="CRC21" s="64"/>
      <c r="CRD21" s="64"/>
      <c r="CRE21" s="64"/>
      <c r="CRF21" s="64"/>
      <c r="CRG21" s="64"/>
      <c r="CRH21" s="64"/>
      <c r="CRI21" s="64"/>
      <c r="CRJ21" s="64"/>
      <c r="CRK21" s="64"/>
      <c r="CRL21" s="64"/>
      <c r="CRM21" s="64"/>
      <c r="CRN21" s="64"/>
      <c r="CRO21" s="64"/>
      <c r="CRP21" s="64"/>
      <c r="CRQ21" s="64"/>
      <c r="CRR21" s="64"/>
      <c r="CRS21" s="64"/>
      <c r="CRT21" s="64"/>
      <c r="CRU21" s="64"/>
      <c r="CRV21" s="64"/>
      <c r="CRW21" s="64"/>
      <c r="CRX21" s="64"/>
      <c r="CRY21" s="64"/>
      <c r="CRZ21" s="64"/>
      <c r="CSA21" s="64"/>
      <c r="CSB21" s="64"/>
      <c r="CSC21" s="64"/>
      <c r="CSD21" s="64"/>
      <c r="CSE21" s="64"/>
      <c r="CSF21" s="64"/>
      <c r="CSG21" s="64"/>
      <c r="CSH21" s="64"/>
      <c r="CSI21" s="64"/>
      <c r="CSJ21" s="64"/>
      <c r="CSK21" s="64"/>
      <c r="CSL21" s="64"/>
      <c r="CSM21" s="64"/>
      <c r="CSN21" s="64"/>
      <c r="CSO21" s="64"/>
      <c r="CSP21" s="64"/>
      <c r="CSQ21" s="64"/>
      <c r="CSR21" s="64"/>
      <c r="CSS21" s="64"/>
      <c r="CST21" s="64"/>
      <c r="CSU21" s="64"/>
      <c r="CSV21" s="64"/>
      <c r="CSW21" s="64"/>
      <c r="CSX21" s="64"/>
      <c r="CSY21" s="64"/>
      <c r="CSZ21" s="64"/>
      <c r="CTA21" s="64"/>
      <c r="CTB21" s="64"/>
      <c r="CTC21" s="64"/>
      <c r="CTD21" s="64"/>
      <c r="CTE21" s="64"/>
      <c r="CTF21" s="64"/>
      <c r="CTG21" s="64"/>
      <c r="CTH21" s="64"/>
      <c r="CTI21" s="64"/>
      <c r="CTJ21" s="64"/>
      <c r="CTK21" s="64"/>
      <c r="CTL21" s="64"/>
      <c r="CTM21" s="64"/>
      <c r="CTN21" s="64"/>
      <c r="CTO21" s="64"/>
      <c r="CTP21" s="64"/>
      <c r="CTQ21" s="64"/>
      <c r="CTR21" s="64"/>
      <c r="CTS21" s="64"/>
      <c r="CTT21" s="64"/>
      <c r="CTU21" s="64"/>
      <c r="CTV21" s="64"/>
      <c r="CTW21" s="64"/>
      <c r="CTX21" s="64"/>
      <c r="CTY21" s="64"/>
      <c r="CTZ21" s="64"/>
      <c r="CUA21" s="64"/>
      <c r="CUB21" s="64"/>
      <c r="CUC21" s="64"/>
      <c r="CUD21" s="64"/>
      <c r="CUE21" s="64"/>
      <c r="CUF21" s="64"/>
      <c r="CUG21" s="64"/>
      <c r="CUH21" s="64"/>
      <c r="CUI21" s="64"/>
      <c r="CUJ21" s="64"/>
      <c r="CUK21" s="64"/>
      <c r="CUL21" s="64"/>
      <c r="CUM21" s="64"/>
      <c r="CUN21" s="64"/>
      <c r="CUO21" s="64"/>
      <c r="CUP21" s="64"/>
      <c r="CUQ21" s="64"/>
      <c r="CUR21" s="64"/>
      <c r="CUS21" s="64"/>
      <c r="CUT21" s="64"/>
      <c r="CUU21" s="64"/>
      <c r="CUV21" s="64"/>
      <c r="CUW21" s="64"/>
      <c r="CUX21" s="64"/>
      <c r="CUY21" s="64"/>
      <c r="CUZ21" s="64"/>
      <c r="CVA21" s="64"/>
      <c r="CVB21" s="64"/>
      <c r="CVC21" s="64"/>
      <c r="CVD21" s="64"/>
      <c r="CVE21" s="64"/>
      <c r="CVF21" s="64"/>
      <c r="CVG21" s="64"/>
      <c r="CVH21" s="64"/>
      <c r="CVI21" s="64"/>
      <c r="CVJ21" s="64"/>
      <c r="CVK21" s="64"/>
      <c r="CVL21" s="64"/>
      <c r="CVM21" s="64"/>
      <c r="CVN21" s="64"/>
      <c r="CVO21" s="64"/>
      <c r="CVP21" s="64"/>
      <c r="CVQ21" s="64"/>
      <c r="CVR21" s="64"/>
      <c r="CVS21" s="64"/>
      <c r="CVT21" s="64"/>
      <c r="CVU21" s="64"/>
      <c r="CVV21" s="64"/>
      <c r="CVW21" s="64"/>
      <c r="CVX21" s="64"/>
      <c r="CVY21" s="64"/>
      <c r="CVZ21" s="64"/>
      <c r="CWA21" s="64"/>
      <c r="CWB21" s="64"/>
      <c r="CWC21" s="64"/>
      <c r="CWD21" s="64"/>
      <c r="CWE21" s="64"/>
      <c r="CWF21" s="64"/>
      <c r="CWG21" s="64"/>
      <c r="CWH21" s="64"/>
      <c r="CWI21" s="64"/>
      <c r="CWJ21" s="64"/>
      <c r="CWK21" s="64"/>
      <c r="CWL21" s="64"/>
      <c r="CWM21" s="64"/>
      <c r="CWN21" s="64"/>
      <c r="CWO21" s="64"/>
      <c r="CWP21" s="64"/>
      <c r="CWQ21" s="64"/>
      <c r="CWR21" s="64"/>
      <c r="CWS21" s="64"/>
      <c r="CWT21" s="64"/>
      <c r="CWU21" s="64"/>
      <c r="CWV21" s="64"/>
      <c r="CWW21" s="64"/>
      <c r="CWX21" s="64"/>
      <c r="CWY21" s="64"/>
      <c r="CWZ21" s="64"/>
      <c r="CXA21" s="64"/>
      <c r="CXB21" s="64"/>
      <c r="CXC21" s="64"/>
      <c r="CXD21" s="64"/>
      <c r="CXE21" s="64"/>
      <c r="CXF21" s="64"/>
      <c r="CXG21" s="64"/>
      <c r="CXH21" s="64"/>
      <c r="CXI21" s="64"/>
      <c r="CXJ21" s="64"/>
      <c r="CXK21" s="64"/>
      <c r="CXL21" s="64"/>
      <c r="CXM21" s="64"/>
      <c r="CXN21" s="64"/>
      <c r="CXO21" s="64"/>
      <c r="CXP21" s="64"/>
      <c r="CXQ21" s="64"/>
      <c r="CXR21" s="64"/>
      <c r="CXS21" s="64"/>
      <c r="CXT21" s="64"/>
      <c r="CXU21" s="64"/>
      <c r="CXV21" s="64"/>
      <c r="CXW21" s="64"/>
      <c r="CXX21" s="64"/>
      <c r="CXY21" s="64"/>
      <c r="CXZ21" s="64"/>
      <c r="CYA21" s="64"/>
      <c r="CYB21" s="64"/>
      <c r="CYC21" s="64"/>
      <c r="CYD21" s="64"/>
      <c r="CYE21" s="64"/>
      <c r="CYF21" s="64"/>
      <c r="CYG21" s="64"/>
      <c r="CYH21" s="64"/>
      <c r="CYI21" s="64"/>
      <c r="CYJ21" s="64"/>
      <c r="CYK21" s="64"/>
      <c r="CYL21" s="64"/>
      <c r="CYM21" s="64"/>
      <c r="CYN21" s="64"/>
      <c r="CYO21" s="64"/>
      <c r="CYP21" s="64"/>
      <c r="CYQ21" s="64"/>
      <c r="CYR21" s="64"/>
      <c r="CYS21" s="64"/>
      <c r="CYT21" s="64"/>
      <c r="CYU21" s="64"/>
      <c r="CYV21" s="64"/>
      <c r="CYW21" s="64"/>
      <c r="CYX21" s="64"/>
      <c r="CYY21" s="64"/>
      <c r="CYZ21" s="64"/>
      <c r="CZA21" s="64"/>
      <c r="CZB21" s="64"/>
      <c r="CZC21" s="64"/>
      <c r="CZD21" s="64"/>
      <c r="CZE21" s="64"/>
      <c r="CZF21" s="64"/>
      <c r="CZG21" s="64"/>
      <c r="CZH21" s="64"/>
      <c r="CZI21" s="64"/>
      <c r="CZJ21" s="64"/>
      <c r="CZK21" s="64"/>
      <c r="CZL21" s="64"/>
      <c r="CZM21" s="64"/>
      <c r="CZN21" s="64"/>
      <c r="CZO21" s="64"/>
      <c r="CZP21" s="64"/>
      <c r="CZQ21" s="64"/>
      <c r="CZR21" s="64"/>
      <c r="CZS21" s="64"/>
      <c r="CZT21" s="64"/>
      <c r="CZU21" s="64"/>
      <c r="CZV21" s="64"/>
      <c r="CZW21" s="64"/>
      <c r="CZX21" s="64"/>
      <c r="CZY21" s="64"/>
      <c r="CZZ21" s="64"/>
      <c r="DAA21" s="64"/>
      <c r="DAB21" s="64"/>
      <c r="DAC21" s="64"/>
      <c r="DAD21" s="64"/>
      <c r="DAE21" s="64"/>
      <c r="DAF21" s="64"/>
      <c r="DAG21" s="64"/>
      <c r="DAH21" s="64"/>
      <c r="DAI21" s="64"/>
      <c r="DAJ21" s="64"/>
      <c r="DAK21" s="64"/>
      <c r="DAL21" s="64"/>
      <c r="DAM21" s="64"/>
      <c r="DAN21" s="64"/>
      <c r="DAO21" s="64"/>
      <c r="DAP21" s="64"/>
      <c r="DAQ21" s="64"/>
      <c r="DAR21" s="64"/>
      <c r="DAS21" s="64"/>
      <c r="DAT21" s="64"/>
      <c r="DAU21" s="64"/>
      <c r="DAV21" s="64"/>
      <c r="DAW21" s="64"/>
      <c r="DAX21" s="64"/>
      <c r="DAY21" s="64"/>
      <c r="DAZ21" s="64"/>
      <c r="DBA21" s="64"/>
      <c r="DBB21" s="64"/>
      <c r="DBC21" s="64"/>
      <c r="DBD21" s="64"/>
      <c r="DBE21" s="64"/>
      <c r="DBF21" s="64"/>
      <c r="DBG21" s="64"/>
      <c r="DBH21" s="64"/>
      <c r="DBI21" s="64"/>
      <c r="DBJ21" s="64"/>
      <c r="DBK21" s="64"/>
      <c r="DBL21" s="64"/>
      <c r="DBM21" s="64"/>
      <c r="DBN21" s="64"/>
      <c r="DBO21" s="64"/>
      <c r="DBP21" s="64"/>
      <c r="DBQ21" s="64"/>
      <c r="DBR21" s="64"/>
      <c r="DBS21" s="64"/>
      <c r="DBT21" s="64"/>
      <c r="DBU21" s="64"/>
      <c r="DBV21" s="64"/>
      <c r="DBW21" s="64"/>
      <c r="DBX21" s="64"/>
      <c r="DBY21" s="64"/>
      <c r="DBZ21" s="64"/>
      <c r="DCA21" s="64"/>
      <c r="DCB21" s="64"/>
      <c r="DCC21" s="64"/>
      <c r="DCD21" s="64"/>
      <c r="DCE21" s="64"/>
      <c r="DCF21" s="64"/>
      <c r="DCG21" s="64"/>
      <c r="DCH21" s="64"/>
      <c r="DCI21" s="64"/>
      <c r="DCJ21" s="64"/>
      <c r="DCK21" s="64"/>
      <c r="DCL21" s="64"/>
      <c r="DCM21" s="64"/>
      <c r="DCN21" s="64"/>
      <c r="DCO21" s="64"/>
      <c r="DCP21" s="64"/>
      <c r="DCQ21" s="64"/>
      <c r="DCR21" s="64"/>
      <c r="DCS21" s="64"/>
      <c r="DCT21" s="64"/>
      <c r="DCU21" s="64"/>
      <c r="DCV21" s="64"/>
      <c r="DCW21" s="64"/>
      <c r="DCX21" s="64"/>
      <c r="DCY21" s="64"/>
      <c r="DCZ21" s="64"/>
      <c r="DDA21" s="64"/>
      <c r="DDB21" s="64"/>
      <c r="DDC21" s="64"/>
      <c r="DDD21" s="64"/>
      <c r="DDE21" s="64"/>
      <c r="DDF21" s="64"/>
      <c r="DDG21" s="64"/>
      <c r="DDH21" s="64"/>
      <c r="DDI21" s="64"/>
      <c r="DDJ21" s="64"/>
      <c r="DDK21" s="64"/>
      <c r="DDL21" s="64"/>
      <c r="DDM21" s="64"/>
      <c r="DDN21" s="64"/>
      <c r="DDO21" s="64"/>
      <c r="DDP21" s="64"/>
      <c r="DDQ21" s="64"/>
      <c r="DDR21" s="64"/>
      <c r="DDS21" s="64"/>
      <c r="DDT21" s="64"/>
      <c r="DDU21" s="64"/>
      <c r="DDV21" s="64"/>
      <c r="DDW21" s="64"/>
      <c r="DDX21" s="64"/>
      <c r="DDY21" s="64"/>
      <c r="DDZ21" s="64"/>
      <c r="DEA21" s="64"/>
      <c r="DEB21" s="64"/>
      <c r="DEC21" s="64"/>
      <c r="DED21" s="64"/>
      <c r="DEE21" s="64"/>
      <c r="DEF21" s="64"/>
      <c r="DEG21" s="64"/>
      <c r="DEH21" s="64"/>
      <c r="DEI21" s="64"/>
      <c r="DEJ21" s="64"/>
      <c r="DEK21" s="64"/>
      <c r="DEL21" s="64"/>
      <c r="DEM21" s="64"/>
      <c r="DEN21" s="64"/>
      <c r="DEO21" s="64"/>
      <c r="DEP21" s="64"/>
      <c r="DEQ21" s="64"/>
      <c r="DER21" s="64"/>
      <c r="DES21" s="64"/>
      <c r="DET21" s="64"/>
      <c r="DEU21" s="64"/>
      <c r="DEV21" s="64"/>
      <c r="DEW21" s="64"/>
      <c r="DEX21" s="64"/>
      <c r="DEY21" s="64"/>
      <c r="DEZ21" s="64"/>
      <c r="DFA21" s="64"/>
      <c r="DFB21" s="64"/>
      <c r="DFC21" s="64"/>
      <c r="DFD21" s="64"/>
      <c r="DFE21" s="64"/>
      <c r="DFF21" s="64"/>
      <c r="DFG21" s="64"/>
      <c r="DFH21" s="64"/>
      <c r="DFI21" s="64"/>
      <c r="DFJ21" s="64"/>
      <c r="DFK21" s="64"/>
      <c r="DFL21" s="64"/>
      <c r="DFM21" s="64"/>
      <c r="DFN21" s="64"/>
      <c r="DFO21" s="64"/>
      <c r="DFP21" s="64"/>
      <c r="DFQ21" s="64"/>
      <c r="DFR21" s="64"/>
      <c r="DFS21" s="64"/>
      <c r="DFT21" s="64"/>
      <c r="DFU21" s="64"/>
      <c r="DFV21" s="64"/>
      <c r="DFW21" s="64"/>
      <c r="DFX21" s="64"/>
      <c r="DFY21" s="64"/>
      <c r="DFZ21" s="64"/>
      <c r="DGA21" s="64"/>
      <c r="DGB21" s="64"/>
      <c r="DGC21" s="64"/>
      <c r="DGD21" s="64"/>
      <c r="DGE21" s="64"/>
      <c r="DGF21" s="64"/>
      <c r="DGG21" s="64"/>
      <c r="DGH21" s="64"/>
      <c r="DGI21" s="64"/>
      <c r="DGJ21" s="64"/>
      <c r="DGK21" s="64"/>
      <c r="DGL21" s="64"/>
      <c r="DGM21" s="64"/>
      <c r="DGN21" s="64"/>
      <c r="DGO21" s="64"/>
      <c r="DGP21" s="64"/>
      <c r="DGQ21" s="64"/>
      <c r="DGR21" s="64"/>
      <c r="DGS21" s="64"/>
      <c r="DGT21" s="64"/>
      <c r="DGU21" s="64"/>
      <c r="DGV21" s="64"/>
      <c r="DGW21" s="64"/>
      <c r="DGX21" s="64"/>
      <c r="DGY21" s="64"/>
      <c r="DGZ21" s="64"/>
      <c r="DHA21" s="64"/>
      <c r="DHB21" s="64"/>
      <c r="DHC21" s="64"/>
      <c r="DHD21" s="64"/>
      <c r="DHE21" s="64"/>
      <c r="DHF21" s="64"/>
      <c r="DHG21" s="64"/>
      <c r="DHH21" s="64"/>
      <c r="DHI21" s="64"/>
      <c r="DHJ21" s="64"/>
      <c r="DHK21" s="64"/>
      <c r="DHL21" s="64"/>
      <c r="DHM21" s="64"/>
      <c r="DHN21" s="64"/>
      <c r="DHO21" s="64"/>
      <c r="DHP21" s="64"/>
      <c r="DHQ21" s="64"/>
      <c r="DHR21" s="64"/>
      <c r="DHS21" s="64"/>
      <c r="DHT21" s="64"/>
      <c r="DHU21" s="64"/>
      <c r="DHV21" s="64"/>
      <c r="DHW21" s="64"/>
      <c r="DHX21" s="64"/>
      <c r="DHY21" s="64"/>
      <c r="DHZ21" s="64"/>
      <c r="DIA21" s="64"/>
      <c r="DIB21" s="64"/>
      <c r="DIC21" s="64"/>
      <c r="DID21" s="64"/>
      <c r="DIE21" s="64"/>
      <c r="DIF21" s="64"/>
      <c r="DIG21" s="64"/>
      <c r="DIH21" s="64"/>
      <c r="DII21" s="64"/>
      <c r="DIJ21" s="64"/>
      <c r="DIK21" s="64"/>
      <c r="DIL21" s="64"/>
      <c r="DIM21" s="64"/>
      <c r="DIN21" s="64"/>
      <c r="DIO21" s="64"/>
      <c r="DIP21" s="64"/>
      <c r="DIQ21" s="64"/>
      <c r="DIR21" s="64"/>
      <c r="DIS21" s="64"/>
      <c r="DIT21" s="64"/>
      <c r="DIU21" s="64"/>
      <c r="DIV21" s="64"/>
      <c r="DIW21" s="64"/>
      <c r="DIX21" s="64"/>
      <c r="DIY21" s="64"/>
      <c r="DIZ21" s="64"/>
      <c r="DJA21" s="64"/>
      <c r="DJB21" s="64"/>
      <c r="DJC21" s="64"/>
      <c r="DJD21" s="64"/>
      <c r="DJE21" s="64"/>
      <c r="DJF21" s="64"/>
      <c r="DJG21" s="64"/>
      <c r="DJH21" s="64"/>
      <c r="DJI21" s="64"/>
      <c r="DJJ21" s="64"/>
      <c r="DJK21" s="64"/>
      <c r="DJL21" s="64"/>
      <c r="DJM21" s="64"/>
      <c r="DJN21" s="64"/>
      <c r="DJO21" s="64"/>
      <c r="DJP21" s="64"/>
      <c r="DJQ21" s="64"/>
      <c r="DJR21" s="64"/>
      <c r="DJS21" s="64"/>
      <c r="DJT21" s="64"/>
      <c r="DJU21" s="64"/>
      <c r="DJV21" s="64"/>
      <c r="DJW21" s="64"/>
      <c r="DJX21" s="64"/>
      <c r="DJY21" s="64"/>
      <c r="DJZ21" s="64"/>
      <c r="DKA21" s="64"/>
      <c r="DKB21" s="64"/>
      <c r="DKC21" s="64"/>
      <c r="DKD21" s="64"/>
      <c r="DKE21" s="64"/>
      <c r="DKF21" s="64"/>
      <c r="DKG21" s="64"/>
      <c r="DKH21" s="64"/>
      <c r="DKI21" s="64"/>
      <c r="DKJ21" s="64"/>
      <c r="DKK21" s="64"/>
      <c r="DKL21" s="64"/>
      <c r="DKM21" s="64"/>
      <c r="DKN21" s="64"/>
      <c r="DKO21" s="64"/>
      <c r="DKP21" s="64"/>
      <c r="DKQ21" s="64"/>
      <c r="DKR21" s="64"/>
      <c r="DKS21" s="64"/>
      <c r="DKT21" s="64"/>
      <c r="DKU21" s="64"/>
      <c r="DKV21" s="64"/>
      <c r="DKW21" s="64"/>
      <c r="DKX21" s="64"/>
      <c r="DKY21" s="64"/>
      <c r="DKZ21" s="64"/>
      <c r="DLA21" s="64"/>
      <c r="DLB21" s="64"/>
      <c r="DLC21" s="64"/>
      <c r="DLD21" s="64"/>
      <c r="DLE21" s="64"/>
      <c r="DLF21" s="64"/>
      <c r="DLG21" s="64"/>
      <c r="DLH21" s="64"/>
      <c r="DLI21" s="64"/>
      <c r="DLJ21" s="64"/>
      <c r="DLK21" s="64"/>
      <c r="DLL21" s="64"/>
      <c r="DLM21" s="64"/>
      <c r="DLN21" s="64"/>
      <c r="DLO21" s="64"/>
      <c r="DLP21" s="64"/>
      <c r="DLQ21" s="64"/>
      <c r="DLR21" s="64"/>
      <c r="DLS21" s="64"/>
      <c r="DLT21" s="64"/>
      <c r="DLU21" s="64"/>
      <c r="DLV21" s="64"/>
      <c r="DLW21" s="64"/>
      <c r="DLX21" s="64"/>
      <c r="DLY21" s="64"/>
      <c r="DLZ21" s="64"/>
      <c r="DMA21" s="64"/>
      <c r="DMB21" s="64"/>
      <c r="DMC21" s="64"/>
      <c r="DMD21" s="64"/>
      <c r="DME21" s="64"/>
      <c r="DMF21" s="64"/>
      <c r="DMG21" s="64"/>
      <c r="DMH21" s="64"/>
      <c r="DMI21" s="64"/>
      <c r="DMJ21" s="64"/>
      <c r="DMK21" s="64"/>
      <c r="DML21" s="64"/>
      <c r="DMM21" s="64"/>
      <c r="DMN21" s="64"/>
      <c r="DMO21" s="64"/>
      <c r="DMP21" s="64"/>
      <c r="DMQ21" s="64"/>
      <c r="DMR21" s="64"/>
      <c r="DMS21" s="64"/>
      <c r="DMT21" s="64"/>
      <c r="DMU21" s="64"/>
      <c r="DMV21" s="64"/>
      <c r="DMW21" s="64"/>
      <c r="DMX21" s="64"/>
      <c r="DMY21" s="64"/>
      <c r="DMZ21" s="64"/>
      <c r="DNA21" s="64"/>
      <c r="DNB21" s="64"/>
      <c r="DNC21" s="64"/>
      <c r="DND21" s="64"/>
      <c r="DNE21" s="64"/>
      <c r="DNF21" s="64"/>
      <c r="DNG21" s="64"/>
      <c r="DNH21" s="64"/>
      <c r="DNI21" s="64"/>
      <c r="DNJ21" s="64"/>
      <c r="DNK21" s="64"/>
      <c r="DNL21" s="64"/>
      <c r="DNM21" s="64"/>
      <c r="DNN21" s="64"/>
      <c r="DNO21" s="64"/>
      <c r="DNP21" s="64"/>
      <c r="DNQ21" s="64"/>
      <c r="DNR21" s="64"/>
      <c r="DNS21" s="64"/>
      <c r="DNT21" s="64"/>
      <c r="DNU21" s="64"/>
      <c r="DNV21" s="64"/>
      <c r="DNW21" s="64"/>
      <c r="DNX21" s="64"/>
      <c r="DNY21" s="64"/>
      <c r="DNZ21" s="64"/>
      <c r="DOA21" s="64"/>
      <c r="DOB21" s="64"/>
      <c r="DOC21" s="64"/>
      <c r="DOD21" s="64"/>
      <c r="DOE21" s="64"/>
      <c r="DOF21" s="64"/>
      <c r="DOG21" s="64"/>
      <c r="DOH21" s="64"/>
      <c r="DOI21" s="64"/>
      <c r="DOJ21" s="64"/>
      <c r="DOK21" s="64"/>
      <c r="DOL21" s="64"/>
      <c r="DOM21" s="64"/>
      <c r="DON21" s="64"/>
      <c r="DOO21" s="64"/>
      <c r="DOP21" s="64"/>
      <c r="DOQ21" s="64"/>
      <c r="DOR21" s="64"/>
      <c r="DOS21" s="64"/>
      <c r="DOT21" s="64"/>
      <c r="DOU21" s="64"/>
      <c r="DOV21" s="64"/>
      <c r="DOW21" s="64"/>
      <c r="DOX21" s="64"/>
      <c r="DOY21" s="64"/>
      <c r="DOZ21" s="64"/>
      <c r="DPA21" s="64"/>
      <c r="DPB21" s="64"/>
      <c r="DPC21" s="64"/>
      <c r="DPD21" s="64"/>
      <c r="DPE21" s="64"/>
      <c r="DPF21" s="64"/>
      <c r="DPG21" s="64"/>
      <c r="DPH21" s="64"/>
      <c r="DPI21" s="64"/>
      <c r="DPJ21" s="64"/>
      <c r="DPK21" s="64"/>
      <c r="DPL21" s="64"/>
      <c r="DPM21" s="64"/>
      <c r="DPN21" s="64"/>
      <c r="DPO21" s="64"/>
      <c r="DPP21" s="64"/>
      <c r="DPQ21" s="64"/>
      <c r="DPR21" s="64"/>
      <c r="DPS21" s="64"/>
      <c r="DPT21" s="64"/>
      <c r="DPU21" s="64"/>
      <c r="DPV21" s="64"/>
      <c r="DPW21" s="64"/>
      <c r="DPX21" s="64"/>
      <c r="DPY21" s="64"/>
      <c r="DPZ21" s="64"/>
      <c r="DQA21" s="64"/>
      <c r="DQB21" s="64"/>
      <c r="DQC21" s="64"/>
      <c r="DQD21" s="64"/>
      <c r="DQE21" s="64"/>
      <c r="DQF21" s="64"/>
      <c r="DQG21" s="64"/>
      <c r="DQH21" s="64"/>
      <c r="DQI21" s="64"/>
      <c r="DQJ21" s="64"/>
      <c r="DQK21" s="64"/>
      <c r="DQL21" s="64"/>
      <c r="DQM21" s="64"/>
      <c r="DQN21" s="64"/>
      <c r="DQO21" s="64"/>
      <c r="DQP21" s="64"/>
      <c r="DQQ21" s="64"/>
      <c r="DQR21" s="64"/>
      <c r="DQS21" s="64"/>
      <c r="DQT21" s="64"/>
      <c r="DQU21" s="64"/>
      <c r="DQV21" s="64"/>
      <c r="DQW21" s="64"/>
      <c r="DQX21" s="64"/>
      <c r="DQY21" s="64"/>
      <c r="DQZ21" s="64"/>
      <c r="DRA21" s="64"/>
      <c r="DRB21" s="64"/>
      <c r="DRC21" s="64"/>
      <c r="DRD21" s="64"/>
      <c r="DRE21" s="64"/>
      <c r="DRF21" s="64"/>
      <c r="DRG21" s="64"/>
      <c r="DRH21" s="64"/>
      <c r="DRI21" s="64"/>
      <c r="DRJ21" s="64"/>
      <c r="DRK21" s="64"/>
      <c r="DRL21" s="64"/>
      <c r="DRM21" s="64"/>
      <c r="DRN21" s="64"/>
      <c r="DRO21" s="64"/>
      <c r="DRP21" s="64"/>
      <c r="DRQ21" s="64"/>
      <c r="DRR21" s="64"/>
      <c r="DRS21" s="64"/>
      <c r="DRT21" s="64"/>
      <c r="DRU21" s="64"/>
      <c r="DRV21" s="64"/>
      <c r="DRW21" s="64"/>
      <c r="DRX21" s="64"/>
      <c r="DRY21" s="64"/>
      <c r="DRZ21" s="64"/>
      <c r="DSA21" s="64"/>
      <c r="DSB21" s="64"/>
      <c r="DSC21" s="64"/>
      <c r="DSD21" s="64"/>
      <c r="DSE21" s="64"/>
      <c r="DSF21" s="64"/>
      <c r="DSG21" s="64"/>
      <c r="DSH21" s="64"/>
      <c r="DSI21" s="64"/>
      <c r="DSJ21" s="64"/>
      <c r="DSK21" s="64"/>
      <c r="DSL21" s="64"/>
      <c r="DSM21" s="64"/>
      <c r="DSN21" s="64"/>
      <c r="DSO21" s="64"/>
      <c r="DSP21" s="64"/>
      <c r="DSQ21" s="64"/>
      <c r="DSR21" s="64"/>
      <c r="DSS21" s="64"/>
      <c r="DST21" s="64"/>
      <c r="DSU21" s="64"/>
      <c r="DSV21" s="64"/>
      <c r="DSW21" s="64"/>
      <c r="DSX21" s="64"/>
      <c r="DSY21" s="64"/>
      <c r="DSZ21" s="64"/>
      <c r="DTA21" s="64"/>
      <c r="DTB21" s="64"/>
      <c r="DTC21" s="64"/>
      <c r="DTD21" s="64"/>
      <c r="DTE21" s="64"/>
      <c r="DTF21" s="64"/>
      <c r="DTG21" s="64"/>
      <c r="DTH21" s="64"/>
      <c r="DTI21" s="64"/>
      <c r="DTJ21" s="64"/>
      <c r="DTK21" s="64"/>
      <c r="DTL21" s="64"/>
      <c r="DTM21" s="64"/>
      <c r="DTN21" s="64"/>
      <c r="DTO21" s="64"/>
      <c r="DTP21" s="64"/>
      <c r="DTQ21" s="64"/>
      <c r="DTR21" s="64"/>
      <c r="DTS21" s="64"/>
      <c r="DTT21" s="64"/>
      <c r="DTU21" s="64"/>
      <c r="DTV21" s="64"/>
      <c r="DTW21" s="64"/>
      <c r="DTX21" s="64"/>
      <c r="DTY21" s="64"/>
      <c r="DTZ21" s="64"/>
      <c r="DUA21" s="64"/>
      <c r="DUB21" s="64"/>
      <c r="DUC21" s="64"/>
      <c r="DUD21" s="64"/>
      <c r="DUE21" s="64"/>
      <c r="DUF21" s="64"/>
      <c r="DUG21" s="64"/>
      <c r="DUH21" s="64"/>
      <c r="DUI21" s="64"/>
      <c r="DUJ21" s="64"/>
      <c r="DUK21" s="64"/>
      <c r="DUL21" s="64"/>
      <c r="DUM21" s="64"/>
      <c r="DUN21" s="64"/>
      <c r="DUO21" s="64"/>
      <c r="DUP21" s="64"/>
      <c r="DUQ21" s="64"/>
      <c r="DUR21" s="64"/>
      <c r="DUS21" s="64"/>
      <c r="DUT21" s="64"/>
      <c r="DUU21" s="64"/>
      <c r="DUV21" s="64"/>
      <c r="DUW21" s="64"/>
      <c r="DUX21" s="64"/>
      <c r="DUY21" s="64"/>
      <c r="DUZ21" s="64"/>
      <c r="DVA21" s="64"/>
      <c r="DVB21" s="64"/>
      <c r="DVC21" s="64"/>
      <c r="DVD21" s="64"/>
      <c r="DVE21" s="64"/>
      <c r="DVF21" s="64"/>
      <c r="DVG21" s="64"/>
      <c r="DVH21" s="64"/>
      <c r="DVI21" s="64"/>
      <c r="DVJ21" s="64"/>
      <c r="DVK21" s="64"/>
      <c r="DVL21" s="64"/>
      <c r="DVM21" s="64"/>
      <c r="DVN21" s="64"/>
      <c r="DVO21" s="64"/>
      <c r="DVP21" s="64"/>
      <c r="DVQ21" s="64"/>
      <c r="DVR21" s="64"/>
      <c r="DVS21" s="64"/>
      <c r="DVT21" s="64"/>
      <c r="DVU21" s="64"/>
      <c r="DVV21" s="64"/>
      <c r="DVW21" s="64"/>
      <c r="DVX21" s="64"/>
      <c r="DVY21" s="64"/>
      <c r="DVZ21" s="64"/>
      <c r="DWA21" s="64"/>
      <c r="DWB21" s="64"/>
      <c r="DWC21" s="64"/>
      <c r="DWD21" s="64"/>
      <c r="DWE21" s="64"/>
      <c r="DWF21" s="64"/>
      <c r="DWG21" s="64"/>
      <c r="DWH21" s="64"/>
      <c r="DWI21" s="64"/>
      <c r="DWJ21" s="64"/>
      <c r="DWK21" s="64"/>
      <c r="DWL21" s="64"/>
      <c r="DWM21" s="64"/>
      <c r="DWN21" s="64"/>
      <c r="DWO21" s="64"/>
      <c r="DWP21" s="64"/>
      <c r="DWQ21" s="64"/>
      <c r="DWR21" s="64"/>
      <c r="DWS21" s="64"/>
      <c r="DWT21" s="64"/>
      <c r="DWU21" s="64"/>
      <c r="DWV21" s="64"/>
      <c r="DWW21" s="64"/>
      <c r="DWX21" s="64"/>
      <c r="DWY21" s="64"/>
      <c r="DWZ21" s="64"/>
      <c r="DXA21" s="64"/>
      <c r="DXB21" s="64"/>
      <c r="DXC21" s="64"/>
      <c r="DXD21" s="64"/>
      <c r="DXE21" s="64"/>
      <c r="DXF21" s="64"/>
      <c r="DXG21" s="64"/>
      <c r="DXH21" s="64"/>
      <c r="DXI21" s="64"/>
      <c r="DXJ21" s="64"/>
      <c r="DXK21" s="64"/>
      <c r="DXL21" s="64"/>
      <c r="DXM21" s="64"/>
      <c r="DXN21" s="64"/>
      <c r="DXO21" s="64"/>
      <c r="DXP21" s="64"/>
      <c r="DXQ21" s="64"/>
      <c r="DXR21" s="64"/>
      <c r="DXS21" s="64"/>
      <c r="DXT21" s="64"/>
      <c r="DXU21" s="64"/>
      <c r="DXV21" s="64"/>
      <c r="DXW21" s="64"/>
      <c r="DXX21" s="64"/>
      <c r="DXY21" s="64"/>
      <c r="DXZ21" s="64"/>
      <c r="DYA21" s="64"/>
      <c r="DYB21" s="64"/>
      <c r="DYC21" s="64"/>
      <c r="DYD21" s="64"/>
      <c r="DYE21" s="64"/>
      <c r="DYF21" s="64"/>
      <c r="DYG21" s="64"/>
      <c r="DYH21" s="64"/>
      <c r="DYI21" s="64"/>
      <c r="DYJ21" s="64"/>
      <c r="DYK21" s="64"/>
      <c r="DYL21" s="64"/>
      <c r="DYM21" s="64"/>
      <c r="DYN21" s="64"/>
      <c r="DYO21" s="64"/>
      <c r="DYP21" s="64"/>
      <c r="DYQ21" s="64"/>
      <c r="DYR21" s="64"/>
      <c r="DYS21" s="64"/>
      <c r="DYT21" s="64"/>
      <c r="DYU21" s="64"/>
      <c r="DYV21" s="64"/>
      <c r="DYW21" s="64"/>
      <c r="DYX21" s="64"/>
      <c r="DYY21" s="64"/>
      <c r="DYZ21" s="64"/>
      <c r="DZA21" s="64"/>
      <c r="DZB21" s="64"/>
      <c r="DZC21" s="64"/>
      <c r="DZD21" s="64"/>
      <c r="DZE21" s="64"/>
      <c r="DZF21" s="64"/>
      <c r="DZG21" s="64"/>
      <c r="DZH21" s="64"/>
      <c r="DZI21" s="64"/>
      <c r="DZJ21" s="64"/>
      <c r="DZK21" s="64"/>
      <c r="DZL21" s="64"/>
      <c r="DZM21" s="64"/>
      <c r="DZN21" s="64"/>
      <c r="DZO21" s="64"/>
      <c r="DZP21" s="64"/>
      <c r="DZQ21" s="64"/>
      <c r="DZR21" s="64"/>
      <c r="DZS21" s="64"/>
      <c r="DZT21" s="64"/>
      <c r="DZU21" s="64"/>
      <c r="DZV21" s="64"/>
      <c r="DZW21" s="64"/>
      <c r="DZX21" s="64"/>
      <c r="DZY21" s="64"/>
      <c r="DZZ21" s="64"/>
      <c r="EAA21" s="64"/>
      <c r="EAB21" s="64"/>
      <c r="EAC21" s="64"/>
      <c r="EAD21" s="64"/>
      <c r="EAE21" s="64"/>
      <c r="EAF21" s="64"/>
      <c r="EAG21" s="64"/>
      <c r="EAH21" s="64"/>
      <c r="EAI21" s="64"/>
      <c r="EAJ21" s="64"/>
      <c r="EAK21" s="64"/>
      <c r="EAL21" s="64"/>
      <c r="EAM21" s="64"/>
      <c r="EAN21" s="64"/>
      <c r="EAO21" s="64"/>
      <c r="EAP21" s="64"/>
      <c r="EAQ21" s="64"/>
      <c r="EAR21" s="64"/>
      <c r="EAS21" s="64"/>
      <c r="EAT21" s="64"/>
      <c r="EAU21" s="64"/>
      <c r="EAV21" s="64"/>
      <c r="EAW21" s="64"/>
      <c r="EAX21" s="64"/>
      <c r="EAY21" s="64"/>
      <c r="EAZ21" s="64"/>
      <c r="EBA21" s="64"/>
      <c r="EBB21" s="64"/>
      <c r="EBC21" s="64"/>
      <c r="EBD21" s="64"/>
      <c r="EBE21" s="64"/>
      <c r="EBF21" s="64"/>
      <c r="EBG21" s="64"/>
      <c r="EBH21" s="64"/>
      <c r="EBI21" s="64"/>
      <c r="EBJ21" s="64"/>
      <c r="EBK21" s="64"/>
      <c r="EBL21" s="64"/>
      <c r="EBM21" s="64"/>
      <c r="EBN21" s="64"/>
      <c r="EBO21" s="64"/>
      <c r="EBP21" s="64"/>
      <c r="EBQ21" s="64"/>
      <c r="EBR21" s="64"/>
      <c r="EBS21" s="64"/>
      <c r="EBT21" s="64"/>
      <c r="EBU21" s="64"/>
      <c r="EBV21" s="64"/>
      <c r="EBW21" s="64"/>
      <c r="EBX21" s="64"/>
      <c r="EBY21" s="64"/>
      <c r="EBZ21" s="64"/>
      <c r="ECA21" s="64"/>
      <c r="ECB21" s="64"/>
      <c r="ECC21" s="64"/>
      <c r="ECD21" s="64"/>
      <c r="ECE21" s="64"/>
      <c r="ECF21" s="64"/>
      <c r="ECG21" s="64"/>
      <c r="ECH21" s="64"/>
      <c r="ECI21" s="64"/>
      <c r="ECJ21" s="64"/>
      <c r="ECK21" s="64"/>
      <c r="ECL21" s="64"/>
      <c r="ECM21" s="64"/>
      <c r="ECN21" s="64"/>
      <c r="ECO21" s="64"/>
      <c r="ECP21" s="64"/>
      <c r="ECQ21" s="64"/>
      <c r="ECR21" s="64"/>
      <c r="ECS21" s="64"/>
      <c r="ECT21" s="64"/>
      <c r="ECU21" s="64"/>
      <c r="ECV21" s="64"/>
      <c r="ECW21" s="64"/>
      <c r="ECX21" s="64"/>
      <c r="ECY21" s="64"/>
      <c r="ECZ21" s="64"/>
      <c r="EDA21" s="64"/>
      <c r="EDB21" s="64"/>
      <c r="EDC21" s="64"/>
      <c r="EDD21" s="64"/>
      <c r="EDE21" s="64"/>
      <c r="EDF21" s="64"/>
      <c r="EDG21" s="64"/>
      <c r="EDH21" s="64"/>
      <c r="EDI21" s="64"/>
      <c r="EDJ21" s="64"/>
      <c r="EDK21" s="64"/>
      <c r="EDL21" s="64"/>
      <c r="EDM21" s="64"/>
      <c r="EDN21" s="64"/>
      <c r="EDO21" s="64"/>
      <c r="EDP21" s="64"/>
      <c r="EDQ21" s="64"/>
      <c r="EDR21" s="64"/>
      <c r="EDS21" s="64"/>
      <c r="EDT21" s="64"/>
      <c r="EDU21" s="64"/>
      <c r="EDV21" s="64"/>
      <c r="EDW21" s="64"/>
      <c r="EDX21" s="64"/>
      <c r="EDY21" s="64"/>
      <c r="EDZ21" s="64"/>
      <c r="EEA21" s="64"/>
      <c r="EEB21" s="64"/>
      <c r="EEC21" s="64"/>
      <c r="EED21" s="64"/>
      <c r="EEE21" s="64"/>
      <c r="EEF21" s="64"/>
      <c r="EEG21" s="64"/>
      <c r="EEH21" s="64"/>
      <c r="EEI21" s="64"/>
      <c r="EEJ21" s="64"/>
      <c r="EEK21" s="64"/>
      <c r="EEL21" s="64"/>
      <c r="EEM21" s="64"/>
      <c r="EEN21" s="64"/>
      <c r="EEO21" s="64"/>
      <c r="EEP21" s="64"/>
      <c r="EEQ21" s="64"/>
      <c r="EER21" s="64"/>
      <c r="EES21" s="64"/>
      <c r="EET21" s="64"/>
      <c r="EEU21" s="64"/>
      <c r="EEV21" s="64"/>
      <c r="EEW21" s="64"/>
      <c r="EEX21" s="64"/>
      <c r="EEY21" s="64"/>
      <c r="EEZ21" s="64"/>
      <c r="EFA21" s="64"/>
      <c r="EFB21" s="64"/>
      <c r="EFC21" s="64"/>
      <c r="EFD21" s="64"/>
      <c r="EFE21" s="64"/>
      <c r="EFF21" s="64"/>
      <c r="EFG21" s="64"/>
      <c r="EFH21" s="64"/>
      <c r="EFI21" s="64"/>
      <c r="EFJ21" s="64"/>
      <c r="EFK21" s="64"/>
      <c r="EFL21" s="64"/>
      <c r="EFM21" s="64"/>
      <c r="EFN21" s="64"/>
      <c r="EFO21" s="64"/>
      <c r="EFP21" s="64"/>
      <c r="EFQ21" s="64"/>
      <c r="EFR21" s="64"/>
      <c r="EFS21" s="64"/>
      <c r="EFT21" s="64"/>
      <c r="EFU21" s="64"/>
      <c r="EFV21" s="64"/>
      <c r="EFW21" s="64"/>
      <c r="EFX21" s="64"/>
      <c r="EFY21" s="64"/>
      <c r="EFZ21" s="64"/>
      <c r="EGA21" s="64"/>
      <c r="EGB21" s="64"/>
      <c r="EGC21" s="64"/>
      <c r="EGD21" s="64"/>
      <c r="EGE21" s="64"/>
      <c r="EGF21" s="64"/>
      <c r="EGG21" s="64"/>
      <c r="EGH21" s="64"/>
      <c r="EGI21" s="64"/>
      <c r="EGJ21" s="64"/>
      <c r="EGK21" s="64"/>
      <c r="EGL21" s="64"/>
      <c r="EGM21" s="64"/>
      <c r="EGN21" s="64"/>
      <c r="EGO21" s="64"/>
      <c r="EGP21" s="64"/>
      <c r="EGQ21" s="64"/>
      <c r="EGR21" s="64"/>
      <c r="EGS21" s="64"/>
      <c r="EGT21" s="64"/>
      <c r="EGU21" s="64"/>
      <c r="EGV21" s="64"/>
      <c r="EGW21" s="64"/>
      <c r="EGX21" s="64"/>
      <c r="EGY21" s="64"/>
      <c r="EGZ21" s="64"/>
      <c r="EHA21" s="64"/>
      <c r="EHB21" s="64"/>
      <c r="EHC21" s="64"/>
      <c r="EHD21" s="64"/>
      <c r="EHE21" s="64"/>
      <c r="EHF21" s="64"/>
      <c r="EHG21" s="64"/>
      <c r="EHH21" s="64"/>
      <c r="EHI21" s="64"/>
      <c r="EHJ21" s="64"/>
      <c r="EHK21" s="64"/>
      <c r="EHL21" s="64"/>
      <c r="EHM21" s="64"/>
      <c r="EHN21" s="64"/>
      <c r="EHO21" s="64"/>
      <c r="EHP21" s="64"/>
      <c r="EHQ21" s="64"/>
      <c r="EHR21" s="64"/>
      <c r="EHS21" s="64"/>
      <c r="EHT21" s="64"/>
      <c r="EHU21" s="64"/>
      <c r="EHV21" s="64"/>
      <c r="EHW21" s="64"/>
      <c r="EHX21" s="64"/>
      <c r="EHY21" s="64"/>
      <c r="EHZ21" s="64"/>
      <c r="EIA21" s="64"/>
      <c r="EIB21" s="64"/>
      <c r="EIC21" s="64"/>
      <c r="EID21" s="64"/>
      <c r="EIE21" s="64"/>
      <c r="EIF21" s="64"/>
      <c r="EIG21" s="64"/>
      <c r="EIH21" s="64"/>
      <c r="EII21" s="64"/>
      <c r="EIJ21" s="64"/>
      <c r="EIK21" s="64"/>
      <c r="EIL21" s="64"/>
      <c r="EIM21" s="64"/>
      <c r="EIN21" s="64"/>
      <c r="EIO21" s="64"/>
      <c r="EIP21" s="64"/>
      <c r="EIQ21" s="64"/>
      <c r="EIR21" s="64"/>
      <c r="EIS21" s="64"/>
      <c r="EIT21" s="64"/>
      <c r="EIU21" s="64"/>
      <c r="EIV21" s="64"/>
      <c r="EIW21" s="64"/>
      <c r="EIX21" s="64"/>
      <c r="EIY21" s="64"/>
      <c r="EIZ21" s="64"/>
      <c r="EJA21" s="64"/>
      <c r="EJB21" s="64"/>
      <c r="EJC21" s="64"/>
      <c r="EJD21" s="64"/>
      <c r="EJE21" s="64"/>
      <c r="EJF21" s="64"/>
      <c r="EJG21" s="64"/>
      <c r="EJH21" s="64"/>
      <c r="EJI21" s="64"/>
      <c r="EJJ21" s="64"/>
      <c r="EJK21" s="64"/>
      <c r="EJL21" s="64"/>
      <c r="EJM21" s="64"/>
      <c r="EJN21" s="64"/>
      <c r="EJO21" s="64"/>
      <c r="EJP21" s="64"/>
      <c r="EJQ21" s="64"/>
      <c r="EJR21" s="64"/>
      <c r="EJS21" s="64"/>
      <c r="EJT21" s="64"/>
      <c r="EJU21" s="64"/>
      <c r="EJV21" s="64"/>
      <c r="EJW21" s="64"/>
      <c r="EJX21" s="64"/>
      <c r="EJY21" s="64"/>
      <c r="EJZ21" s="64"/>
      <c r="EKA21" s="64"/>
      <c r="EKB21" s="64"/>
      <c r="EKC21" s="64"/>
      <c r="EKD21" s="64"/>
      <c r="EKE21" s="64"/>
      <c r="EKF21" s="64"/>
      <c r="EKG21" s="64"/>
      <c r="EKH21" s="64"/>
      <c r="EKI21" s="64"/>
      <c r="EKJ21" s="64"/>
      <c r="EKK21" s="64"/>
      <c r="EKL21" s="64"/>
      <c r="EKM21" s="64"/>
      <c r="EKN21" s="64"/>
      <c r="EKO21" s="64"/>
      <c r="EKP21" s="64"/>
      <c r="EKQ21" s="64"/>
      <c r="EKR21" s="64"/>
      <c r="EKS21" s="64"/>
      <c r="EKT21" s="64"/>
      <c r="EKU21" s="64"/>
      <c r="EKV21" s="64"/>
      <c r="EKW21" s="64"/>
      <c r="EKX21" s="64"/>
      <c r="EKY21" s="64"/>
      <c r="EKZ21" s="64"/>
      <c r="ELA21" s="64"/>
      <c r="ELB21" s="64"/>
      <c r="ELC21" s="64"/>
      <c r="ELD21" s="64"/>
      <c r="ELE21" s="64"/>
      <c r="ELF21" s="64"/>
      <c r="ELG21" s="64"/>
      <c r="ELH21" s="64"/>
      <c r="ELI21" s="64"/>
      <c r="ELJ21" s="64"/>
      <c r="ELK21" s="64"/>
      <c r="ELL21" s="64"/>
      <c r="ELM21" s="64"/>
      <c r="ELN21" s="64"/>
      <c r="ELO21" s="64"/>
      <c r="ELP21" s="64"/>
      <c r="ELQ21" s="64"/>
      <c r="ELR21" s="64"/>
      <c r="ELS21" s="64"/>
      <c r="ELT21" s="64"/>
      <c r="ELU21" s="64"/>
      <c r="ELV21" s="64"/>
      <c r="ELW21" s="64"/>
      <c r="ELX21" s="64"/>
      <c r="ELY21" s="64"/>
      <c r="ELZ21" s="64"/>
      <c r="EMA21" s="64"/>
      <c r="EMB21" s="64"/>
      <c r="EMC21" s="64"/>
      <c r="EMD21" s="64"/>
      <c r="EME21" s="64"/>
      <c r="EMF21" s="64"/>
      <c r="EMG21" s="64"/>
      <c r="EMH21" s="64"/>
      <c r="EMI21" s="64"/>
      <c r="EMJ21" s="64"/>
      <c r="EMK21" s="64"/>
      <c r="EML21" s="64"/>
      <c r="EMM21" s="64"/>
      <c r="EMN21" s="64"/>
      <c r="EMO21" s="64"/>
      <c r="EMP21" s="64"/>
      <c r="EMQ21" s="64"/>
      <c r="EMR21" s="64"/>
      <c r="EMS21" s="64"/>
      <c r="EMT21" s="64"/>
      <c r="EMU21" s="64"/>
      <c r="EMV21" s="64"/>
      <c r="EMW21" s="64"/>
      <c r="EMX21" s="64"/>
      <c r="EMY21" s="64"/>
      <c r="EMZ21" s="64"/>
      <c r="ENA21" s="64"/>
      <c r="ENB21" s="64"/>
      <c r="ENC21" s="64"/>
      <c r="END21" s="64"/>
      <c r="ENE21" s="64"/>
      <c r="ENF21" s="64"/>
      <c r="ENG21" s="64"/>
      <c r="ENH21" s="64"/>
      <c r="ENI21" s="64"/>
      <c r="ENJ21" s="64"/>
      <c r="ENK21" s="64"/>
      <c r="ENL21" s="64"/>
      <c r="ENM21" s="64"/>
      <c r="ENN21" s="64"/>
      <c r="ENO21" s="64"/>
      <c r="ENP21" s="64"/>
      <c r="ENQ21" s="64"/>
      <c r="ENR21" s="64"/>
      <c r="ENS21" s="64"/>
      <c r="ENT21" s="64"/>
      <c r="ENU21" s="64"/>
      <c r="ENV21" s="64"/>
      <c r="ENW21" s="64"/>
      <c r="ENX21" s="64"/>
      <c r="ENY21" s="64"/>
      <c r="ENZ21" s="64"/>
      <c r="EOA21" s="64"/>
      <c r="EOB21" s="64"/>
      <c r="EOC21" s="64"/>
      <c r="EOD21" s="64"/>
      <c r="EOE21" s="64"/>
      <c r="EOF21" s="64"/>
      <c r="EOG21" s="64"/>
      <c r="EOH21" s="64"/>
      <c r="EOI21" s="64"/>
      <c r="EOJ21" s="64"/>
      <c r="EOK21" s="64"/>
      <c r="EOL21" s="64"/>
      <c r="EOM21" s="64"/>
      <c r="EON21" s="64"/>
      <c r="EOO21" s="64"/>
      <c r="EOP21" s="64"/>
      <c r="EOQ21" s="64"/>
      <c r="EOR21" s="64"/>
      <c r="EOS21" s="64"/>
      <c r="EOT21" s="64"/>
      <c r="EOU21" s="64"/>
      <c r="EOV21" s="64"/>
      <c r="EOW21" s="64"/>
      <c r="EOX21" s="64"/>
      <c r="EOY21" s="64"/>
      <c r="EOZ21" s="64"/>
      <c r="EPA21" s="64"/>
      <c r="EPB21" s="64"/>
      <c r="EPC21" s="64"/>
      <c r="EPD21" s="64"/>
      <c r="EPE21" s="64"/>
      <c r="EPF21" s="64"/>
      <c r="EPG21" s="64"/>
      <c r="EPH21" s="64"/>
      <c r="EPI21" s="64"/>
      <c r="EPJ21" s="64"/>
      <c r="EPK21" s="64"/>
      <c r="EPL21" s="64"/>
      <c r="EPM21" s="64"/>
      <c r="EPN21" s="64"/>
      <c r="EPO21" s="64"/>
      <c r="EPP21" s="64"/>
      <c r="EPQ21" s="64"/>
      <c r="EPR21" s="64"/>
      <c r="EPS21" s="64"/>
      <c r="EPT21" s="64"/>
      <c r="EPU21" s="64"/>
      <c r="EPV21" s="64"/>
      <c r="EPW21" s="64"/>
      <c r="EPX21" s="64"/>
      <c r="EPY21" s="64"/>
      <c r="EPZ21" s="64"/>
      <c r="EQA21" s="64"/>
      <c r="EQB21" s="64"/>
      <c r="EQC21" s="64"/>
      <c r="EQD21" s="64"/>
      <c r="EQE21" s="64"/>
      <c r="EQF21" s="64"/>
      <c r="EQG21" s="64"/>
      <c r="EQH21" s="64"/>
      <c r="EQI21" s="64"/>
      <c r="EQJ21" s="64"/>
      <c r="EQK21" s="64"/>
      <c r="EQL21" s="64"/>
      <c r="EQM21" s="64"/>
      <c r="EQN21" s="64"/>
      <c r="EQO21" s="64"/>
      <c r="EQP21" s="64"/>
      <c r="EQQ21" s="64"/>
      <c r="EQR21" s="64"/>
      <c r="EQS21" s="64"/>
      <c r="EQT21" s="64"/>
      <c r="EQU21" s="64"/>
      <c r="EQV21" s="64"/>
      <c r="EQW21" s="64"/>
      <c r="EQX21" s="64"/>
      <c r="EQY21" s="64"/>
      <c r="EQZ21" s="64"/>
      <c r="ERA21" s="64"/>
      <c r="ERB21" s="64"/>
      <c r="ERC21" s="64"/>
      <c r="ERD21" s="64"/>
      <c r="ERE21" s="64"/>
      <c r="ERF21" s="64"/>
      <c r="ERG21" s="64"/>
      <c r="ERH21" s="64"/>
      <c r="ERI21" s="64"/>
      <c r="ERJ21" s="64"/>
      <c r="ERK21" s="64"/>
      <c r="ERL21" s="64"/>
      <c r="ERM21" s="64"/>
      <c r="ERN21" s="64"/>
      <c r="ERO21" s="64"/>
      <c r="ERP21" s="64"/>
      <c r="ERQ21" s="64"/>
      <c r="ERR21" s="64"/>
      <c r="ERS21" s="64"/>
      <c r="ERT21" s="64"/>
      <c r="ERU21" s="64"/>
      <c r="ERV21" s="64"/>
      <c r="ERW21" s="64"/>
      <c r="ERX21" s="64"/>
      <c r="ERY21" s="64"/>
      <c r="ERZ21" s="64"/>
      <c r="ESA21" s="64"/>
      <c r="ESB21" s="64"/>
      <c r="ESC21" s="64"/>
      <c r="ESD21" s="64"/>
      <c r="ESE21" s="64"/>
      <c r="ESF21" s="64"/>
      <c r="ESG21" s="64"/>
      <c r="ESH21" s="64"/>
      <c r="ESI21" s="64"/>
      <c r="ESJ21" s="64"/>
      <c r="ESK21" s="64"/>
      <c r="ESL21" s="64"/>
      <c r="ESM21" s="64"/>
      <c r="ESN21" s="64"/>
      <c r="ESO21" s="64"/>
      <c r="ESP21" s="64"/>
      <c r="ESQ21" s="64"/>
      <c r="ESR21" s="64"/>
      <c r="ESS21" s="64"/>
      <c r="EST21" s="64"/>
      <c r="ESU21" s="64"/>
      <c r="ESV21" s="64"/>
      <c r="ESW21" s="64"/>
      <c r="ESX21" s="64"/>
      <c r="ESY21" s="64"/>
      <c r="ESZ21" s="64"/>
      <c r="ETA21" s="64"/>
      <c r="ETB21" s="64"/>
      <c r="ETC21" s="64"/>
      <c r="ETD21" s="64"/>
      <c r="ETE21" s="64"/>
      <c r="ETF21" s="64"/>
      <c r="ETG21" s="64"/>
      <c r="ETH21" s="64"/>
      <c r="ETI21" s="64"/>
      <c r="ETJ21" s="64"/>
      <c r="ETK21" s="64"/>
      <c r="ETL21" s="64"/>
      <c r="ETM21" s="64"/>
      <c r="ETN21" s="64"/>
      <c r="ETO21" s="64"/>
      <c r="ETP21" s="64"/>
      <c r="ETQ21" s="64"/>
      <c r="ETR21" s="64"/>
      <c r="ETS21" s="64"/>
      <c r="ETT21" s="64"/>
      <c r="ETU21" s="64"/>
      <c r="ETV21" s="64"/>
      <c r="ETW21" s="64"/>
      <c r="ETX21" s="64"/>
      <c r="ETY21" s="64"/>
      <c r="ETZ21" s="64"/>
      <c r="EUA21" s="64"/>
      <c r="EUB21" s="64"/>
      <c r="EUC21" s="64"/>
      <c r="EUD21" s="64"/>
      <c r="EUE21" s="64"/>
      <c r="EUF21" s="64"/>
      <c r="EUG21" s="64"/>
      <c r="EUH21" s="64"/>
      <c r="EUI21" s="64"/>
      <c r="EUJ21" s="64"/>
      <c r="EUK21" s="64"/>
      <c r="EUL21" s="64"/>
      <c r="EUM21" s="64"/>
      <c r="EUN21" s="64"/>
      <c r="EUO21" s="64"/>
      <c r="EUP21" s="64"/>
      <c r="EUQ21" s="64"/>
      <c r="EUR21" s="64"/>
      <c r="EUS21" s="64"/>
      <c r="EUT21" s="64"/>
      <c r="EUU21" s="64"/>
      <c r="EUV21" s="64"/>
      <c r="EUW21" s="64"/>
      <c r="EUX21" s="64"/>
      <c r="EUY21" s="64"/>
      <c r="EUZ21" s="64"/>
      <c r="EVA21" s="64"/>
      <c r="EVB21" s="64"/>
      <c r="EVC21" s="64"/>
      <c r="EVD21" s="64"/>
      <c r="EVE21" s="64"/>
      <c r="EVF21" s="64"/>
      <c r="EVG21" s="64"/>
      <c r="EVH21" s="64"/>
      <c r="EVI21" s="64"/>
      <c r="EVJ21" s="64"/>
      <c r="EVK21" s="64"/>
      <c r="EVL21" s="64"/>
      <c r="EVM21" s="64"/>
      <c r="EVN21" s="64"/>
      <c r="EVO21" s="64"/>
      <c r="EVP21" s="64"/>
      <c r="EVQ21" s="64"/>
      <c r="EVR21" s="64"/>
      <c r="EVS21" s="64"/>
      <c r="EVT21" s="64"/>
      <c r="EVU21" s="64"/>
      <c r="EVV21" s="64"/>
      <c r="EVW21" s="64"/>
      <c r="EVX21" s="64"/>
      <c r="EVY21" s="64"/>
      <c r="EVZ21" s="64"/>
      <c r="EWA21" s="64"/>
      <c r="EWB21" s="64"/>
      <c r="EWC21" s="64"/>
      <c r="EWD21" s="64"/>
      <c r="EWE21" s="64"/>
      <c r="EWF21" s="64"/>
      <c r="EWG21" s="64"/>
      <c r="EWH21" s="64"/>
      <c r="EWI21" s="64"/>
      <c r="EWJ21" s="64"/>
      <c r="EWK21" s="64"/>
      <c r="EWL21" s="64"/>
      <c r="EWM21" s="64"/>
      <c r="EWN21" s="64"/>
      <c r="EWO21" s="64"/>
      <c r="EWP21" s="64"/>
      <c r="EWQ21" s="64"/>
      <c r="EWR21" s="64"/>
      <c r="EWS21" s="64"/>
      <c r="EWT21" s="64"/>
      <c r="EWU21" s="64"/>
      <c r="EWV21" s="64"/>
      <c r="EWW21" s="64"/>
      <c r="EWX21" s="64"/>
      <c r="EWY21" s="64"/>
      <c r="EWZ21" s="64"/>
      <c r="EXA21" s="64"/>
      <c r="EXB21" s="64"/>
      <c r="EXC21" s="64"/>
      <c r="EXD21" s="64"/>
      <c r="EXE21" s="64"/>
      <c r="EXF21" s="64"/>
      <c r="EXG21" s="64"/>
      <c r="EXH21" s="64"/>
      <c r="EXI21" s="64"/>
      <c r="EXJ21" s="64"/>
      <c r="EXK21" s="64"/>
      <c r="EXL21" s="64"/>
      <c r="EXM21" s="64"/>
      <c r="EXN21" s="64"/>
      <c r="EXO21" s="64"/>
      <c r="EXP21" s="64"/>
      <c r="EXQ21" s="64"/>
      <c r="EXR21" s="64"/>
      <c r="EXS21" s="64"/>
      <c r="EXT21" s="64"/>
      <c r="EXU21" s="64"/>
      <c r="EXV21" s="64"/>
      <c r="EXW21" s="64"/>
      <c r="EXX21" s="64"/>
      <c r="EXY21" s="64"/>
      <c r="EXZ21" s="64"/>
      <c r="EYA21" s="64"/>
      <c r="EYB21" s="64"/>
      <c r="EYC21" s="64"/>
      <c r="EYD21" s="64"/>
      <c r="EYE21" s="64"/>
      <c r="EYF21" s="64"/>
      <c r="EYG21" s="64"/>
      <c r="EYH21" s="64"/>
      <c r="EYI21" s="64"/>
      <c r="EYJ21" s="64"/>
      <c r="EYK21" s="64"/>
      <c r="EYL21" s="64"/>
      <c r="EYM21" s="64"/>
      <c r="EYN21" s="64"/>
      <c r="EYO21" s="64"/>
      <c r="EYP21" s="64"/>
      <c r="EYQ21" s="64"/>
      <c r="EYR21" s="64"/>
      <c r="EYS21" s="64"/>
      <c r="EYT21" s="64"/>
      <c r="EYU21" s="64"/>
      <c r="EYV21" s="64"/>
      <c r="EYW21" s="64"/>
      <c r="EYX21" s="64"/>
      <c r="EYY21" s="64"/>
      <c r="EYZ21" s="64"/>
      <c r="EZA21" s="64"/>
      <c r="EZB21" s="64"/>
      <c r="EZC21" s="64"/>
      <c r="EZD21" s="64"/>
      <c r="EZE21" s="64"/>
      <c r="EZF21" s="64"/>
      <c r="EZG21" s="64"/>
      <c r="EZH21" s="64"/>
      <c r="EZI21" s="64"/>
      <c r="EZJ21" s="64"/>
      <c r="EZK21" s="64"/>
      <c r="EZL21" s="64"/>
      <c r="EZM21" s="64"/>
      <c r="EZN21" s="64"/>
      <c r="EZO21" s="64"/>
      <c r="EZP21" s="64"/>
      <c r="EZQ21" s="64"/>
      <c r="EZR21" s="64"/>
      <c r="EZS21" s="64"/>
      <c r="EZT21" s="64"/>
      <c r="EZU21" s="64"/>
      <c r="EZV21" s="64"/>
      <c r="EZW21" s="64"/>
      <c r="EZX21" s="64"/>
      <c r="EZY21" s="64"/>
      <c r="EZZ21" s="64"/>
      <c r="FAA21" s="64"/>
      <c r="FAB21" s="64"/>
      <c r="FAC21" s="64"/>
      <c r="FAD21" s="64"/>
      <c r="FAE21" s="64"/>
      <c r="FAF21" s="64"/>
      <c r="FAG21" s="64"/>
      <c r="FAH21" s="64"/>
      <c r="FAI21" s="64"/>
      <c r="FAJ21" s="64"/>
      <c r="FAK21" s="64"/>
      <c r="FAL21" s="64"/>
      <c r="FAM21" s="64"/>
      <c r="FAN21" s="64"/>
      <c r="FAO21" s="64"/>
      <c r="FAP21" s="64"/>
      <c r="FAQ21" s="64"/>
      <c r="FAR21" s="64"/>
      <c r="FAS21" s="64"/>
      <c r="FAT21" s="64"/>
      <c r="FAU21" s="64"/>
      <c r="FAV21" s="64"/>
      <c r="FAW21" s="64"/>
      <c r="FAX21" s="64"/>
      <c r="FAY21" s="64"/>
      <c r="FAZ21" s="64"/>
      <c r="FBA21" s="64"/>
      <c r="FBB21" s="64"/>
      <c r="FBC21" s="64"/>
      <c r="FBD21" s="64"/>
      <c r="FBE21" s="64"/>
      <c r="FBF21" s="64"/>
      <c r="FBG21" s="64"/>
      <c r="FBH21" s="64"/>
      <c r="FBI21" s="64"/>
      <c r="FBJ21" s="64"/>
      <c r="FBK21" s="64"/>
      <c r="FBL21" s="64"/>
      <c r="FBM21" s="64"/>
      <c r="FBN21" s="64"/>
      <c r="FBO21" s="64"/>
      <c r="FBP21" s="64"/>
      <c r="FBQ21" s="64"/>
      <c r="FBR21" s="64"/>
      <c r="FBS21" s="64"/>
      <c r="FBT21" s="64"/>
      <c r="FBU21" s="64"/>
      <c r="FBV21" s="64"/>
      <c r="FBW21" s="64"/>
      <c r="FBX21" s="64"/>
      <c r="FBY21" s="64"/>
      <c r="FBZ21" s="64"/>
      <c r="FCA21" s="64"/>
      <c r="FCB21" s="64"/>
      <c r="FCC21" s="64"/>
      <c r="FCD21" s="64"/>
      <c r="FCE21" s="64"/>
      <c r="FCF21" s="64"/>
      <c r="FCG21" s="64"/>
      <c r="FCH21" s="64"/>
      <c r="FCI21" s="64"/>
      <c r="FCJ21" s="64"/>
      <c r="FCK21" s="64"/>
      <c r="FCL21" s="64"/>
      <c r="FCM21" s="64"/>
      <c r="FCN21" s="64"/>
      <c r="FCO21" s="64"/>
      <c r="FCP21" s="64"/>
      <c r="FCQ21" s="64"/>
      <c r="FCR21" s="64"/>
      <c r="FCS21" s="64"/>
      <c r="FCT21" s="64"/>
      <c r="FCU21" s="64"/>
      <c r="FCV21" s="64"/>
      <c r="FCW21" s="64"/>
      <c r="FCX21" s="64"/>
      <c r="FCY21" s="64"/>
      <c r="FCZ21" s="64"/>
      <c r="FDA21" s="64"/>
      <c r="FDB21" s="64"/>
      <c r="FDC21" s="64"/>
      <c r="FDD21" s="64"/>
      <c r="FDE21" s="64"/>
      <c r="FDF21" s="64"/>
      <c r="FDG21" s="64"/>
      <c r="FDH21" s="64"/>
      <c r="FDI21" s="64"/>
      <c r="FDJ21" s="64"/>
      <c r="FDK21" s="64"/>
      <c r="FDL21" s="64"/>
      <c r="FDM21" s="64"/>
      <c r="FDN21" s="64"/>
      <c r="FDO21" s="64"/>
      <c r="FDP21" s="64"/>
      <c r="FDQ21" s="64"/>
      <c r="FDR21" s="64"/>
      <c r="FDS21" s="64"/>
      <c r="FDT21" s="64"/>
      <c r="FDU21" s="64"/>
      <c r="FDV21" s="64"/>
      <c r="FDW21" s="64"/>
      <c r="FDX21" s="64"/>
      <c r="FDY21" s="64"/>
      <c r="FDZ21" s="64"/>
      <c r="FEA21" s="64"/>
      <c r="FEB21" s="64"/>
      <c r="FEC21" s="64"/>
      <c r="FED21" s="64"/>
      <c r="FEE21" s="64"/>
      <c r="FEF21" s="64"/>
      <c r="FEG21" s="64"/>
      <c r="FEH21" s="64"/>
      <c r="FEI21" s="64"/>
      <c r="FEJ21" s="64"/>
      <c r="FEK21" s="64"/>
      <c r="FEL21" s="64"/>
      <c r="FEM21" s="64"/>
      <c r="FEN21" s="64"/>
      <c r="FEO21" s="64"/>
      <c r="FEP21" s="64"/>
      <c r="FEQ21" s="64"/>
      <c r="FER21" s="64"/>
      <c r="FES21" s="64"/>
      <c r="FET21" s="64"/>
      <c r="FEU21" s="64"/>
      <c r="FEV21" s="64"/>
      <c r="FEW21" s="64"/>
      <c r="FEX21" s="64"/>
      <c r="FEY21" s="64"/>
      <c r="FEZ21" s="64"/>
      <c r="FFA21" s="64"/>
      <c r="FFB21" s="64"/>
      <c r="FFC21" s="64"/>
      <c r="FFD21" s="64"/>
      <c r="FFE21" s="64"/>
      <c r="FFF21" s="64"/>
      <c r="FFG21" s="64"/>
      <c r="FFH21" s="64"/>
      <c r="FFI21" s="64"/>
      <c r="FFJ21" s="64"/>
      <c r="FFK21" s="64"/>
      <c r="FFL21" s="64"/>
      <c r="FFM21" s="64"/>
      <c r="FFN21" s="64"/>
      <c r="FFO21" s="64"/>
      <c r="FFP21" s="64"/>
      <c r="FFQ21" s="64"/>
      <c r="FFR21" s="64"/>
      <c r="FFS21" s="64"/>
      <c r="FFT21" s="64"/>
      <c r="FFU21" s="64"/>
      <c r="FFV21" s="64"/>
      <c r="FFW21" s="64"/>
      <c r="FFX21" s="64"/>
      <c r="FFY21" s="64"/>
      <c r="FFZ21" s="64"/>
      <c r="FGA21" s="64"/>
      <c r="FGB21" s="64"/>
      <c r="FGC21" s="64"/>
      <c r="FGD21" s="64"/>
      <c r="FGE21" s="64"/>
      <c r="FGF21" s="64"/>
      <c r="FGG21" s="64"/>
      <c r="FGH21" s="64"/>
      <c r="FGI21" s="64"/>
      <c r="FGJ21" s="64"/>
      <c r="FGK21" s="64"/>
      <c r="FGL21" s="64"/>
      <c r="FGM21" s="64"/>
      <c r="FGN21" s="64"/>
      <c r="FGO21" s="64"/>
      <c r="FGP21" s="64"/>
      <c r="FGQ21" s="64"/>
      <c r="FGR21" s="64"/>
      <c r="FGS21" s="64"/>
      <c r="FGT21" s="64"/>
      <c r="FGU21" s="64"/>
      <c r="FGV21" s="64"/>
      <c r="FGW21" s="64"/>
      <c r="FGX21" s="64"/>
      <c r="FGY21" s="64"/>
      <c r="FGZ21" s="64"/>
      <c r="FHA21" s="64"/>
      <c r="FHB21" s="64"/>
      <c r="FHC21" s="64"/>
      <c r="FHD21" s="64"/>
      <c r="FHE21" s="64"/>
      <c r="FHF21" s="64"/>
      <c r="FHG21" s="64"/>
      <c r="FHH21" s="64"/>
      <c r="FHI21" s="64"/>
      <c r="FHJ21" s="64"/>
      <c r="FHK21" s="64"/>
      <c r="FHL21" s="64"/>
      <c r="FHM21" s="64"/>
      <c r="FHN21" s="64"/>
      <c r="FHO21" s="64"/>
      <c r="FHP21" s="64"/>
      <c r="FHQ21" s="64"/>
      <c r="FHR21" s="64"/>
      <c r="FHS21" s="64"/>
      <c r="FHT21" s="64"/>
      <c r="FHU21" s="64"/>
      <c r="FHV21" s="64"/>
      <c r="FHW21" s="64"/>
      <c r="FHX21" s="64"/>
      <c r="FHY21" s="64"/>
      <c r="FHZ21" s="64"/>
      <c r="FIA21" s="64"/>
      <c r="FIB21" s="64"/>
      <c r="FIC21" s="64"/>
      <c r="FID21" s="64"/>
      <c r="FIE21" s="64"/>
      <c r="FIF21" s="64"/>
      <c r="FIG21" s="64"/>
      <c r="FIH21" s="64"/>
      <c r="FII21" s="64"/>
      <c r="FIJ21" s="64"/>
      <c r="FIK21" s="64"/>
      <c r="FIL21" s="64"/>
      <c r="FIM21" s="64"/>
      <c r="FIN21" s="64"/>
      <c r="FIO21" s="64"/>
      <c r="FIP21" s="64"/>
      <c r="FIQ21" s="64"/>
      <c r="FIR21" s="64"/>
      <c r="FIS21" s="64"/>
      <c r="FIT21" s="64"/>
      <c r="FIU21" s="64"/>
      <c r="FIV21" s="64"/>
      <c r="FIW21" s="64"/>
      <c r="FIX21" s="64"/>
      <c r="FIY21" s="64"/>
      <c r="FIZ21" s="64"/>
      <c r="FJA21" s="64"/>
      <c r="FJB21" s="64"/>
      <c r="FJC21" s="64"/>
      <c r="FJD21" s="64"/>
      <c r="FJE21" s="64"/>
      <c r="FJF21" s="64"/>
      <c r="FJG21" s="64"/>
      <c r="FJH21" s="64"/>
      <c r="FJI21" s="64"/>
      <c r="FJJ21" s="64"/>
      <c r="FJK21" s="64"/>
      <c r="FJL21" s="64"/>
      <c r="FJM21" s="64"/>
      <c r="FJN21" s="64"/>
      <c r="FJO21" s="64"/>
      <c r="FJP21" s="64"/>
      <c r="FJQ21" s="64"/>
      <c r="FJR21" s="64"/>
      <c r="FJS21" s="64"/>
      <c r="FJT21" s="64"/>
      <c r="FJU21" s="64"/>
      <c r="FJV21" s="64"/>
      <c r="FJW21" s="64"/>
      <c r="FJX21" s="64"/>
      <c r="FJY21" s="64"/>
      <c r="FJZ21" s="64"/>
      <c r="FKA21" s="64"/>
      <c r="FKB21" s="64"/>
      <c r="FKC21" s="64"/>
      <c r="FKD21" s="64"/>
      <c r="FKE21" s="64"/>
      <c r="FKF21" s="64"/>
      <c r="FKG21" s="64"/>
      <c r="FKH21" s="64"/>
      <c r="FKI21" s="64"/>
      <c r="FKJ21" s="64"/>
      <c r="FKK21" s="64"/>
      <c r="FKL21" s="64"/>
      <c r="FKM21" s="64"/>
      <c r="FKN21" s="64"/>
      <c r="FKO21" s="64"/>
      <c r="FKP21" s="64"/>
      <c r="FKQ21" s="64"/>
      <c r="FKR21" s="64"/>
      <c r="FKS21" s="64"/>
      <c r="FKT21" s="64"/>
      <c r="FKU21" s="64"/>
      <c r="FKV21" s="64"/>
      <c r="FKW21" s="64"/>
      <c r="FKX21" s="64"/>
      <c r="FKY21" s="64"/>
      <c r="FKZ21" s="64"/>
      <c r="FLA21" s="64"/>
      <c r="FLB21" s="64"/>
      <c r="FLC21" s="64"/>
      <c r="FLD21" s="64"/>
      <c r="FLE21" s="64"/>
      <c r="FLF21" s="64"/>
      <c r="FLG21" s="64"/>
      <c r="FLH21" s="64"/>
      <c r="FLI21" s="64"/>
      <c r="FLJ21" s="64"/>
      <c r="FLK21" s="64"/>
      <c r="FLL21" s="64"/>
      <c r="FLM21" s="64"/>
      <c r="FLN21" s="64"/>
      <c r="FLO21" s="64"/>
      <c r="FLP21" s="64"/>
      <c r="FLQ21" s="64"/>
      <c r="FLR21" s="64"/>
      <c r="FLS21" s="64"/>
      <c r="FLT21" s="64"/>
      <c r="FLU21" s="64"/>
      <c r="FLV21" s="64"/>
      <c r="FLW21" s="64"/>
      <c r="FLX21" s="64"/>
      <c r="FLY21" s="64"/>
      <c r="FLZ21" s="64"/>
      <c r="FMA21" s="64"/>
      <c r="FMB21" s="64"/>
      <c r="FMC21" s="64"/>
      <c r="FMD21" s="64"/>
      <c r="FME21" s="64"/>
      <c r="FMF21" s="64"/>
      <c r="FMG21" s="64"/>
      <c r="FMH21" s="64"/>
      <c r="FMI21" s="64"/>
      <c r="FMJ21" s="64"/>
      <c r="FMK21" s="64"/>
      <c r="FML21" s="64"/>
      <c r="FMM21" s="64"/>
      <c r="FMN21" s="64"/>
      <c r="FMO21" s="64"/>
      <c r="FMP21" s="64"/>
      <c r="FMQ21" s="64"/>
      <c r="FMR21" s="64"/>
      <c r="FMS21" s="64"/>
      <c r="FMT21" s="64"/>
      <c r="FMU21" s="64"/>
      <c r="FMV21" s="64"/>
      <c r="FMW21" s="64"/>
      <c r="FMX21" s="64"/>
      <c r="FMY21" s="64"/>
      <c r="FMZ21" s="64"/>
      <c r="FNA21" s="64"/>
      <c r="FNB21" s="64"/>
      <c r="FNC21" s="64"/>
      <c r="FND21" s="64"/>
      <c r="FNE21" s="64"/>
      <c r="FNF21" s="64"/>
      <c r="FNG21" s="64"/>
      <c r="FNH21" s="64"/>
      <c r="FNI21" s="64"/>
      <c r="FNJ21" s="64"/>
      <c r="FNK21" s="64"/>
      <c r="FNL21" s="64"/>
      <c r="FNM21" s="64"/>
      <c r="FNN21" s="64"/>
      <c r="FNO21" s="64"/>
      <c r="FNP21" s="64"/>
      <c r="FNQ21" s="64"/>
      <c r="FNR21" s="64"/>
      <c r="FNS21" s="64"/>
      <c r="FNT21" s="64"/>
      <c r="FNU21" s="64"/>
      <c r="FNV21" s="64"/>
      <c r="FNW21" s="64"/>
      <c r="FNX21" s="64"/>
      <c r="FNY21" s="64"/>
      <c r="FNZ21" s="64"/>
      <c r="FOA21" s="64"/>
      <c r="FOB21" s="64"/>
      <c r="FOC21" s="64"/>
      <c r="FOD21" s="64"/>
      <c r="FOE21" s="64"/>
      <c r="FOF21" s="64"/>
      <c r="FOG21" s="64"/>
      <c r="FOH21" s="64"/>
      <c r="FOI21" s="64"/>
      <c r="FOJ21" s="64"/>
      <c r="FOK21" s="64"/>
      <c r="FOL21" s="64"/>
      <c r="FOM21" s="64"/>
      <c r="FON21" s="64"/>
      <c r="FOO21" s="64"/>
      <c r="FOP21" s="64"/>
      <c r="FOQ21" s="64"/>
      <c r="FOR21" s="64"/>
      <c r="FOS21" s="64"/>
      <c r="FOT21" s="64"/>
      <c r="FOU21" s="64"/>
      <c r="FOV21" s="64"/>
      <c r="FOW21" s="64"/>
      <c r="FOX21" s="64"/>
      <c r="FOY21" s="64"/>
      <c r="FOZ21" s="64"/>
      <c r="FPA21" s="64"/>
      <c r="FPB21" s="64"/>
      <c r="FPC21" s="64"/>
      <c r="FPD21" s="64"/>
      <c r="FPE21" s="64"/>
      <c r="FPF21" s="64"/>
      <c r="FPG21" s="64"/>
      <c r="FPH21" s="64"/>
      <c r="FPI21" s="64"/>
      <c r="FPJ21" s="64"/>
      <c r="FPK21" s="64"/>
      <c r="FPL21" s="64"/>
      <c r="FPM21" s="64"/>
      <c r="FPN21" s="64"/>
      <c r="FPO21" s="64"/>
      <c r="FPP21" s="64"/>
      <c r="FPQ21" s="64"/>
      <c r="FPR21" s="64"/>
      <c r="FPS21" s="64"/>
      <c r="FPT21" s="64"/>
      <c r="FPU21" s="64"/>
      <c r="FPV21" s="64"/>
      <c r="FPW21" s="64"/>
      <c r="FPX21" s="64"/>
      <c r="FPY21" s="64"/>
      <c r="FPZ21" s="64"/>
      <c r="FQA21" s="64"/>
      <c r="FQB21" s="64"/>
      <c r="FQC21" s="64"/>
      <c r="FQD21" s="64"/>
      <c r="FQE21" s="64"/>
      <c r="FQF21" s="64"/>
      <c r="FQG21" s="64"/>
      <c r="FQH21" s="64"/>
      <c r="FQI21" s="64"/>
      <c r="FQJ21" s="64"/>
      <c r="FQK21" s="64"/>
      <c r="FQL21" s="64"/>
      <c r="FQM21" s="64"/>
      <c r="FQN21" s="64"/>
      <c r="FQO21" s="64"/>
      <c r="FQP21" s="64"/>
      <c r="FQQ21" s="64"/>
      <c r="FQR21" s="64"/>
      <c r="FQS21" s="64"/>
      <c r="FQT21" s="64"/>
      <c r="FQU21" s="64"/>
      <c r="FQV21" s="64"/>
      <c r="FQW21" s="64"/>
      <c r="FQX21" s="64"/>
      <c r="FQY21" s="64"/>
      <c r="FQZ21" s="64"/>
      <c r="FRA21" s="64"/>
      <c r="FRB21" s="64"/>
      <c r="FRC21" s="64"/>
      <c r="FRD21" s="64"/>
      <c r="FRE21" s="64"/>
      <c r="FRF21" s="64"/>
      <c r="FRG21" s="64"/>
      <c r="FRH21" s="64"/>
      <c r="FRI21" s="64"/>
      <c r="FRJ21" s="64"/>
      <c r="FRK21" s="64"/>
      <c r="FRL21" s="64"/>
      <c r="FRM21" s="64"/>
      <c r="FRN21" s="64"/>
      <c r="FRO21" s="64"/>
      <c r="FRP21" s="64"/>
      <c r="FRQ21" s="64"/>
      <c r="FRR21" s="64"/>
      <c r="FRS21" s="64"/>
      <c r="FRT21" s="64"/>
      <c r="FRU21" s="64"/>
      <c r="FRV21" s="64"/>
      <c r="FRW21" s="64"/>
      <c r="FRX21" s="64"/>
      <c r="FRY21" s="64"/>
      <c r="FRZ21" s="64"/>
      <c r="FSA21" s="64"/>
      <c r="FSB21" s="64"/>
      <c r="FSC21" s="64"/>
      <c r="FSD21" s="64"/>
      <c r="FSE21" s="64"/>
      <c r="FSF21" s="64"/>
      <c r="FSG21" s="64"/>
      <c r="FSH21" s="64"/>
      <c r="FSI21" s="64"/>
      <c r="FSJ21" s="64"/>
      <c r="FSK21" s="64"/>
      <c r="FSL21" s="64"/>
      <c r="FSM21" s="64"/>
      <c r="FSN21" s="64"/>
      <c r="FSO21" s="64"/>
      <c r="FSP21" s="64"/>
      <c r="FSQ21" s="64"/>
      <c r="FSR21" s="64"/>
      <c r="FSS21" s="64"/>
      <c r="FST21" s="64"/>
      <c r="FSU21" s="64"/>
      <c r="FSV21" s="64"/>
      <c r="FSW21" s="64"/>
      <c r="FSX21" s="64"/>
      <c r="FSY21" s="64"/>
      <c r="FSZ21" s="64"/>
      <c r="FTA21" s="64"/>
      <c r="FTB21" s="64"/>
      <c r="FTC21" s="64"/>
      <c r="FTD21" s="64"/>
      <c r="FTE21" s="64"/>
      <c r="FTF21" s="64"/>
      <c r="FTG21" s="64"/>
      <c r="FTH21" s="64"/>
      <c r="FTI21" s="64"/>
      <c r="FTJ21" s="64"/>
      <c r="FTK21" s="64"/>
      <c r="FTL21" s="64"/>
      <c r="FTM21" s="64"/>
      <c r="FTN21" s="64"/>
      <c r="FTO21" s="64"/>
      <c r="FTP21" s="64"/>
      <c r="FTQ21" s="64"/>
      <c r="FTR21" s="64"/>
      <c r="FTS21" s="64"/>
      <c r="FTT21" s="64"/>
      <c r="FTU21" s="64"/>
      <c r="FTV21" s="64"/>
      <c r="FTW21" s="64"/>
      <c r="FTX21" s="64"/>
      <c r="FTY21" s="64"/>
      <c r="FTZ21" s="64"/>
      <c r="FUA21" s="64"/>
      <c r="FUB21" s="64"/>
      <c r="FUC21" s="64"/>
      <c r="FUD21" s="64"/>
      <c r="FUE21" s="64"/>
      <c r="FUF21" s="64"/>
      <c r="FUG21" s="64"/>
      <c r="FUH21" s="64"/>
      <c r="FUI21" s="64"/>
      <c r="FUJ21" s="64"/>
      <c r="FUK21" s="64"/>
      <c r="FUL21" s="64"/>
      <c r="FUM21" s="64"/>
      <c r="FUN21" s="64"/>
      <c r="FUO21" s="64"/>
      <c r="FUP21" s="64"/>
      <c r="FUQ21" s="64"/>
      <c r="FUR21" s="64"/>
      <c r="FUS21" s="64"/>
      <c r="FUT21" s="64"/>
      <c r="FUU21" s="64"/>
      <c r="FUV21" s="64"/>
      <c r="FUW21" s="64"/>
      <c r="FUX21" s="64"/>
      <c r="FUY21" s="64"/>
      <c r="FUZ21" s="64"/>
      <c r="FVA21" s="64"/>
      <c r="FVB21" s="64"/>
      <c r="FVC21" s="64"/>
      <c r="FVD21" s="64"/>
      <c r="FVE21" s="64"/>
      <c r="FVF21" s="64"/>
      <c r="FVG21" s="64"/>
      <c r="FVH21" s="64"/>
      <c r="FVI21" s="64"/>
      <c r="FVJ21" s="64"/>
      <c r="FVK21" s="64"/>
      <c r="FVL21" s="64"/>
      <c r="FVM21" s="64"/>
      <c r="FVN21" s="64"/>
      <c r="FVO21" s="64"/>
      <c r="FVP21" s="64"/>
      <c r="FVQ21" s="64"/>
      <c r="FVR21" s="64"/>
      <c r="FVS21" s="64"/>
      <c r="FVT21" s="64"/>
      <c r="FVU21" s="64"/>
      <c r="FVV21" s="64"/>
      <c r="FVW21" s="64"/>
      <c r="FVX21" s="64"/>
      <c r="FVY21" s="64"/>
      <c r="FVZ21" s="64"/>
      <c r="FWA21" s="64"/>
      <c r="FWB21" s="64"/>
      <c r="FWC21" s="64"/>
      <c r="FWD21" s="64"/>
      <c r="FWE21" s="64"/>
      <c r="FWF21" s="64"/>
      <c r="FWG21" s="64"/>
      <c r="FWH21" s="64"/>
      <c r="FWI21" s="64"/>
      <c r="FWJ21" s="64"/>
      <c r="FWK21" s="64"/>
      <c r="FWL21" s="64"/>
      <c r="FWM21" s="64"/>
      <c r="FWN21" s="64"/>
      <c r="FWO21" s="64"/>
      <c r="FWP21" s="64"/>
      <c r="FWQ21" s="64"/>
      <c r="FWR21" s="64"/>
      <c r="FWS21" s="64"/>
      <c r="FWT21" s="64"/>
      <c r="FWU21" s="64"/>
      <c r="FWV21" s="64"/>
      <c r="FWW21" s="64"/>
      <c r="FWX21" s="64"/>
      <c r="FWY21" s="64"/>
      <c r="FWZ21" s="64"/>
      <c r="FXA21" s="64"/>
      <c r="FXB21" s="64"/>
      <c r="FXC21" s="64"/>
      <c r="FXD21" s="64"/>
      <c r="FXE21" s="64"/>
      <c r="FXF21" s="64"/>
      <c r="FXG21" s="64"/>
      <c r="FXH21" s="64"/>
      <c r="FXI21" s="64"/>
      <c r="FXJ21" s="64"/>
      <c r="FXK21" s="64"/>
      <c r="FXL21" s="64"/>
      <c r="FXM21" s="64"/>
      <c r="FXN21" s="64"/>
      <c r="FXO21" s="64"/>
      <c r="FXP21" s="64"/>
      <c r="FXQ21" s="64"/>
      <c r="FXR21" s="64"/>
      <c r="FXS21" s="64"/>
      <c r="FXT21" s="64"/>
      <c r="FXU21" s="64"/>
      <c r="FXV21" s="64"/>
      <c r="FXW21" s="64"/>
      <c r="FXX21" s="64"/>
      <c r="FXY21" s="64"/>
      <c r="FXZ21" s="64"/>
      <c r="FYA21" s="64"/>
      <c r="FYB21" s="64"/>
      <c r="FYC21" s="64"/>
      <c r="FYD21" s="64"/>
      <c r="FYE21" s="64"/>
      <c r="FYF21" s="64"/>
      <c r="FYG21" s="64"/>
      <c r="FYH21" s="64"/>
      <c r="FYI21" s="64"/>
      <c r="FYJ21" s="64"/>
      <c r="FYK21" s="64"/>
      <c r="FYL21" s="64"/>
      <c r="FYM21" s="64"/>
      <c r="FYN21" s="64"/>
      <c r="FYO21" s="64"/>
      <c r="FYP21" s="64"/>
      <c r="FYQ21" s="64"/>
      <c r="FYR21" s="64"/>
      <c r="FYS21" s="64"/>
      <c r="FYT21" s="64"/>
      <c r="FYU21" s="64"/>
      <c r="FYV21" s="64"/>
      <c r="FYW21" s="64"/>
      <c r="FYX21" s="64"/>
      <c r="FYY21" s="64"/>
      <c r="FYZ21" s="64"/>
      <c r="FZA21" s="64"/>
      <c r="FZB21" s="64"/>
      <c r="FZC21" s="64"/>
      <c r="FZD21" s="64"/>
      <c r="FZE21" s="64"/>
      <c r="FZF21" s="64"/>
      <c r="FZG21" s="64"/>
      <c r="FZH21" s="64"/>
      <c r="FZI21" s="64"/>
      <c r="FZJ21" s="64"/>
      <c r="FZK21" s="64"/>
      <c r="FZL21" s="64"/>
      <c r="FZM21" s="64"/>
      <c r="FZN21" s="64"/>
      <c r="FZO21" s="64"/>
      <c r="FZP21" s="64"/>
      <c r="FZQ21" s="64"/>
      <c r="FZR21" s="64"/>
      <c r="FZS21" s="64"/>
      <c r="FZT21" s="64"/>
      <c r="FZU21" s="64"/>
      <c r="FZV21" s="64"/>
      <c r="FZW21" s="64"/>
      <c r="FZX21" s="64"/>
      <c r="FZY21" s="64"/>
      <c r="FZZ21" s="64"/>
      <c r="GAA21" s="64"/>
      <c r="GAB21" s="64"/>
      <c r="GAC21" s="64"/>
      <c r="GAD21" s="64"/>
      <c r="GAE21" s="64"/>
      <c r="GAF21" s="64"/>
      <c r="GAG21" s="64"/>
      <c r="GAH21" s="64"/>
      <c r="GAI21" s="64"/>
      <c r="GAJ21" s="64"/>
      <c r="GAK21" s="64"/>
      <c r="GAL21" s="64"/>
      <c r="GAM21" s="64"/>
      <c r="GAN21" s="64"/>
      <c r="GAO21" s="64"/>
      <c r="GAP21" s="64"/>
      <c r="GAQ21" s="64"/>
      <c r="GAR21" s="64"/>
      <c r="GAS21" s="64"/>
      <c r="GAT21" s="64"/>
      <c r="GAU21" s="64"/>
      <c r="GAV21" s="64"/>
      <c r="GAW21" s="64"/>
      <c r="GAX21" s="64"/>
      <c r="GAY21" s="64"/>
      <c r="GAZ21" s="64"/>
      <c r="GBA21" s="64"/>
      <c r="GBB21" s="64"/>
      <c r="GBC21" s="64"/>
      <c r="GBD21" s="64"/>
      <c r="GBE21" s="64"/>
      <c r="GBF21" s="64"/>
      <c r="GBG21" s="64"/>
      <c r="GBH21" s="64"/>
      <c r="GBI21" s="64"/>
      <c r="GBJ21" s="64"/>
      <c r="GBK21" s="64"/>
      <c r="GBL21" s="64"/>
      <c r="GBM21" s="64"/>
      <c r="GBN21" s="64"/>
      <c r="GBO21" s="64"/>
      <c r="GBP21" s="64"/>
      <c r="GBQ21" s="64"/>
      <c r="GBR21" s="64"/>
      <c r="GBS21" s="64"/>
      <c r="GBT21" s="64"/>
      <c r="GBU21" s="64"/>
      <c r="GBV21" s="64"/>
      <c r="GBW21" s="64"/>
      <c r="GBX21" s="64"/>
      <c r="GBY21" s="64"/>
      <c r="GBZ21" s="64"/>
      <c r="GCA21" s="64"/>
      <c r="GCB21" s="64"/>
      <c r="GCC21" s="64"/>
      <c r="GCD21" s="64"/>
      <c r="GCE21" s="64"/>
      <c r="GCF21" s="64"/>
      <c r="GCG21" s="64"/>
      <c r="GCH21" s="64"/>
      <c r="GCI21" s="64"/>
      <c r="GCJ21" s="64"/>
      <c r="GCK21" s="64"/>
      <c r="GCL21" s="64"/>
      <c r="GCM21" s="64"/>
      <c r="GCN21" s="64"/>
      <c r="GCO21" s="64"/>
      <c r="GCP21" s="64"/>
      <c r="GCQ21" s="64"/>
      <c r="GCR21" s="64"/>
      <c r="GCS21" s="64"/>
      <c r="GCT21" s="64"/>
      <c r="GCU21" s="64"/>
      <c r="GCV21" s="64"/>
      <c r="GCW21" s="64"/>
      <c r="GCX21" s="64"/>
      <c r="GCY21" s="64"/>
      <c r="GCZ21" s="64"/>
      <c r="GDA21" s="64"/>
      <c r="GDB21" s="64"/>
      <c r="GDC21" s="64"/>
      <c r="GDD21" s="64"/>
      <c r="GDE21" s="64"/>
      <c r="GDF21" s="64"/>
      <c r="GDG21" s="64"/>
      <c r="GDH21" s="64"/>
      <c r="GDI21" s="64"/>
      <c r="GDJ21" s="64"/>
      <c r="GDK21" s="64"/>
      <c r="GDL21" s="64"/>
      <c r="GDM21" s="64"/>
      <c r="GDN21" s="64"/>
      <c r="GDO21" s="64"/>
      <c r="GDP21" s="64"/>
      <c r="GDQ21" s="64"/>
      <c r="GDR21" s="64"/>
      <c r="GDS21" s="64"/>
      <c r="GDT21" s="64"/>
      <c r="GDU21" s="64"/>
      <c r="GDV21" s="64"/>
      <c r="GDW21" s="64"/>
      <c r="GDX21" s="64"/>
      <c r="GDY21" s="64"/>
      <c r="GDZ21" s="64"/>
      <c r="GEA21" s="64"/>
      <c r="GEB21" s="64"/>
      <c r="GEC21" s="64"/>
      <c r="GED21" s="64"/>
      <c r="GEE21" s="64"/>
      <c r="GEF21" s="64"/>
      <c r="GEG21" s="64"/>
      <c r="GEH21" s="64"/>
      <c r="GEI21" s="64"/>
      <c r="GEJ21" s="64"/>
      <c r="GEK21" s="64"/>
      <c r="GEL21" s="64"/>
      <c r="GEM21" s="64"/>
      <c r="GEN21" s="64"/>
      <c r="GEO21" s="64"/>
      <c r="GEP21" s="64"/>
      <c r="GEQ21" s="64"/>
      <c r="GER21" s="64"/>
      <c r="GES21" s="64"/>
      <c r="GET21" s="64"/>
      <c r="GEU21" s="64"/>
      <c r="GEV21" s="64"/>
      <c r="GEW21" s="64"/>
      <c r="GEX21" s="64"/>
      <c r="GEY21" s="64"/>
      <c r="GEZ21" s="64"/>
      <c r="GFA21" s="64"/>
      <c r="GFB21" s="64"/>
      <c r="GFC21" s="64"/>
      <c r="GFD21" s="64"/>
      <c r="GFE21" s="64"/>
      <c r="GFF21" s="64"/>
      <c r="GFG21" s="64"/>
      <c r="GFH21" s="64"/>
      <c r="GFI21" s="64"/>
      <c r="GFJ21" s="64"/>
      <c r="GFK21" s="64"/>
      <c r="GFL21" s="64"/>
      <c r="GFM21" s="64"/>
      <c r="GFN21" s="64"/>
      <c r="GFO21" s="64"/>
      <c r="GFP21" s="64"/>
      <c r="GFQ21" s="64"/>
      <c r="GFR21" s="64"/>
      <c r="GFS21" s="64"/>
      <c r="GFT21" s="64"/>
      <c r="GFU21" s="64"/>
      <c r="GFV21" s="64"/>
      <c r="GFW21" s="64"/>
      <c r="GFX21" s="64"/>
      <c r="GFY21" s="64"/>
      <c r="GFZ21" s="64"/>
      <c r="GGA21" s="64"/>
      <c r="GGB21" s="64"/>
      <c r="GGC21" s="64"/>
      <c r="GGD21" s="64"/>
      <c r="GGE21" s="64"/>
      <c r="GGF21" s="64"/>
      <c r="GGG21" s="64"/>
      <c r="GGH21" s="64"/>
      <c r="GGI21" s="64"/>
      <c r="GGJ21" s="64"/>
      <c r="GGK21" s="64"/>
      <c r="GGL21" s="64"/>
      <c r="GGM21" s="64"/>
      <c r="GGN21" s="64"/>
      <c r="GGO21" s="64"/>
      <c r="GGP21" s="64"/>
      <c r="GGQ21" s="64"/>
      <c r="GGR21" s="64"/>
      <c r="GGS21" s="64"/>
      <c r="GGT21" s="64"/>
      <c r="GGU21" s="64"/>
      <c r="GGV21" s="64"/>
      <c r="GGW21" s="64"/>
      <c r="GGX21" s="64"/>
      <c r="GGY21" s="64"/>
      <c r="GGZ21" s="64"/>
      <c r="GHA21" s="64"/>
      <c r="GHB21" s="64"/>
      <c r="GHC21" s="64"/>
      <c r="GHD21" s="64"/>
      <c r="GHE21" s="64"/>
      <c r="GHF21" s="64"/>
      <c r="GHG21" s="64"/>
      <c r="GHH21" s="64"/>
      <c r="GHI21" s="64"/>
      <c r="GHJ21" s="64"/>
      <c r="GHK21" s="64"/>
      <c r="GHL21" s="64"/>
      <c r="GHM21" s="64"/>
      <c r="GHN21" s="64"/>
      <c r="GHO21" s="64"/>
      <c r="GHP21" s="64"/>
      <c r="GHQ21" s="64"/>
      <c r="GHR21" s="64"/>
      <c r="GHS21" s="64"/>
      <c r="GHT21" s="64"/>
      <c r="GHU21" s="64"/>
      <c r="GHV21" s="64"/>
      <c r="GHW21" s="64"/>
      <c r="GHX21" s="64"/>
      <c r="GHY21" s="64"/>
      <c r="GHZ21" s="64"/>
      <c r="GIA21" s="64"/>
      <c r="GIB21" s="64"/>
      <c r="GIC21" s="64"/>
      <c r="GID21" s="64"/>
      <c r="GIE21" s="64"/>
      <c r="GIF21" s="64"/>
      <c r="GIG21" s="64"/>
      <c r="GIH21" s="64"/>
      <c r="GII21" s="64"/>
      <c r="GIJ21" s="64"/>
      <c r="GIK21" s="64"/>
      <c r="GIL21" s="64"/>
      <c r="GIM21" s="64"/>
      <c r="GIN21" s="64"/>
      <c r="GIO21" s="64"/>
      <c r="GIP21" s="64"/>
      <c r="GIQ21" s="64"/>
      <c r="GIR21" s="64"/>
      <c r="GIS21" s="64"/>
      <c r="GIT21" s="64"/>
      <c r="GIU21" s="64"/>
      <c r="GIV21" s="64"/>
      <c r="GIW21" s="64"/>
      <c r="GIX21" s="64"/>
      <c r="GIY21" s="64"/>
      <c r="GIZ21" s="64"/>
      <c r="GJA21" s="64"/>
      <c r="GJB21" s="64"/>
      <c r="GJC21" s="64"/>
      <c r="GJD21" s="64"/>
      <c r="GJE21" s="64"/>
      <c r="GJF21" s="64"/>
      <c r="GJG21" s="64"/>
      <c r="GJH21" s="64"/>
      <c r="GJI21" s="64"/>
      <c r="GJJ21" s="64"/>
      <c r="GJK21" s="64"/>
      <c r="GJL21" s="64"/>
      <c r="GJM21" s="64"/>
      <c r="GJN21" s="64"/>
      <c r="GJO21" s="64"/>
      <c r="GJP21" s="64"/>
      <c r="GJQ21" s="64"/>
      <c r="GJR21" s="64"/>
      <c r="GJS21" s="64"/>
      <c r="GJT21" s="64"/>
      <c r="GJU21" s="64"/>
      <c r="GJV21" s="64"/>
      <c r="GJW21" s="64"/>
      <c r="GJX21" s="64"/>
      <c r="GJY21" s="64"/>
      <c r="GJZ21" s="64"/>
      <c r="GKA21" s="64"/>
      <c r="GKB21" s="64"/>
      <c r="GKC21" s="64"/>
      <c r="GKD21" s="64"/>
      <c r="GKE21" s="64"/>
      <c r="GKF21" s="64"/>
      <c r="GKG21" s="64"/>
      <c r="GKH21" s="64"/>
      <c r="GKI21" s="64"/>
      <c r="GKJ21" s="64"/>
      <c r="GKK21" s="64"/>
      <c r="GKL21" s="64"/>
      <c r="GKM21" s="64"/>
      <c r="GKN21" s="64"/>
      <c r="GKO21" s="64"/>
      <c r="GKP21" s="64"/>
      <c r="GKQ21" s="64"/>
      <c r="GKR21" s="64"/>
      <c r="GKS21" s="64"/>
      <c r="GKT21" s="64"/>
      <c r="GKU21" s="64"/>
      <c r="GKV21" s="64"/>
      <c r="GKW21" s="64"/>
      <c r="GKX21" s="64"/>
      <c r="GKY21" s="64"/>
      <c r="GKZ21" s="64"/>
      <c r="GLA21" s="64"/>
      <c r="GLB21" s="64"/>
      <c r="GLC21" s="64"/>
      <c r="GLD21" s="64"/>
      <c r="GLE21" s="64"/>
      <c r="GLF21" s="64"/>
      <c r="GLG21" s="64"/>
      <c r="GLH21" s="64"/>
      <c r="GLI21" s="64"/>
      <c r="GLJ21" s="64"/>
      <c r="GLK21" s="64"/>
      <c r="GLL21" s="64"/>
      <c r="GLM21" s="64"/>
      <c r="GLN21" s="64"/>
      <c r="GLO21" s="64"/>
      <c r="GLP21" s="64"/>
      <c r="GLQ21" s="64"/>
      <c r="GLR21" s="64"/>
      <c r="GLS21" s="64"/>
      <c r="GLT21" s="64"/>
      <c r="GLU21" s="64"/>
      <c r="GLV21" s="64"/>
      <c r="GLW21" s="64"/>
      <c r="GLX21" s="64"/>
      <c r="GLY21" s="64"/>
      <c r="GLZ21" s="64"/>
      <c r="GMA21" s="64"/>
      <c r="GMB21" s="64"/>
      <c r="GMC21" s="64"/>
      <c r="GMD21" s="64"/>
      <c r="GME21" s="64"/>
      <c r="GMF21" s="64"/>
      <c r="GMG21" s="64"/>
      <c r="GMH21" s="64"/>
      <c r="GMI21" s="64"/>
      <c r="GMJ21" s="64"/>
      <c r="GMK21" s="64"/>
      <c r="GML21" s="64"/>
      <c r="GMM21" s="64"/>
      <c r="GMN21" s="64"/>
      <c r="GMO21" s="64"/>
      <c r="GMP21" s="64"/>
      <c r="GMQ21" s="64"/>
      <c r="GMR21" s="64"/>
      <c r="GMS21" s="64"/>
      <c r="GMT21" s="64"/>
      <c r="GMU21" s="64"/>
      <c r="GMV21" s="64"/>
      <c r="GMW21" s="64"/>
      <c r="GMX21" s="64"/>
      <c r="GMY21" s="64"/>
      <c r="GMZ21" s="64"/>
      <c r="GNA21" s="64"/>
      <c r="GNB21" s="64"/>
      <c r="GNC21" s="64"/>
      <c r="GND21" s="64"/>
      <c r="GNE21" s="64"/>
      <c r="GNF21" s="64"/>
      <c r="GNG21" s="64"/>
      <c r="GNH21" s="64"/>
      <c r="GNI21" s="64"/>
      <c r="GNJ21" s="64"/>
      <c r="GNK21" s="64"/>
      <c r="GNL21" s="64"/>
      <c r="GNM21" s="64"/>
      <c r="GNN21" s="64"/>
      <c r="GNO21" s="64"/>
      <c r="GNP21" s="64"/>
      <c r="GNQ21" s="64"/>
      <c r="GNR21" s="64"/>
      <c r="GNS21" s="64"/>
      <c r="GNT21" s="64"/>
      <c r="GNU21" s="64"/>
      <c r="GNV21" s="64"/>
      <c r="GNW21" s="64"/>
      <c r="GNX21" s="64"/>
      <c r="GNY21" s="64"/>
      <c r="GNZ21" s="64"/>
      <c r="GOA21" s="64"/>
      <c r="GOB21" s="64"/>
      <c r="GOC21" s="64"/>
      <c r="GOD21" s="64"/>
      <c r="GOE21" s="64"/>
      <c r="GOF21" s="64"/>
      <c r="GOG21" s="64"/>
      <c r="GOH21" s="64"/>
      <c r="GOI21" s="64"/>
      <c r="GOJ21" s="64"/>
      <c r="GOK21" s="64"/>
      <c r="GOL21" s="64"/>
      <c r="GOM21" s="64"/>
      <c r="GON21" s="64"/>
      <c r="GOO21" s="64"/>
      <c r="GOP21" s="64"/>
      <c r="GOQ21" s="64"/>
      <c r="GOR21" s="64"/>
      <c r="GOS21" s="64"/>
      <c r="GOT21" s="64"/>
      <c r="GOU21" s="64"/>
      <c r="GOV21" s="64"/>
      <c r="GOW21" s="64"/>
      <c r="GOX21" s="64"/>
      <c r="GOY21" s="64"/>
      <c r="GOZ21" s="64"/>
      <c r="GPA21" s="64"/>
      <c r="GPB21" s="64"/>
      <c r="GPC21" s="64"/>
      <c r="GPD21" s="64"/>
      <c r="GPE21" s="64"/>
      <c r="GPF21" s="64"/>
      <c r="GPG21" s="64"/>
      <c r="GPH21" s="64"/>
      <c r="GPI21" s="64"/>
      <c r="GPJ21" s="64"/>
      <c r="GPK21" s="64"/>
      <c r="GPL21" s="64"/>
      <c r="GPM21" s="64"/>
      <c r="GPN21" s="64"/>
      <c r="GPO21" s="64"/>
      <c r="GPP21" s="64"/>
      <c r="GPQ21" s="64"/>
      <c r="GPR21" s="64"/>
      <c r="GPS21" s="64"/>
      <c r="GPT21" s="64"/>
      <c r="GPU21" s="64"/>
      <c r="GPV21" s="64"/>
      <c r="GPW21" s="64"/>
      <c r="GPX21" s="64"/>
      <c r="GPY21" s="64"/>
      <c r="GPZ21" s="64"/>
      <c r="GQA21" s="64"/>
      <c r="GQB21" s="64"/>
      <c r="GQC21" s="64"/>
      <c r="GQD21" s="64"/>
      <c r="GQE21" s="64"/>
      <c r="GQF21" s="64"/>
      <c r="GQG21" s="64"/>
      <c r="GQH21" s="64"/>
      <c r="GQI21" s="64"/>
      <c r="GQJ21" s="64"/>
      <c r="GQK21" s="64"/>
      <c r="GQL21" s="64"/>
      <c r="GQM21" s="64"/>
      <c r="GQN21" s="64"/>
      <c r="GQO21" s="64"/>
      <c r="GQP21" s="64"/>
      <c r="GQQ21" s="64"/>
      <c r="GQR21" s="64"/>
      <c r="GQS21" s="64"/>
      <c r="GQT21" s="64"/>
      <c r="GQU21" s="64"/>
      <c r="GQV21" s="64"/>
      <c r="GQW21" s="64"/>
      <c r="GQX21" s="64"/>
      <c r="GQY21" s="64"/>
      <c r="GQZ21" s="64"/>
      <c r="GRA21" s="64"/>
      <c r="GRB21" s="64"/>
      <c r="GRC21" s="64"/>
      <c r="GRD21" s="64"/>
      <c r="GRE21" s="64"/>
      <c r="GRF21" s="64"/>
      <c r="GRG21" s="64"/>
      <c r="GRH21" s="64"/>
      <c r="GRI21" s="64"/>
      <c r="GRJ21" s="64"/>
      <c r="GRK21" s="64"/>
      <c r="GRL21" s="64"/>
      <c r="GRM21" s="64"/>
      <c r="GRN21" s="64"/>
      <c r="GRO21" s="64"/>
      <c r="GRP21" s="64"/>
      <c r="GRQ21" s="64"/>
      <c r="GRR21" s="64"/>
      <c r="GRS21" s="64"/>
      <c r="GRT21" s="64"/>
      <c r="GRU21" s="64"/>
      <c r="GRV21" s="64"/>
      <c r="GRW21" s="64"/>
      <c r="GRX21" s="64"/>
      <c r="GRY21" s="64"/>
      <c r="GRZ21" s="64"/>
      <c r="GSA21" s="64"/>
      <c r="GSB21" s="64"/>
      <c r="GSC21" s="64"/>
      <c r="GSD21" s="64"/>
      <c r="GSE21" s="64"/>
      <c r="GSF21" s="64"/>
      <c r="GSG21" s="64"/>
      <c r="GSH21" s="64"/>
      <c r="GSI21" s="64"/>
      <c r="GSJ21" s="64"/>
      <c r="GSK21" s="64"/>
      <c r="GSL21" s="64"/>
      <c r="GSM21" s="64"/>
      <c r="GSN21" s="64"/>
      <c r="GSO21" s="64"/>
      <c r="GSP21" s="64"/>
      <c r="GSQ21" s="64"/>
      <c r="GSR21" s="64"/>
      <c r="GSS21" s="64"/>
      <c r="GST21" s="64"/>
      <c r="GSU21" s="64"/>
      <c r="GSV21" s="64"/>
      <c r="GSW21" s="64"/>
      <c r="GSX21" s="64"/>
      <c r="GSY21" s="64"/>
      <c r="GSZ21" s="64"/>
      <c r="GTA21" s="64"/>
      <c r="GTB21" s="64"/>
      <c r="GTC21" s="64"/>
      <c r="GTD21" s="64"/>
      <c r="GTE21" s="64"/>
      <c r="GTF21" s="64"/>
      <c r="GTG21" s="64"/>
      <c r="GTH21" s="64"/>
      <c r="GTI21" s="64"/>
      <c r="GTJ21" s="64"/>
      <c r="GTK21" s="64"/>
      <c r="GTL21" s="64"/>
      <c r="GTM21" s="64"/>
      <c r="GTN21" s="64"/>
      <c r="GTO21" s="64"/>
      <c r="GTP21" s="64"/>
      <c r="GTQ21" s="64"/>
      <c r="GTR21" s="64"/>
      <c r="GTS21" s="64"/>
      <c r="GTT21" s="64"/>
      <c r="GTU21" s="64"/>
      <c r="GTV21" s="64"/>
      <c r="GTW21" s="64"/>
      <c r="GTX21" s="64"/>
      <c r="GTY21" s="64"/>
      <c r="GTZ21" s="64"/>
      <c r="GUA21" s="64"/>
      <c r="GUB21" s="64"/>
      <c r="GUC21" s="64"/>
      <c r="GUD21" s="64"/>
      <c r="GUE21" s="64"/>
      <c r="GUF21" s="64"/>
      <c r="GUG21" s="64"/>
      <c r="GUH21" s="64"/>
      <c r="GUI21" s="64"/>
      <c r="GUJ21" s="64"/>
      <c r="GUK21" s="64"/>
      <c r="GUL21" s="64"/>
      <c r="GUM21" s="64"/>
      <c r="GUN21" s="64"/>
      <c r="GUO21" s="64"/>
      <c r="GUP21" s="64"/>
      <c r="GUQ21" s="64"/>
      <c r="GUR21" s="64"/>
      <c r="GUS21" s="64"/>
      <c r="GUT21" s="64"/>
      <c r="GUU21" s="64"/>
      <c r="GUV21" s="64"/>
      <c r="GUW21" s="64"/>
      <c r="GUX21" s="64"/>
      <c r="GUY21" s="64"/>
      <c r="GUZ21" s="64"/>
      <c r="GVA21" s="64"/>
      <c r="GVB21" s="64"/>
      <c r="GVC21" s="64"/>
      <c r="GVD21" s="64"/>
      <c r="GVE21" s="64"/>
      <c r="GVF21" s="64"/>
      <c r="GVG21" s="64"/>
      <c r="GVH21" s="64"/>
      <c r="GVI21" s="64"/>
      <c r="GVJ21" s="64"/>
      <c r="GVK21" s="64"/>
      <c r="GVL21" s="64"/>
      <c r="GVM21" s="64"/>
      <c r="GVN21" s="64"/>
      <c r="GVO21" s="64"/>
      <c r="GVP21" s="64"/>
      <c r="GVQ21" s="64"/>
      <c r="GVR21" s="64"/>
      <c r="GVS21" s="64"/>
      <c r="GVT21" s="64"/>
      <c r="GVU21" s="64"/>
      <c r="GVV21" s="64"/>
      <c r="GVW21" s="64"/>
      <c r="GVX21" s="64"/>
      <c r="GVY21" s="64"/>
      <c r="GVZ21" s="64"/>
      <c r="GWA21" s="64"/>
      <c r="GWB21" s="64"/>
      <c r="GWC21" s="64"/>
      <c r="GWD21" s="64"/>
      <c r="GWE21" s="64"/>
      <c r="GWF21" s="64"/>
      <c r="GWG21" s="64"/>
      <c r="GWH21" s="64"/>
      <c r="GWI21" s="64"/>
      <c r="GWJ21" s="64"/>
      <c r="GWK21" s="64"/>
      <c r="GWL21" s="64"/>
      <c r="GWM21" s="64"/>
      <c r="GWN21" s="64"/>
      <c r="GWO21" s="64"/>
      <c r="GWP21" s="64"/>
      <c r="GWQ21" s="64"/>
      <c r="GWR21" s="64"/>
      <c r="GWS21" s="64"/>
      <c r="GWT21" s="64"/>
      <c r="GWU21" s="64"/>
      <c r="GWV21" s="64"/>
      <c r="GWW21" s="64"/>
      <c r="GWX21" s="64"/>
      <c r="GWY21" s="64"/>
      <c r="GWZ21" s="64"/>
      <c r="GXA21" s="64"/>
      <c r="GXB21" s="64"/>
      <c r="GXC21" s="64"/>
      <c r="GXD21" s="64"/>
      <c r="GXE21" s="64"/>
      <c r="GXF21" s="64"/>
      <c r="GXG21" s="64"/>
      <c r="GXH21" s="64"/>
      <c r="GXI21" s="64"/>
      <c r="GXJ21" s="64"/>
      <c r="GXK21" s="64"/>
      <c r="GXL21" s="64"/>
      <c r="GXM21" s="64"/>
      <c r="GXN21" s="64"/>
      <c r="GXO21" s="64"/>
      <c r="GXP21" s="64"/>
      <c r="GXQ21" s="64"/>
      <c r="GXR21" s="64"/>
      <c r="GXS21" s="64"/>
      <c r="GXT21" s="64"/>
      <c r="GXU21" s="64"/>
      <c r="GXV21" s="64"/>
      <c r="GXW21" s="64"/>
      <c r="GXX21" s="64"/>
      <c r="GXY21" s="64"/>
      <c r="GXZ21" s="64"/>
      <c r="GYA21" s="64"/>
      <c r="GYB21" s="64"/>
      <c r="GYC21" s="64"/>
      <c r="GYD21" s="64"/>
      <c r="GYE21" s="64"/>
      <c r="GYF21" s="64"/>
      <c r="GYG21" s="64"/>
      <c r="GYH21" s="64"/>
      <c r="GYI21" s="64"/>
      <c r="GYJ21" s="64"/>
      <c r="GYK21" s="64"/>
      <c r="GYL21" s="64"/>
      <c r="GYM21" s="64"/>
      <c r="GYN21" s="64"/>
      <c r="GYO21" s="64"/>
      <c r="GYP21" s="64"/>
      <c r="GYQ21" s="64"/>
      <c r="GYR21" s="64"/>
      <c r="GYS21" s="64"/>
      <c r="GYT21" s="64"/>
      <c r="GYU21" s="64"/>
      <c r="GYV21" s="64"/>
      <c r="GYW21" s="64"/>
      <c r="GYX21" s="64"/>
      <c r="GYY21" s="64"/>
      <c r="GYZ21" s="64"/>
      <c r="GZA21" s="64"/>
      <c r="GZB21" s="64"/>
      <c r="GZC21" s="64"/>
      <c r="GZD21" s="64"/>
      <c r="GZE21" s="64"/>
      <c r="GZF21" s="64"/>
      <c r="GZG21" s="64"/>
      <c r="GZH21" s="64"/>
      <c r="GZI21" s="64"/>
      <c r="GZJ21" s="64"/>
      <c r="GZK21" s="64"/>
      <c r="GZL21" s="64"/>
      <c r="GZM21" s="64"/>
      <c r="GZN21" s="64"/>
      <c r="GZO21" s="64"/>
      <c r="GZP21" s="64"/>
      <c r="GZQ21" s="64"/>
      <c r="GZR21" s="64"/>
      <c r="GZS21" s="64"/>
      <c r="GZT21" s="64"/>
      <c r="GZU21" s="64"/>
      <c r="GZV21" s="64"/>
      <c r="GZW21" s="64"/>
      <c r="GZX21" s="64"/>
      <c r="GZY21" s="64"/>
      <c r="GZZ21" s="64"/>
      <c r="HAA21" s="64"/>
      <c r="HAB21" s="64"/>
      <c r="HAC21" s="64"/>
      <c r="HAD21" s="64"/>
      <c r="HAE21" s="64"/>
      <c r="HAF21" s="64"/>
      <c r="HAG21" s="64"/>
      <c r="HAH21" s="64"/>
      <c r="HAI21" s="64"/>
      <c r="HAJ21" s="64"/>
      <c r="HAK21" s="64"/>
      <c r="HAL21" s="64"/>
      <c r="HAM21" s="64"/>
      <c r="HAN21" s="64"/>
      <c r="HAO21" s="64"/>
      <c r="HAP21" s="64"/>
      <c r="HAQ21" s="64"/>
      <c r="HAR21" s="64"/>
      <c r="HAS21" s="64"/>
      <c r="HAT21" s="64"/>
      <c r="HAU21" s="64"/>
      <c r="HAV21" s="64"/>
      <c r="HAW21" s="64"/>
      <c r="HAX21" s="64"/>
      <c r="HAY21" s="64"/>
      <c r="HAZ21" s="64"/>
      <c r="HBA21" s="64"/>
      <c r="HBB21" s="64"/>
      <c r="HBC21" s="64"/>
      <c r="HBD21" s="64"/>
      <c r="HBE21" s="64"/>
      <c r="HBF21" s="64"/>
      <c r="HBG21" s="64"/>
      <c r="HBH21" s="64"/>
      <c r="HBI21" s="64"/>
      <c r="HBJ21" s="64"/>
      <c r="HBK21" s="64"/>
      <c r="HBL21" s="64"/>
      <c r="HBM21" s="64"/>
      <c r="HBN21" s="64"/>
      <c r="HBO21" s="64"/>
      <c r="HBP21" s="64"/>
      <c r="HBQ21" s="64"/>
      <c r="HBR21" s="64"/>
      <c r="HBS21" s="64"/>
      <c r="HBT21" s="64"/>
      <c r="HBU21" s="64"/>
      <c r="HBV21" s="64"/>
      <c r="HBW21" s="64"/>
      <c r="HBX21" s="64"/>
      <c r="HBY21" s="64"/>
      <c r="HBZ21" s="64"/>
      <c r="HCA21" s="64"/>
      <c r="HCB21" s="64"/>
      <c r="HCC21" s="64"/>
      <c r="HCD21" s="64"/>
      <c r="HCE21" s="64"/>
      <c r="HCF21" s="64"/>
      <c r="HCG21" s="64"/>
      <c r="HCH21" s="64"/>
      <c r="HCI21" s="64"/>
      <c r="HCJ21" s="64"/>
      <c r="HCK21" s="64"/>
      <c r="HCL21" s="64"/>
      <c r="HCM21" s="64"/>
      <c r="HCN21" s="64"/>
      <c r="HCO21" s="64"/>
      <c r="HCP21" s="64"/>
      <c r="HCQ21" s="64"/>
      <c r="HCR21" s="64"/>
      <c r="HCS21" s="64"/>
      <c r="HCT21" s="64"/>
      <c r="HCU21" s="64"/>
      <c r="HCV21" s="64"/>
      <c r="HCW21" s="64"/>
      <c r="HCX21" s="64"/>
      <c r="HCY21" s="64"/>
      <c r="HCZ21" s="64"/>
      <c r="HDA21" s="64"/>
      <c r="HDB21" s="64"/>
      <c r="HDC21" s="64"/>
      <c r="HDD21" s="64"/>
      <c r="HDE21" s="64"/>
      <c r="HDF21" s="64"/>
      <c r="HDG21" s="64"/>
      <c r="HDH21" s="64"/>
      <c r="HDI21" s="64"/>
      <c r="HDJ21" s="64"/>
      <c r="HDK21" s="64"/>
      <c r="HDL21" s="64"/>
      <c r="HDM21" s="64"/>
      <c r="HDN21" s="64"/>
      <c r="HDO21" s="64"/>
      <c r="HDP21" s="64"/>
      <c r="HDQ21" s="64"/>
      <c r="HDR21" s="64"/>
      <c r="HDS21" s="64"/>
      <c r="HDT21" s="64"/>
      <c r="HDU21" s="64"/>
      <c r="HDV21" s="64"/>
      <c r="HDW21" s="64"/>
      <c r="HDX21" s="64"/>
      <c r="HDY21" s="64"/>
      <c r="HDZ21" s="64"/>
      <c r="HEA21" s="64"/>
      <c r="HEB21" s="64"/>
      <c r="HEC21" s="64"/>
      <c r="HED21" s="64"/>
      <c r="HEE21" s="64"/>
      <c r="HEF21" s="64"/>
      <c r="HEG21" s="64"/>
      <c r="HEH21" s="64"/>
      <c r="HEI21" s="64"/>
      <c r="HEJ21" s="64"/>
      <c r="HEK21" s="64"/>
      <c r="HEL21" s="64"/>
      <c r="HEM21" s="64"/>
      <c r="HEN21" s="64"/>
      <c r="HEO21" s="64"/>
      <c r="HEP21" s="64"/>
      <c r="HEQ21" s="64"/>
      <c r="HER21" s="64"/>
      <c r="HES21" s="64"/>
      <c r="HET21" s="64"/>
      <c r="HEU21" s="64"/>
      <c r="HEV21" s="64"/>
      <c r="HEW21" s="64"/>
      <c r="HEX21" s="64"/>
      <c r="HEY21" s="64"/>
      <c r="HEZ21" s="64"/>
      <c r="HFA21" s="64"/>
      <c r="HFB21" s="64"/>
      <c r="HFC21" s="64"/>
      <c r="HFD21" s="64"/>
      <c r="HFE21" s="64"/>
      <c r="HFF21" s="64"/>
      <c r="HFG21" s="64"/>
      <c r="HFH21" s="64"/>
      <c r="HFI21" s="64"/>
      <c r="HFJ21" s="64"/>
      <c r="HFK21" s="64"/>
      <c r="HFL21" s="64"/>
      <c r="HFM21" s="64"/>
      <c r="HFN21" s="64"/>
      <c r="HFO21" s="64"/>
      <c r="HFP21" s="64"/>
      <c r="HFQ21" s="64"/>
      <c r="HFR21" s="64"/>
      <c r="HFS21" s="64"/>
      <c r="HFT21" s="64"/>
      <c r="HFU21" s="64"/>
      <c r="HFV21" s="64"/>
      <c r="HFW21" s="64"/>
      <c r="HFX21" s="64"/>
      <c r="HFY21" s="64"/>
      <c r="HFZ21" s="64"/>
      <c r="HGA21" s="64"/>
      <c r="HGB21" s="64"/>
      <c r="HGC21" s="64"/>
      <c r="HGD21" s="64"/>
      <c r="HGE21" s="64"/>
      <c r="HGF21" s="64"/>
      <c r="HGG21" s="64"/>
      <c r="HGH21" s="64"/>
      <c r="HGI21" s="64"/>
      <c r="HGJ21" s="64"/>
      <c r="HGK21" s="64"/>
      <c r="HGL21" s="64"/>
      <c r="HGM21" s="64"/>
      <c r="HGN21" s="64"/>
      <c r="HGO21" s="64"/>
      <c r="HGP21" s="64"/>
      <c r="HGQ21" s="64"/>
      <c r="HGR21" s="64"/>
      <c r="HGS21" s="64"/>
      <c r="HGT21" s="64"/>
      <c r="HGU21" s="64"/>
      <c r="HGV21" s="64"/>
      <c r="HGW21" s="64"/>
      <c r="HGX21" s="64"/>
      <c r="HGY21" s="64"/>
      <c r="HGZ21" s="64"/>
      <c r="HHA21" s="64"/>
      <c r="HHB21" s="64"/>
      <c r="HHC21" s="64"/>
      <c r="HHD21" s="64"/>
      <c r="HHE21" s="64"/>
      <c r="HHF21" s="64"/>
      <c r="HHG21" s="64"/>
      <c r="HHH21" s="64"/>
      <c r="HHI21" s="64"/>
      <c r="HHJ21" s="64"/>
      <c r="HHK21" s="64"/>
      <c r="HHL21" s="64"/>
      <c r="HHM21" s="64"/>
      <c r="HHN21" s="64"/>
      <c r="HHO21" s="64"/>
      <c r="HHP21" s="64"/>
      <c r="HHQ21" s="64"/>
      <c r="HHR21" s="64"/>
      <c r="HHS21" s="64"/>
      <c r="HHT21" s="64"/>
      <c r="HHU21" s="64"/>
      <c r="HHV21" s="64"/>
      <c r="HHW21" s="64"/>
      <c r="HHX21" s="64"/>
      <c r="HHY21" s="64"/>
      <c r="HHZ21" s="64"/>
      <c r="HIA21" s="64"/>
      <c r="HIB21" s="64"/>
      <c r="HIC21" s="64"/>
      <c r="HID21" s="64"/>
      <c r="HIE21" s="64"/>
      <c r="HIF21" s="64"/>
      <c r="HIG21" s="64"/>
      <c r="HIH21" s="64"/>
      <c r="HII21" s="64"/>
      <c r="HIJ21" s="64"/>
      <c r="HIK21" s="64"/>
      <c r="HIL21" s="64"/>
      <c r="HIM21" s="64"/>
      <c r="HIN21" s="64"/>
      <c r="HIO21" s="64"/>
      <c r="HIP21" s="64"/>
      <c r="HIQ21" s="64"/>
      <c r="HIR21" s="64"/>
      <c r="HIS21" s="64"/>
      <c r="HIT21" s="64"/>
      <c r="HIU21" s="64"/>
      <c r="HIV21" s="64"/>
      <c r="HIW21" s="64"/>
      <c r="HIX21" s="64"/>
      <c r="HIY21" s="64"/>
      <c r="HIZ21" s="64"/>
      <c r="HJA21" s="64"/>
      <c r="HJB21" s="64"/>
      <c r="HJC21" s="64"/>
      <c r="HJD21" s="64"/>
      <c r="HJE21" s="64"/>
      <c r="HJF21" s="64"/>
      <c r="HJG21" s="64"/>
      <c r="HJH21" s="64"/>
      <c r="HJI21" s="64"/>
      <c r="HJJ21" s="64"/>
      <c r="HJK21" s="64"/>
      <c r="HJL21" s="64"/>
      <c r="HJM21" s="64"/>
      <c r="HJN21" s="64"/>
      <c r="HJO21" s="64"/>
      <c r="HJP21" s="64"/>
      <c r="HJQ21" s="64"/>
      <c r="HJR21" s="64"/>
      <c r="HJS21" s="64"/>
      <c r="HJT21" s="64"/>
      <c r="HJU21" s="64"/>
      <c r="HJV21" s="64"/>
      <c r="HJW21" s="64"/>
      <c r="HJX21" s="64"/>
      <c r="HJY21" s="64"/>
      <c r="HJZ21" s="64"/>
      <c r="HKA21" s="64"/>
      <c r="HKB21" s="64"/>
      <c r="HKC21" s="64"/>
      <c r="HKD21" s="64"/>
      <c r="HKE21" s="64"/>
      <c r="HKF21" s="64"/>
      <c r="HKG21" s="64"/>
      <c r="HKH21" s="64"/>
      <c r="HKI21" s="64"/>
      <c r="HKJ21" s="64"/>
      <c r="HKK21" s="64"/>
      <c r="HKL21" s="64"/>
      <c r="HKM21" s="64"/>
      <c r="HKN21" s="64"/>
      <c r="HKO21" s="64"/>
      <c r="HKP21" s="64"/>
      <c r="HKQ21" s="64"/>
      <c r="HKR21" s="64"/>
      <c r="HKS21" s="64"/>
      <c r="HKT21" s="64"/>
      <c r="HKU21" s="64"/>
      <c r="HKV21" s="64"/>
      <c r="HKW21" s="64"/>
      <c r="HKX21" s="64"/>
      <c r="HKY21" s="64"/>
      <c r="HKZ21" s="64"/>
      <c r="HLA21" s="64"/>
      <c r="HLB21" s="64"/>
      <c r="HLC21" s="64"/>
      <c r="HLD21" s="64"/>
      <c r="HLE21" s="64"/>
      <c r="HLF21" s="64"/>
      <c r="HLG21" s="64"/>
      <c r="HLH21" s="64"/>
      <c r="HLI21" s="64"/>
      <c r="HLJ21" s="64"/>
      <c r="HLK21" s="64"/>
      <c r="HLL21" s="64"/>
      <c r="HLM21" s="64"/>
      <c r="HLN21" s="64"/>
      <c r="HLO21" s="64"/>
      <c r="HLP21" s="64"/>
      <c r="HLQ21" s="64"/>
      <c r="HLR21" s="64"/>
      <c r="HLS21" s="64"/>
      <c r="HLT21" s="64"/>
      <c r="HLU21" s="64"/>
      <c r="HLV21" s="64"/>
      <c r="HLW21" s="64"/>
      <c r="HLX21" s="64"/>
      <c r="HLY21" s="64"/>
      <c r="HLZ21" s="64"/>
      <c r="HMA21" s="64"/>
      <c r="HMB21" s="64"/>
      <c r="HMC21" s="64"/>
      <c r="HMD21" s="64"/>
      <c r="HME21" s="64"/>
      <c r="HMF21" s="64"/>
      <c r="HMG21" s="64"/>
      <c r="HMH21" s="64"/>
      <c r="HMI21" s="64"/>
      <c r="HMJ21" s="64"/>
      <c r="HMK21" s="64"/>
      <c r="HML21" s="64"/>
      <c r="HMM21" s="64"/>
      <c r="HMN21" s="64"/>
      <c r="HMO21" s="64"/>
      <c r="HMP21" s="64"/>
      <c r="HMQ21" s="64"/>
      <c r="HMR21" s="64"/>
      <c r="HMS21" s="64"/>
      <c r="HMT21" s="64"/>
      <c r="HMU21" s="64"/>
      <c r="HMV21" s="64"/>
      <c r="HMW21" s="64"/>
      <c r="HMX21" s="64"/>
      <c r="HMY21" s="64"/>
      <c r="HMZ21" s="64"/>
      <c r="HNA21" s="64"/>
      <c r="HNB21" s="64"/>
      <c r="HNC21" s="64"/>
      <c r="HND21" s="64"/>
      <c r="HNE21" s="64"/>
      <c r="HNF21" s="64"/>
      <c r="HNG21" s="64"/>
      <c r="HNH21" s="64"/>
      <c r="HNI21" s="64"/>
      <c r="HNJ21" s="64"/>
      <c r="HNK21" s="64"/>
      <c r="HNL21" s="64"/>
      <c r="HNM21" s="64"/>
      <c r="HNN21" s="64"/>
      <c r="HNO21" s="64"/>
      <c r="HNP21" s="64"/>
      <c r="HNQ21" s="64"/>
      <c r="HNR21" s="64"/>
      <c r="HNS21" s="64"/>
      <c r="HNT21" s="64"/>
      <c r="HNU21" s="64"/>
      <c r="HNV21" s="64"/>
      <c r="HNW21" s="64"/>
      <c r="HNX21" s="64"/>
      <c r="HNY21" s="64"/>
      <c r="HNZ21" s="64"/>
      <c r="HOA21" s="64"/>
      <c r="HOB21" s="64"/>
      <c r="HOC21" s="64"/>
      <c r="HOD21" s="64"/>
      <c r="HOE21" s="64"/>
      <c r="HOF21" s="64"/>
      <c r="HOG21" s="64"/>
      <c r="HOH21" s="64"/>
      <c r="HOI21" s="64"/>
      <c r="HOJ21" s="64"/>
      <c r="HOK21" s="64"/>
      <c r="HOL21" s="64"/>
      <c r="HOM21" s="64"/>
      <c r="HON21" s="64"/>
      <c r="HOO21" s="64"/>
      <c r="HOP21" s="64"/>
      <c r="HOQ21" s="64"/>
      <c r="HOR21" s="64"/>
      <c r="HOS21" s="64"/>
      <c r="HOT21" s="64"/>
      <c r="HOU21" s="64"/>
      <c r="HOV21" s="64"/>
      <c r="HOW21" s="64"/>
      <c r="HOX21" s="64"/>
      <c r="HOY21" s="64"/>
      <c r="HOZ21" s="64"/>
      <c r="HPA21" s="64"/>
      <c r="HPB21" s="64"/>
      <c r="HPC21" s="64"/>
      <c r="HPD21" s="64"/>
      <c r="HPE21" s="64"/>
      <c r="HPF21" s="64"/>
      <c r="HPG21" s="64"/>
      <c r="HPH21" s="64"/>
      <c r="HPI21" s="64"/>
      <c r="HPJ21" s="64"/>
      <c r="HPK21" s="64"/>
      <c r="HPL21" s="64"/>
      <c r="HPM21" s="64"/>
      <c r="HPN21" s="64"/>
      <c r="HPO21" s="64"/>
      <c r="HPP21" s="64"/>
      <c r="HPQ21" s="64"/>
      <c r="HPR21" s="64"/>
      <c r="HPS21" s="64"/>
      <c r="HPT21" s="64"/>
      <c r="HPU21" s="64"/>
      <c r="HPV21" s="64"/>
      <c r="HPW21" s="64"/>
      <c r="HPX21" s="64"/>
      <c r="HPY21" s="64"/>
      <c r="HPZ21" s="64"/>
      <c r="HQA21" s="64"/>
      <c r="HQB21" s="64"/>
      <c r="HQC21" s="64"/>
      <c r="HQD21" s="64"/>
      <c r="HQE21" s="64"/>
      <c r="HQF21" s="64"/>
      <c r="HQG21" s="64"/>
      <c r="HQH21" s="64"/>
      <c r="HQI21" s="64"/>
      <c r="HQJ21" s="64"/>
      <c r="HQK21" s="64"/>
      <c r="HQL21" s="64"/>
      <c r="HQM21" s="64"/>
      <c r="HQN21" s="64"/>
      <c r="HQO21" s="64"/>
      <c r="HQP21" s="64"/>
      <c r="HQQ21" s="64"/>
      <c r="HQR21" s="64"/>
      <c r="HQS21" s="64"/>
      <c r="HQT21" s="64"/>
      <c r="HQU21" s="64"/>
      <c r="HQV21" s="64"/>
      <c r="HQW21" s="64"/>
      <c r="HQX21" s="64"/>
      <c r="HQY21" s="64"/>
      <c r="HQZ21" s="64"/>
      <c r="HRA21" s="64"/>
      <c r="HRB21" s="64"/>
      <c r="HRC21" s="64"/>
      <c r="HRD21" s="64"/>
      <c r="HRE21" s="64"/>
      <c r="HRF21" s="64"/>
      <c r="HRG21" s="64"/>
      <c r="HRH21" s="64"/>
      <c r="HRI21" s="64"/>
      <c r="HRJ21" s="64"/>
      <c r="HRK21" s="64"/>
      <c r="HRL21" s="64"/>
      <c r="HRM21" s="64"/>
      <c r="HRN21" s="64"/>
      <c r="HRO21" s="64"/>
      <c r="HRP21" s="64"/>
      <c r="HRQ21" s="64"/>
      <c r="HRR21" s="64"/>
      <c r="HRS21" s="64"/>
      <c r="HRT21" s="64"/>
      <c r="HRU21" s="64"/>
      <c r="HRV21" s="64"/>
      <c r="HRW21" s="64"/>
      <c r="HRX21" s="64"/>
      <c r="HRY21" s="64"/>
      <c r="HRZ21" s="64"/>
      <c r="HSA21" s="64"/>
      <c r="HSB21" s="64"/>
      <c r="HSC21" s="64"/>
      <c r="HSD21" s="64"/>
      <c r="HSE21" s="64"/>
      <c r="HSF21" s="64"/>
      <c r="HSG21" s="64"/>
      <c r="HSH21" s="64"/>
      <c r="HSI21" s="64"/>
      <c r="HSJ21" s="64"/>
      <c r="HSK21" s="64"/>
      <c r="HSL21" s="64"/>
      <c r="HSM21" s="64"/>
      <c r="HSN21" s="64"/>
      <c r="HSO21" s="64"/>
      <c r="HSP21" s="64"/>
      <c r="HSQ21" s="64"/>
      <c r="HSR21" s="64"/>
      <c r="HSS21" s="64"/>
      <c r="HST21" s="64"/>
      <c r="HSU21" s="64"/>
      <c r="HSV21" s="64"/>
      <c r="HSW21" s="64"/>
      <c r="HSX21" s="64"/>
      <c r="HSY21" s="64"/>
      <c r="HSZ21" s="64"/>
      <c r="HTA21" s="64"/>
      <c r="HTB21" s="64"/>
      <c r="HTC21" s="64"/>
      <c r="HTD21" s="64"/>
      <c r="HTE21" s="64"/>
      <c r="HTF21" s="64"/>
      <c r="HTG21" s="64"/>
      <c r="HTH21" s="64"/>
      <c r="HTI21" s="64"/>
      <c r="HTJ21" s="64"/>
      <c r="HTK21" s="64"/>
      <c r="HTL21" s="64"/>
      <c r="HTM21" s="64"/>
      <c r="HTN21" s="64"/>
      <c r="HTO21" s="64"/>
      <c r="HTP21" s="64"/>
      <c r="HTQ21" s="64"/>
      <c r="HTR21" s="64"/>
      <c r="HTS21" s="64"/>
      <c r="HTT21" s="64"/>
      <c r="HTU21" s="64"/>
      <c r="HTV21" s="64"/>
      <c r="HTW21" s="64"/>
      <c r="HTX21" s="64"/>
      <c r="HTY21" s="64"/>
      <c r="HTZ21" s="64"/>
      <c r="HUA21" s="64"/>
      <c r="HUB21" s="64"/>
      <c r="HUC21" s="64"/>
      <c r="HUD21" s="64"/>
      <c r="HUE21" s="64"/>
      <c r="HUF21" s="64"/>
      <c r="HUG21" s="64"/>
      <c r="HUH21" s="64"/>
      <c r="HUI21" s="64"/>
      <c r="HUJ21" s="64"/>
      <c r="HUK21" s="64"/>
      <c r="HUL21" s="64"/>
      <c r="HUM21" s="64"/>
      <c r="HUN21" s="64"/>
      <c r="HUO21" s="64"/>
      <c r="HUP21" s="64"/>
      <c r="HUQ21" s="64"/>
      <c r="HUR21" s="64"/>
      <c r="HUS21" s="64"/>
      <c r="HUT21" s="64"/>
      <c r="HUU21" s="64"/>
      <c r="HUV21" s="64"/>
      <c r="HUW21" s="64"/>
      <c r="HUX21" s="64"/>
      <c r="HUY21" s="64"/>
      <c r="HUZ21" s="64"/>
      <c r="HVA21" s="64"/>
      <c r="HVB21" s="64"/>
      <c r="HVC21" s="64"/>
      <c r="HVD21" s="64"/>
      <c r="HVE21" s="64"/>
      <c r="HVF21" s="64"/>
      <c r="HVG21" s="64"/>
      <c r="HVH21" s="64"/>
      <c r="HVI21" s="64"/>
      <c r="HVJ21" s="64"/>
      <c r="HVK21" s="64"/>
      <c r="HVL21" s="64"/>
      <c r="HVM21" s="64"/>
      <c r="HVN21" s="64"/>
      <c r="HVO21" s="64"/>
      <c r="HVP21" s="64"/>
      <c r="HVQ21" s="64"/>
      <c r="HVR21" s="64"/>
      <c r="HVS21" s="64"/>
      <c r="HVT21" s="64"/>
      <c r="HVU21" s="64"/>
      <c r="HVV21" s="64"/>
      <c r="HVW21" s="64"/>
      <c r="HVX21" s="64"/>
      <c r="HVY21" s="64"/>
      <c r="HVZ21" s="64"/>
      <c r="HWA21" s="64"/>
      <c r="HWB21" s="64"/>
      <c r="HWC21" s="64"/>
      <c r="HWD21" s="64"/>
      <c r="HWE21" s="64"/>
      <c r="HWF21" s="64"/>
      <c r="HWG21" s="64"/>
      <c r="HWH21" s="64"/>
      <c r="HWI21" s="64"/>
      <c r="HWJ21" s="64"/>
      <c r="HWK21" s="64"/>
      <c r="HWL21" s="64"/>
      <c r="HWM21" s="64"/>
      <c r="HWN21" s="64"/>
      <c r="HWO21" s="64"/>
      <c r="HWP21" s="64"/>
      <c r="HWQ21" s="64"/>
      <c r="HWR21" s="64"/>
      <c r="HWS21" s="64"/>
      <c r="HWT21" s="64"/>
      <c r="HWU21" s="64"/>
      <c r="HWV21" s="64"/>
      <c r="HWW21" s="64"/>
      <c r="HWX21" s="64"/>
      <c r="HWY21" s="64"/>
      <c r="HWZ21" s="64"/>
      <c r="HXA21" s="64"/>
      <c r="HXB21" s="64"/>
      <c r="HXC21" s="64"/>
      <c r="HXD21" s="64"/>
      <c r="HXE21" s="64"/>
      <c r="HXF21" s="64"/>
      <c r="HXG21" s="64"/>
      <c r="HXH21" s="64"/>
      <c r="HXI21" s="64"/>
      <c r="HXJ21" s="64"/>
      <c r="HXK21" s="64"/>
      <c r="HXL21" s="64"/>
      <c r="HXM21" s="64"/>
      <c r="HXN21" s="64"/>
      <c r="HXO21" s="64"/>
      <c r="HXP21" s="64"/>
      <c r="HXQ21" s="64"/>
      <c r="HXR21" s="64"/>
      <c r="HXS21" s="64"/>
      <c r="HXT21" s="64"/>
      <c r="HXU21" s="64"/>
      <c r="HXV21" s="64"/>
      <c r="HXW21" s="64"/>
      <c r="HXX21" s="64"/>
      <c r="HXY21" s="64"/>
      <c r="HXZ21" s="64"/>
      <c r="HYA21" s="64"/>
      <c r="HYB21" s="64"/>
      <c r="HYC21" s="64"/>
      <c r="HYD21" s="64"/>
      <c r="HYE21" s="64"/>
      <c r="HYF21" s="64"/>
      <c r="HYG21" s="64"/>
      <c r="HYH21" s="64"/>
      <c r="HYI21" s="64"/>
      <c r="HYJ21" s="64"/>
      <c r="HYK21" s="64"/>
      <c r="HYL21" s="64"/>
      <c r="HYM21" s="64"/>
      <c r="HYN21" s="64"/>
      <c r="HYO21" s="64"/>
      <c r="HYP21" s="64"/>
      <c r="HYQ21" s="64"/>
      <c r="HYR21" s="64"/>
      <c r="HYS21" s="64"/>
      <c r="HYT21" s="64"/>
      <c r="HYU21" s="64"/>
      <c r="HYV21" s="64"/>
      <c r="HYW21" s="64"/>
      <c r="HYX21" s="64"/>
      <c r="HYY21" s="64"/>
      <c r="HYZ21" s="64"/>
      <c r="HZA21" s="64"/>
      <c r="HZB21" s="64"/>
      <c r="HZC21" s="64"/>
      <c r="HZD21" s="64"/>
      <c r="HZE21" s="64"/>
      <c r="HZF21" s="64"/>
      <c r="HZG21" s="64"/>
      <c r="HZH21" s="64"/>
      <c r="HZI21" s="64"/>
      <c r="HZJ21" s="64"/>
      <c r="HZK21" s="64"/>
      <c r="HZL21" s="64"/>
      <c r="HZM21" s="64"/>
      <c r="HZN21" s="64"/>
      <c r="HZO21" s="64"/>
      <c r="HZP21" s="64"/>
      <c r="HZQ21" s="64"/>
      <c r="HZR21" s="64"/>
      <c r="HZS21" s="64"/>
      <c r="HZT21" s="64"/>
      <c r="HZU21" s="64"/>
      <c r="HZV21" s="64"/>
      <c r="HZW21" s="64"/>
      <c r="HZX21" s="64"/>
      <c r="HZY21" s="64"/>
      <c r="HZZ21" s="64"/>
      <c r="IAA21" s="64"/>
      <c r="IAB21" s="64"/>
      <c r="IAC21" s="64"/>
      <c r="IAD21" s="64"/>
      <c r="IAE21" s="64"/>
      <c r="IAF21" s="64"/>
      <c r="IAG21" s="64"/>
      <c r="IAH21" s="64"/>
      <c r="IAI21" s="64"/>
      <c r="IAJ21" s="64"/>
      <c r="IAK21" s="64"/>
      <c r="IAL21" s="64"/>
      <c r="IAM21" s="64"/>
      <c r="IAN21" s="64"/>
      <c r="IAO21" s="64"/>
      <c r="IAP21" s="64"/>
      <c r="IAQ21" s="64"/>
      <c r="IAR21" s="64"/>
      <c r="IAS21" s="64"/>
      <c r="IAT21" s="64"/>
      <c r="IAU21" s="64"/>
      <c r="IAV21" s="64"/>
      <c r="IAW21" s="64"/>
      <c r="IAX21" s="64"/>
      <c r="IAY21" s="64"/>
      <c r="IAZ21" s="64"/>
      <c r="IBA21" s="64"/>
      <c r="IBB21" s="64"/>
      <c r="IBC21" s="64"/>
      <c r="IBD21" s="64"/>
      <c r="IBE21" s="64"/>
      <c r="IBF21" s="64"/>
      <c r="IBG21" s="64"/>
      <c r="IBH21" s="64"/>
      <c r="IBI21" s="64"/>
      <c r="IBJ21" s="64"/>
      <c r="IBK21" s="64"/>
      <c r="IBL21" s="64"/>
      <c r="IBM21" s="64"/>
      <c r="IBN21" s="64"/>
      <c r="IBO21" s="64"/>
      <c r="IBP21" s="64"/>
      <c r="IBQ21" s="64"/>
      <c r="IBR21" s="64"/>
      <c r="IBS21" s="64"/>
      <c r="IBT21" s="64"/>
      <c r="IBU21" s="64"/>
      <c r="IBV21" s="64"/>
      <c r="IBW21" s="64"/>
      <c r="IBX21" s="64"/>
      <c r="IBY21" s="64"/>
      <c r="IBZ21" s="64"/>
      <c r="ICA21" s="64"/>
      <c r="ICB21" s="64"/>
      <c r="ICC21" s="64"/>
      <c r="ICD21" s="64"/>
      <c r="ICE21" s="64"/>
      <c r="ICF21" s="64"/>
      <c r="ICG21" s="64"/>
      <c r="ICH21" s="64"/>
      <c r="ICI21" s="64"/>
      <c r="ICJ21" s="64"/>
      <c r="ICK21" s="64"/>
      <c r="ICL21" s="64"/>
      <c r="ICM21" s="64"/>
      <c r="ICN21" s="64"/>
      <c r="ICO21" s="64"/>
      <c r="ICP21" s="64"/>
      <c r="ICQ21" s="64"/>
      <c r="ICR21" s="64"/>
      <c r="ICS21" s="64"/>
      <c r="ICT21" s="64"/>
      <c r="ICU21" s="64"/>
      <c r="ICV21" s="64"/>
      <c r="ICW21" s="64"/>
      <c r="ICX21" s="64"/>
      <c r="ICY21" s="64"/>
      <c r="ICZ21" s="64"/>
      <c r="IDA21" s="64"/>
      <c r="IDB21" s="64"/>
      <c r="IDC21" s="64"/>
      <c r="IDD21" s="64"/>
      <c r="IDE21" s="64"/>
      <c r="IDF21" s="64"/>
      <c r="IDG21" s="64"/>
      <c r="IDH21" s="64"/>
      <c r="IDI21" s="64"/>
      <c r="IDJ21" s="64"/>
      <c r="IDK21" s="64"/>
      <c r="IDL21" s="64"/>
      <c r="IDM21" s="64"/>
      <c r="IDN21" s="64"/>
      <c r="IDO21" s="64"/>
      <c r="IDP21" s="64"/>
      <c r="IDQ21" s="64"/>
      <c r="IDR21" s="64"/>
      <c r="IDS21" s="64"/>
      <c r="IDT21" s="64"/>
      <c r="IDU21" s="64"/>
      <c r="IDV21" s="64"/>
      <c r="IDW21" s="64"/>
      <c r="IDX21" s="64"/>
      <c r="IDY21" s="64"/>
      <c r="IDZ21" s="64"/>
      <c r="IEA21" s="64"/>
      <c r="IEB21" s="64"/>
      <c r="IEC21" s="64"/>
      <c r="IED21" s="64"/>
      <c r="IEE21" s="64"/>
      <c r="IEF21" s="64"/>
      <c r="IEG21" s="64"/>
      <c r="IEH21" s="64"/>
      <c r="IEI21" s="64"/>
      <c r="IEJ21" s="64"/>
      <c r="IEK21" s="64"/>
      <c r="IEL21" s="64"/>
      <c r="IEM21" s="64"/>
      <c r="IEN21" s="64"/>
      <c r="IEO21" s="64"/>
      <c r="IEP21" s="64"/>
      <c r="IEQ21" s="64"/>
      <c r="IER21" s="64"/>
      <c r="IES21" s="64"/>
      <c r="IET21" s="64"/>
      <c r="IEU21" s="64"/>
      <c r="IEV21" s="64"/>
      <c r="IEW21" s="64"/>
      <c r="IEX21" s="64"/>
      <c r="IEY21" s="64"/>
      <c r="IEZ21" s="64"/>
      <c r="IFA21" s="64"/>
      <c r="IFB21" s="64"/>
      <c r="IFC21" s="64"/>
      <c r="IFD21" s="64"/>
      <c r="IFE21" s="64"/>
      <c r="IFF21" s="64"/>
      <c r="IFG21" s="64"/>
      <c r="IFH21" s="64"/>
      <c r="IFI21" s="64"/>
      <c r="IFJ21" s="64"/>
      <c r="IFK21" s="64"/>
      <c r="IFL21" s="64"/>
      <c r="IFM21" s="64"/>
      <c r="IFN21" s="64"/>
      <c r="IFO21" s="64"/>
      <c r="IFP21" s="64"/>
      <c r="IFQ21" s="64"/>
      <c r="IFR21" s="64"/>
      <c r="IFS21" s="64"/>
      <c r="IFT21" s="64"/>
      <c r="IFU21" s="64"/>
      <c r="IFV21" s="64"/>
      <c r="IFW21" s="64"/>
      <c r="IFX21" s="64"/>
      <c r="IFY21" s="64"/>
      <c r="IFZ21" s="64"/>
      <c r="IGA21" s="64"/>
      <c r="IGB21" s="64"/>
      <c r="IGC21" s="64"/>
      <c r="IGD21" s="64"/>
      <c r="IGE21" s="64"/>
      <c r="IGF21" s="64"/>
      <c r="IGG21" s="64"/>
      <c r="IGH21" s="64"/>
      <c r="IGI21" s="64"/>
      <c r="IGJ21" s="64"/>
      <c r="IGK21" s="64"/>
      <c r="IGL21" s="64"/>
      <c r="IGM21" s="64"/>
      <c r="IGN21" s="64"/>
      <c r="IGO21" s="64"/>
      <c r="IGP21" s="64"/>
      <c r="IGQ21" s="64"/>
      <c r="IGR21" s="64"/>
      <c r="IGS21" s="64"/>
      <c r="IGT21" s="64"/>
      <c r="IGU21" s="64"/>
      <c r="IGV21" s="64"/>
      <c r="IGW21" s="64"/>
      <c r="IGX21" s="64"/>
      <c r="IGY21" s="64"/>
      <c r="IGZ21" s="64"/>
      <c r="IHA21" s="64"/>
      <c r="IHB21" s="64"/>
      <c r="IHC21" s="64"/>
      <c r="IHD21" s="64"/>
      <c r="IHE21" s="64"/>
      <c r="IHF21" s="64"/>
      <c r="IHG21" s="64"/>
      <c r="IHH21" s="64"/>
      <c r="IHI21" s="64"/>
      <c r="IHJ21" s="64"/>
      <c r="IHK21" s="64"/>
      <c r="IHL21" s="64"/>
      <c r="IHM21" s="64"/>
      <c r="IHN21" s="64"/>
      <c r="IHO21" s="64"/>
      <c r="IHP21" s="64"/>
      <c r="IHQ21" s="64"/>
      <c r="IHR21" s="64"/>
      <c r="IHS21" s="64"/>
      <c r="IHT21" s="64"/>
      <c r="IHU21" s="64"/>
      <c r="IHV21" s="64"/>
      <c r="IHW21" s="64"/>
      <c r="IHX21" s="64"/>
      <c r="IHY21" s="64"/>
      <c r="IHZ21" s="64"/>
      <c r="IIA21" s="64"/>
      <c r="IIB21" s="64"/>
      <c r="IIC21" s="64"/>
      <c r="IID21" s="64"/>
      <c r="IIE21" s="64"/>
      <c r="IIF21" s="64"/>
      <c r="IIG21" s="64"/>
      <c r="IIH21" s="64"/>
      <c r="III21" s="64"/>
      <c r="IIJ21" s="64"/>
      <c r="IIK21" s="64"/>
      <c r="IIL21" s="64"/>
      <c r="IIM21" s="64"/>
      <c r="IIN21" s="64"/>
      <c r="IIO21" s="64"/>
      <c r="IIP21" s="64"/>
      <c r="IIQ21" s="64"/>
      <c r="IIR21" s="64"/>
      <c r="IIS21" s="64"/>
      <c r="IIT21" s="64"/>
      <c r="IIU21" s="64"/>
      <c r="IIV21" s="64"/>
      <c r="IIW21" s="64"/>
      <c r="IIX21" s="64"/>
      <c r="IIY21" s="64"/>
      <c r="IIZ21" s="64"/>
      <c r="IJA21" s="64"/>
      <c r="IJB21" s="64"/>
      <c r="IJC21" s="64"/>
      <c r="IJD21" s="64"/>
      <c r="IJE21" s="64"/>
      <c r="IJF21" s="64"/>
      <c r="IJG21" s="64"/>
      <c r="IJH21" s="64"/>
      <c r="IJI21" s="64"/>
      <c r="IJJ21" s="64"/>
      <c r="IJK21" s="64"/>
      <c r="IJL21" s="64"/>
      <c r="IJM21" s="64"/>
      <c r="IJN21" s="64"/>
      <c r="IJO21" s="64"/>
      <c r="IJP21" s="64"/>
      <c r="IJQ21" s="64"/>
      <c r="IJR21" s="64"/>
      <c r="IJS21" s="64"/>
      <c r="IJT21" s="64"/>
      <c r="IJU21" s="64"/>
      <c r="IJV21" s="64"/>
      <c r="IJW21" s="64"/>
      <c r="IJX21" s="64"/>
      <c r="IJY21" s="64"/>
      <c r="IJZ21" s="64"/>
      <c r="IKA21" s="64"/>
      <c r="IKB21" s="64"/>
      <c r="IKC21" s="64"/>
      <c r="IKD21" s="64"/>
      <c r="IKE21" s="64"/>
      <c r="IKF21" s="64"/>
      <c r="IKG21" s="64"/>
      <c r="IKH21" s="64"/>
      <c r="IKI21" s="64"/>
      <c r="IKJ21" s="64"/>
      <c r="IKK21" s="64"/>
      <c r="IKL21" s="64"/>
      <c r="IKM21" s="64"/>
      <c r="IKN21" s="64"/>
      <c r="IKO21" s="64"/>
      <c r="IKP21" s="64"/>
      <c r="IKQ21" s="64"/>
      <c r="IKR21" s="64"/>
      <c r="IKS21" s="64"/>
      <c r="IKT21" s="64"/>
      <c r="IKU21" s="64"/>
      <c r="IKV21" s="64"/>
      <c r="IKW21" s="64"/>
      <c r="IKX21" s="64"/>
      <c r="IKY21" s="64"/>
      <c r="IKZ21" s="64"/>
      <c r="ILA21" s="64"/>
      <c r="ILB21" s="64"/>
      <c r="ILC21" s="64"/>
      <c r="ILD21" s="64"/>
      <c r="ILE21" s="64"/>
      <c r="ILF21" s="64"/>
      <c r="ILG21" s="64"/>
      <c r="ILH21" s="64"/>
      <c r="ILI21" s="64"/>
      <c r="ILJ21" s="64"/>
      <c r="ILK21" s="64"/>
      <c r="ILL21" s="64"/>
      <c r="ILM21" s="64"/>
      <c r="ILN21" s="64"/>
      <c r="ILO21" s="64"/>
      <c r="ILP21" s="64"/>
      <c r="ILQ21" s="64"/>
      <c r="ILR21" s="64"/>
      <c r="ILS21" s="64"/>
      <c r="ILT21" s="64"/>
      <c r="ILU21" s="64"/>
      <c r="ILV21" s="64"/>
      <c r="ILW21" s="64"/>
      <c r="ILX21" s="64"/>
      <c r="ILY21" s="64"/>
      <c r="ILZ21" s="64"/>
      <c r="IMA21" s="64"/>
      <c r="IMB21" s="64"/>
      <c r="IMC21" s="64"/>
      <c r="IMD21" s="64"/>
      <c r="IME21" s="64"/>
      <c r="IMF21" s="64"/>
      <c r="IMG21" s="64"/>
      <c r="IMH21" s="64"/>
      <c r="IMI21" s="64"/>
      <c r="IMJ21" s="64"/>
      <c r="IMK21" s="64"/>
      <c r="IML21" s="64"/>
      <c r="IMM21" s="64"/>
      <c r="IMN21" s="64"/>
      <c r="IMO21" s="64"/>
      <c r="IMP21" s="64"/>
      <c r="IMQ21" s="64"/>
      <c r="IMR21" s="64"/>
      <c r="IMS21" s="64"/>
      <c r="IMT21" s="64"/>
      <c r="IMU21" s="64"/>
      <c r="IMV21" s="64"/>
      <c r="IMW21" s="64"/>
      <c r="IMX21" s="64"/>
      <c r="IMY21" s="64"/>
      <c r="IMZ21" s="64"/>
      <c r="INA21" s="64"/>
      <c r="INB21" s="64"/>
      <c r="INC21" s="64"/>
      <c r="IND21" s="64"/>
      <c r="INE21" s="64"/>
      <c r="INF21" s="64"/>
      <c r="ING21" s="64"/>
      <c r="INH21" s="64"/>
      <c r="INI21" s="64"/>
      <c r="INJ21" s="64"/>
      <c r="INK21" s="64"/>
      <c r="INL21" s="64"/>
      <c r="INM21" s="64"/>
      <c r="INN21" s="64"/>
      <c r="INO21" s="64"/>
      <c r="INP21" s="64"/>
      <c r="INQ21" s="64"/>
      <c r="INR21" s="64"/>
      <c r="INS21" s="64"/>
      <c r="INT21" s="64"/>
      <c r="INU21" s="64"/>
      <c r="INV21" s="64"/>
      <c r="INW21" s="64"/>
      <c r="INX21" s="64"/>
      <c r="INY21" s="64"/>
      <c r="INZ21" s="64"/>
      <c r="IOA21" s="64"/>
      <c r="IOB21" s="64"/>
      <c r="IOC21" s="64"/>
      <c r="IOD21" s="64"/>
      <c r="IOE21" s="64"/>
      <c r="IOF21" s="64"/>
      <c r="IOG21" s="64"/>
      <c r="IOH21" s="64"/>
      <c r="IOI21" s="64"/>
      <c r="IOJ21" s="64"/>
      <c r="IOK21" s="64"/>
      <c r="IOL21" s="64"/>
      <c r="IOM21" s="64"/>
      <c r="ION21" s="64"/>
      <c r="IOO21" s="64"/>
      <c r="IOP21" s="64"/>
      <c r="IOQ21" s="64"/>
      <c r="IOR21" s="64"/>
      <c r="IOS21" s="64"/>
      <c r="IOT21" s="64"/>
      <c r="IOU21" s="64"/>
      <c r="IOV21" s="64"/>
      <c r="IOW21" s="64"/>
      <c r="IOX21" s="64"/>
      <c r="IOY21" s="64"/>
      <c r="IOZ21" s="64"/>
      <c r="IPA21" s="64"/>
      <c r="IPB21" s="64"/>
      <c r="IPC21" s="64"/>
      <c r="IPD21" s="64"/>
      <c r="IPE21" s="64"/>
      <c r="IPF21" s="64"/>
      <c r="IPG21" s="64"/>
      <c r="IPH21" s="64"/>
      <c r="IPI21" s="64"/>
      <c r="IPJ21" s="64"/>
      <c r="IPK21" s="64"/>
      <c r="IPL21" s="64"/>
      <c r="IPM21" s="64"/>
      <c r="IPN21" s="64"/>
      <c r="IPO21" s="64"/>
      <c r="IPP21" s="64"/>
      <c r="IPQ21" s="64"/>
      <c r="IPR21" s="64"/>
      <c r="IPS21" s="64"/>
      <c r="IPT21" s="64"/>
      <c r="IPU21" s="64"/>
      <c r="IPV21" s="64"/>
      <c r="IPW21" s="64"/>
      <c r="IPX21" s="64"/>
      <c r="IPY21" s="64"/>
      <c r="IPZ21" s="64"/>
      <c r="IQA21" s="64"/>
      <c r="IQB21" s="64"/>
      <c r="IQC21" s="64"/>
      <c r="IQD21" s="64"/>
      <c r="IQE21" s="64"/>
      <c r="IQF21" s="64"/>
      <c r="IQG21" s="64"/>
      <c r="IQH21" s="64"/>
      <c r="IQI21" s="64"/>
      <c r="IQJ21" s="64"/>
      <c r="IQK21" s="64"/>
      <c r="IQL21" s="64"/>
      <c r="IQM21" s="64"/>
      <c r="IQN21" s="64"/>
      <c r="IQO21" s="64"/>
      <c r="IQP21" s="64"/>
      <c r="IQQ21" s="64"/>
      <c r="IQR21" s="64"/>
      <c r="IQS21" s="64"/>
      <c r="IQT21" s="64"/>
      <c r="IQU21" s="64"/>
      <c r="IQV21" s="64"/>
      <c r="IQW21" s="64"/>
      <c r="IQX21" s="64"/>
      <c r="IQY21" s="64"/>
      <c r="IQZ21" s="64"/>
      <c r="IRA21" s="64"/>
      <c r="IRB21" s="64"/>
      <c r="IRC21" s="64"/>
      <c r="IRD21" s="64"/>
      <c r="IRE21" s="64"/>
      <c r="IRF21" s="64"/>
      <c r="IRG21" s="64"/>
      <c r="IRH21" s="64"/>
      <c r="IRI21" s="64"/>
      <c r="IRJ21" s="64"/>
      <c r="IRK21" s="64"/>
      <c r="IRL21" s="64"/>
      <c r="IRM21" s="64"/>
      <c r="IRN21" s="64"/>
      <c r="IRO21" s="64"/>
      <c r="IRP21" s="64"/>
      <c r="IRQ21" s="64"/>
      <c r="IRR21" s="64"/>
      <c r="IRS21" s="64"/>
      <c r="IRT21" s="64"/>
      <c r="IRU21" s="64"/>
      <c r="IRV21" s="64"/>
      <c r="IRW21" s="64"/>
      <c r="IRX21" s="64"/>
      <c r="IRY21" s="64"/>
      <c r="IRZ21" s="64"/>
      <c r="ISA21" s="64"/>
      <c r="ISB21" s="64"/>
      <c r="ISC21" s="64"/>
      <c r="ISD21" s="64"/>
      <c r="ISE21" s="64"/>
      <c r="ISF21" s="64"/>
      <c r="ISG21" s="64"/>
      <c r="ISH21" s="64"/>
      <c r="ISI21" s="64"/>
      <c r="ISJ21" s="64"/>
      <c r="ISK21" s="64"/>
      <c r="ISL21" s="64"/>
      <c r="ISM21" s="64"/>
      <c r="ISN21" s="64"/>
      <c r="ISO21" s="64"/>
      <c r="ISP21" s="64"/>
      <c r="ISQ21" s="64"/>
      <c r="ISR21" s="64"/>
      <c r="ISS21" s="64"/>
      <c r="IST21" s="64"/>
      <c r="ISU21" s="64"/>
      <c r="ISV21" s="64"/>
      <c r="ISW21" s="64"/>
      <c r="ISX21" s="64"/>
      <c r="ISY21" s="64"/>
      <c r="ISZ21" s="64"/>
      <c r="ITA21" s="64"/>
      <c r="ITB21" s="64"/>
      <c r="ITC21" s="64"/>
      <c r="ITD21" s="64"/>
      <c r="ITE21" s="64"/>
      <c r="ITF21" s="64"/>
      <c r="ITG21" s="64"/>
      <c r="ITH21" s="64"/>
      <c r="ITI21" s="64"/>
      <c r="ITJ21" s="64"/>
      <c r="ITK21" s="64"/>
      <c r="ITL21" s="64"/>
      <c r="ITM21" s="64"/>
      <c r="ITN21" s="64"/>
      <c r="ITO21" s="64"/>
      <c r="ITP21" s="64"/>
      <c r="ITQ21" s="64"/>
      <c r="ITR21" s="64"/>
      <c r="ITS21" s="64"/>
      <c r="ITT21" s="64"/>
      <c r="ITU21" s="64"/>
      <c r="ITV21" s="64"/>
      <c r="ITW21" s="64"/>
      <c r="ITX21" s="64"/>
      <c r="ITY21" s="64"/>
      <c r="ITZ21" s="64"/>
      <c r="IUA21" s="64"/>
      <c r="IUB21" s="64"/>
      <c r="IUC21" s="64"/>
      <c r="IUD21" s="64"/>
      <c r="IUE21" s="64"/>
      <c r="IUF21" s="64"/>
      <c r="IUG21" s="64"/>
      <c r="IUH21" s="64"/>
      <c r="IUI21" s="64"/>
      <c r="IUJ21" s="64"/>
      <c r="IUK21" s="64"/>
      <c r="IUL21" s="64"/>
      <c r="IUM21" s="64"/>
      <c r="IUN21" s="64"/>
      <c r="IUO21" s="64"/>
      <c r="IUP21" s="64"/>
      <c r="IUQ21" s="64"/>
      <c r="IUR21" s="64"/>
      <c r="IUS21" s="64"/>
      <c r="IUT21" s="64"/>
      <c r="IUU21" s="64"/>
      <c r="IUV21" s="64"/>
      <c r="IUW21" s="64"/>
      <c r="IUX21" s="64"/>
      <c r="IUY21" s="64"/>
      <c r="IUZ21" s="64"/>
      <c r="IVA21" s="64"/>
      <c r="IVB21" s="64"/>
      <c r="IVC21" s="64"/>
      <c r="IVD21" s="64"/>
      <c r="IVE21" s="64"/>
      <c r="IVF21" s="64"/>
      <c r="IVG21" s="64"/>
      <c r="IVH21" s="64"/>
      <c r="IVI21" s="64"/>
      <c r="IVJ21" s="64"/>
      <c r="IVK21" s="64"/>
      <c r="IVL21" s="64"/>
      <c r="IVM21" s="64"/>
      <c r="IVN21" s="64"/>
      <c r="IVO21" s="64"/>
      <c r="IVP21" s="64"/>
      <c r="IVQ21" s="64"/>
      <c r="IVR21" s="64"/>
      <c r="IVS21" s="64"/>
      <c r="IVT21" s="64"/>
      <c r="IVU21" s="64"/>
      <c r="IVV21" s="64"/>
      <c r="IVW21" s="64"/>
      <c r="IVX21" s="64"/>
      <c r="IVY21" s="64"/>
      <c r="IVZ21" s="64"/>
      <c r="IWA21" s="64"/>
      <c r="IWB21" s="64"/>
      <c r="IWC21" s="64"/>
      <c r="IWD21" s="64"/>
      <c r="IWE21" s="64"/>
      <c r="IWF21" s="64"/>
      <c r="IWG21" s="64"/>
      <c r="IWH21" s="64"/>
      <c r="IWI21" s="64"/>
      <c r="IWJ21" s="64"/>
      <c r="IWK21" s="64"/>
      <c r="IWL21" s="64"/>
      <c r="IWM21" s="64"/>
      <c r="IWN21" s="64"/>
      <c r="IWO21" s="64"/>
      <c r="IWP21" s="64"/>
      <c r="IWQ21" s="64"/>
      <c r="IWR21" s="64"/>
      <c r="IWS21" s="64"/>
      <c r="IWT21" s="64"/>
      <c r="IWU21" s="64"/>
      <c r="IWV21" s="64"/>
      <c r="IWW21" s="64"/>
      <c r="IWX21" s="64"/>
      <c r="IWY21" s="64"/>
      <c r="IWZ21" s="64"/>
      <c r="IXA21" s="64"/>
      <c r="IXB21" s="64"/>
      <c r="IXC21" s="64"/>
      <c r="IXD21" s="64"/>
      <c r="IXE21" s="64"/>
      <c r="IXF21" s="64"/>
      <c r="IXG21" s="64"/>
      <c r="IXH21" s="64"/>
      <c r="IXI21" s="64"/>
      <c r="IXJ21" s="64"/>
      <c r="IXK21" s="64"/>
      <c r="IXL21" s="64"/>
      <c r="IXM21" s="64"/>
      <c r="IXN21" s="64"/>
      <c r="IXO21" s="64"/>
      <c r="IXP21" s="64"/>
      <c r="IXQ21" s="64"/>
      <c r="IXR21" s="64"/>
      <c r="IXS21" s="64"/>
      <c r="IXT21" s="64"/>
      <c r="IXU21" s="64"/>
      <c r="IXV21" s="64"/>
      <c r="IXW21" s="64"/>
      <c r="IXX21" s="64"/>
      <c r="IXY21" s="64"/>
      <c r="IXZ21" s="64"/>
      <c r="IYA21" s="64"/>
      <c r="IYB21" s="64"/>
      <c r="IYC21" s="64"/>
      <c r="IYD21" s="64"/>
      <c r="IYE21" s="64"/>
      <c r="IYF21" s="64"/>
      <c r="IYG21" s="64"/>
      <c r="IYH21" s="64"/>
      <c r="IYI21" s="64"/>
      <c r="IYJ21" s="64"/>
      <c r="IYK21" s="64"/>
      <c r="IYL21" s="64"/>
      <c r="IYM21" s="64"/>
      <c r="IYN21" s="64"/>
      <c r="IYO21" s="64"/>
      <c r="IYP21" s="64"/>
      <c r="IYQ21" s="64"/>
      <c r="IYR21" s="64"/>
      <c r="IYS21" s="64"/>
      <c r="IYT21" s="64"/>
      <c r="IYU21" s="64"/>
      <c r="IYV21" s="64"/>
      <c r="IYW21" s="64"/>
      <c r="IYX21" s="64"/>
      <c r="IYY21" s="64"/>
      <c r="IYZ21" s="64"/>
      <c r="IZA21" s="64"/>
      <c r="IZB21" s="64"/>
      <c r="IZC21" s="64"/>
      <c r="IZD21" s="64"/>
      <c r="IZE21" s="64"/>
      <c r="IZF21" s="64"/>
      <c r="IZG21" s="64"/>
      <c r="IZH21" s="64"/>
      <c r="IZI21" s="64"/>
      <c r="IZJ21" s="64"/>
      <c r="IZK21" s="64"/>
      <c r="IZL21" s="64"/>
      <c r="IZM21" s="64"/>
      <c r="IZN21" s="64"/>
      <c r="IZO21" s="64"/>
      <c r="IZP21" s="64"/>
      <c r="IZQ21" s="64"/>
      <c r="IZR21" s="64"/>
      <c r="IZS21" s="64"/>
      <c r="IZT21" s="64"/>
      <c r="IZU21" s="64"/>
      <c r="IZV21" s="64"/>
      <c r="IZW21" s="64"/>
      <c r="IZX21" s="64"/>
      <c r="IZY21" s="64"/>
      <c r="IZZ21" s="64"/>
      <c r="JAA21" s="64"/>
      <c r="JAB21" s="64"/>
      <c r="JAC21" s="64"/>
      <c r="JAD21" s="64"/>
      <c r="JAE21" s="64"/>
      <c r="JAF21" s="64"/>
      <c r="JAG21" s="64"/>
      <c r="JAH21" s="64"/>
      <c r="JAI21" s="64"/>
      <c r="JAJ21" s="64"/>
      <c r="JAK21" s="64"/>
      <c r="JAL21" s="64"/>
      <c r="JAM21" s="64"/>
      <c r="JAN21" s="64"/>
      <c r="JAO21" s="64"/>
      <c r="JAP21" s="64"/>
      <c r="JAQ21" s="64"/>
      <c r="JAR21" s="64"/>
      <c r="JAS21" s="64"/>
      <c r="JAT21" s="64"/>
      <c r="JAU21" s="64"/>
      <c r="JAV21" s="64"/>
      <c r="JAW21" s="64"/>
      <c r="JAX21" s="64"/>
      <c r="JAY21" s="64"/>
      <c r="JAZ21" s="64"/>
      <c r="JBA21" s="64"/>
      <c r="JBB21" s="64"/>
      <c r="JBC21" s="64"/>
      <c r="JBD21" s="64"/>
      <c r="JBE21" s="64"/>
      <c r="JBF21" s="64"/>
      <c r="JBG21" s="64"/>
      <c r="JBH21" s="64"/>
      <c r="JBI21" s="64"/>
      <c r="JBJ21" s="64"/>
      <c r="JBK21" s="64"/>
      <c r="JBL21" s="64"/>
      <c r="JBM21" s="64"/>
      <c r="JBN21" s="64"/>
      <c r="JBO21" s="64"/>
      <c r="JBP21" s="64"/>
      <c r="JBQ21" s="64"/>
      <c r="JBR21" s="64"/>
      <c r="JBS21" s="64"/>
      <c r="JBT21" s="64"/>
      <c r="JBU21" s="64"/>
      <c r="JBV21" s="64"/>
      <c r="JBW21" s="64"/>
      <c r="JBX21" s="64"/>
      <c r="JBY21" s="64"/>
      <c r="JBZ21" s="64"/>
      <c r="JCA21" s="64"/>
      <c r="JCB21" s="64"/>
      <c r="JCC21" s="64"/>
      <c r="JCD21" s="64"/>
      <c r="JCE21" s="64"/>
      <c r="JCF21" s="64"/>
      <c r="JCG21" s="64"/>
      <c r="JCH21" s="64"/>
      <c r="JCI21" s="64"/>
      <c r="JCJ21" s="64"/>
      <c r="JCK21" s="64"/>
      <c r="JCL21" s="64"/>
      <c r="JCM21" s="64"/>
      <c r="JCN21" s="64"/>
      <c r="JCO21" s="64"/>
      <c r="JCP21" s="64"/>
      <c r="JCQ21" s="64"/>
      <c r="JCR21" s="64"/>
      <c r="JCS21" s="64"/>
      <c r="JCT21" s="64"/>
      <c r="JCU21" s="64"/>
      <c r="JCV21" s="64"/>
      <c r="JCW21" s="64"/>
      <c r="JCX21" s="64"/>
      <c r="JCY21" s="64"/>
      <c r="JCZ21" s="64"/>
      <c r="JDA21" s="64"/>
      <c r="JDB21" s="64"/>
      <c r="JDC21" s="64"/>
      <c r="JDD21" s="64"/>
      <c r="JDE21" s="64"/>
      <c r="JDF21" s="64"/>
      <c r="JDG21" s="64"/>
      <c r="JDH21" s="64"/>
      <c r="JDI21" s="64"/>
      <c r="JDJ21" s="64"/>
      <c r="JDK21" s="64"/>
      <c r="JDL21" s="64"/>
      <c r="JDM21" s="64"/>
      <c r="JDN21" s="64"/>
      <c r="JDO21" s="64"/>
      <c r="JDP21" s="64"/>
      <c r="JDQ21" s="64"/>
      <c r="JDR21" s="64"/>
      <c r="JDS21" s="64"/>
      <c r="JDT21" s="64"/>
      <c r="JDU21" s="64"/>
      <c r="JDV21" s="64"/>
      <c r="JDW21" s="64"/>
      <c r="JDX21" s="64"/>
      <c r="JDY21" s="64"/>
      <c r="JDZ21" s="64"/>
      <c r="JEA21" s="64"/>
      <c r="JEB21" s="64"/>
      <c r="JEC21" s="64"/>
      <c r="JED21" s="64"/>
      <c r="JEE21" s="64"/>
      <c r="JEF21" s="64"/>
      <c r="JEG21" s="64"/>
      <c r="JEH21" s="64"/>
      <c r="JEI21" s="64"/>
      <c r="JEJ21" s="64"/>
      <c r="JEK21" s="64"/>
      <c r="JEL21" s="64"/>
      <c r="JEM21" s="64"/>
      <c r="JEN21" s="64"/>
      <c r="JEO21" s="64"/>
      <c r="JEP21" s="64"/>
      <c r="JEQ21" s="64"/>
      <c r="JER21" s="64"/>
      <c r="JES21" s="64"/>
      <c r="JET21" s="64"/>
      <c r="JEU21" s="64"/>
      <c r="JEV21" s="64"/>
      <c r="JEW21" s="64"/>
      <c r="JEX21" s="64"/>
      <c r="JEY21" s="64"/>
      <c r="JEZ21" s="64"/>
      <c r="JFA21" s="64"/>
      <c r="JFB21" s="64"/>
      <c r="JFC21" s="64"/>
      <c r="JFD21" s="64"/>
      <c r="JFE21" s="64"/>
      <c r="JFF21" s="64"/>
      <c r="JFG21" s="64"/>
      <c r="JFH21" s="64"/>
      <c r="JFI21" s="64"/>
      <c r="JFJ21" s="64"/>
      <c r="JFK21" s="64"/>
      <c r="JFL21" s="64"/>
      <c r="JFM21" s="64"/>
      <c r="JFN21" s="64"/>
      <c r="JFO21" s="64"/>
      <c r="JFP21" s="64"/>
      <c r="JFQ21" s="64"/>
      <c r="JFR21" s="64"/>
      <c r="JFS21" s="64"/>
      <c r="JFT21" s="64"/>
      <c r="JFU21" s="64"/>
      <c r="JFV21" s="64"/>
      <c r="JFW21" s="64"/>
      <c r="JFX21" s="64"/>
      <c r="JFY21" s="64"/>
      <c r="JFZ21" s="64"/>
      <c r="JGA21" s="64"/>
      <c r="JGB21" s="64"/>
      <c r="JGC21" s="64"/>
      <c r="JGD21" s="64"/>
      <c r="JGE21" s="64"/>
      <c r="JGF21" s="64"/>
      <c r="JGG21" s="64"/>
      <c r="JGH21" s="64"/>
      <c r="JGI21" s="64"/>
      <c r="JGJ21" s="64"/>
      <c r="JGK21" s="64"/>
      <c r="JGL21" s="64"/>
      <c r="JGM21" s="64"/>
      <c r="JGN21" s="64"/>
      <c r="JGO21" s="64"/>
      <c r="JGP21" s="64"/>
      <c r="JGQ21" s="64"/>
      <c r="JGR21" s="64"/>
      <c r="JGS21" s="64"/>
      <c r="JGT21" s="64"/>
      <c r="JGU21" s="64"/>
      <c r="JGV21" s="64"/>
      <c r="JGW21" s="64"/>
      <c r="JGX21" s="64"/>
      <c r="JGY21" s="64"/>
      <c r="JGZ21" s="64"/>
      <c r="JHA21" s="64"/>
      <c r="JHB21" s="64"/>
      <c r="JHC21" s="64"/>
      <c r="JHD21" s="64"/>
      <c r="JHE21" s="64"/>
      <c r="JHF21" s="64"/>
      <c r="JHG21" s="64"/>
      <c r="JHH21" s="64"/>
      <c r="JHI21" s="64"/>
      <c r="JHJ21" s="64"/>
      <c r="JHK21" s="64"/>
      <c r="JHL21" s="64"/>
      <c r="JHM21" s="64"/>
      <c r="JHN21" s="64"/>
      <c r="JHO21" s="64"/>
      <c r="JHP21" s="64"/>
      <c r="JHQ21" s="64"/>
      <c r="JHR21" s="64"/>
      <c r="JHS21" s="64"/>
      <c r="JHT21" s="64"/>
      <c r="JHU21" s="64"/>
      <c r="JHV21" s="64"/>
      <c r="JHW21" s="64"/>
      <c r="JHX21" s="64"/>
      <c r="JHY21" s="64"/>
      <c r="JHZ21" s="64"/>
      <c r="JIA21" s="64"/>
      <c r="JIB21" s="64"/>
      <c r="JIC21" s="64"/>
      <c r="JID21" s="64"/>
      <c r="JIE21" s="64"/>
      <c r="JIF21" s="64"/>
      <c r="JIG21" s="64"/>
      <c r="JIH21" s="64"/>
      <c r="JII21" s="64"/>
      <c r="JIJ21" s="64"/>
      <c r="JIK21" s="64"/>
      <c r="JIL21" s="64"/>
      <c r="JIM21" s="64"/>
      <c r="JIN21" s="64"/>
      <c r="JIO21" s="64"/>
      <c r="JIP21" s="64"/>
      <c r="JIQ21" s="64"/>
      <c r="JIR21" s="64"/>
      <c r="JIS21" s="64"/>
      <c r="JIT21" s="64"/>
      <c r="JIU21" s="64"/>
      <c r="JIV21" s="64"/>
      <c r="JIW21" s="64"/>
      <c r="JIX21" s="64"/>
      <c r="JIY21" s="64"/>
      <c r="JIZ21" s="64"/>
      <c r="JJA21" s="64"/>
      <c r="JJB21" s="64"/>
      <c r="JJC21" s="64"/>
      <c r="JJD21" s="64"/>
      <c r="JJE21" s="64"/>
      <c r="JJF21" s="64"/>
      <c r="JJG21" s="64"/>
      <c r="JJH21" s="64"/>
      <c r="JJI21" s="64"/>
      <c r="JJJ21" s="64"/>
      <c r="JJK21" s="64"/>
      <c r="JJL21" s="64"/>
      <c r="JJM21" s="64"/>
      <c r="JJN21" s="64"/>
      <c r="JJO21" s="64"/>
      <c r="JJP21" s="64"/>
      <c r="JJQ21" s="64"/>
      <c r="JJR21" s="64"/>
      <c r="JJS21" s="64"/>
      <c r="JJT21" s="64"/>
      <c r="JJU21" s="64"/>
      <c r="JJV21" s="64"/>
      <c r="JJW21" s="64"/>
      <c r="JJX21" s="64"/>
      <c r="JJY21" s="64"/>
      <c r="JJZ21" s="64"/>
      <c r="JKA21" s="64"/>
      <c r="JKB21" s="64"/>
      <c r="JKC21" s="64"/>
      <c r="JKD21" s="64"/>
      <c r="JKE21" s="64"/>
      <c r="JKF21" s="64"/>
      <c r="JKG21" s="64"/>
      <c r="JKH21" s="64"/>
      <c r="JKI21" s="64"/>
      <c r="JKJ21" s="64"/>
      <c r="JKK21" s="64"/>
      <c r="JKL21" s="64"/>
      <c r="JKM21" s="64"/>
      <c r="JKN21" s="64"/>
      <c r="JKO21" s="64"/>
      <c r="JKP21" s="64"/>
      <c r="JKQ21" s="64"/>
      <c r="JKR21" s="64"/>
      <c r="JKS21" s="64"/>
      <c r="JKT21" s="64"/>
      <c r="JKU21" s="64"/>
      <c r="JKV21" s="64"/>
      <c r="JKW21" s="64"/>
      <c r="JKX21" s="64"/>
      <c r="JKY21" s="64"/>
      <c r="JKZ21" s="64"/>
      <c r="JLA21" s="64"/>
      <c r="JLB21" s="64"/>
      <c r="JLC21" s="64"/>
      <c r="JLD21" s="64"/>
      <c r="JLE21" s="64"/>
      <c r="JLF21" s="64"/>
      <c r="JLG21" s="64"/>
      <c r="JLH21" s="64"/>
      <c r="JLI21" s="64"/>
      <c r="JLJ21" s="64"/>
      <c r="JLK21" s="64"/>
      <c r="JLL21" s="64"/>
      <c r="JLM21" s="64"/>
      <c r="JLN21" s="64"/>
      <c r="JLO21" s="64"/>
      <c r="JLP21" s="64"/>
      <c r="JLQ21" s="64"/>
      <c r="JLR21" s="64"/>
      <c r="JLS21" s="64"/>
      <c r="JLT21" s="64"/>
      <c r="JLU21" s="64"/>
      <c r="JLV21" s="64"/>
      <c r="JLW21" s="64"/>
      <c r="JLX21" s="64"/>
      <c r="JLY21" s="64"/>
      <c r="JLZ21" s="64"/>
      <c r="JMA21" s="64"/>
      <c r="JMB21" s="64"/>
      <c r="JMC21" s="64"/>
      <c r="JMD21" s="64"/>
      <c r="JME21" s="64"/>
      <c r="JMF21" s="64"/>
      <c r="JMG21" s="64"/>
      <c r="JMH21" s="64"/>
      <c r="JMI21" s="64"/>
      <c r="JMJ21" s="64"/>
      <c r="JMK21" s="64"/>
      <c r="JML21" s="64"/>
      <c r="JMM21" s="64"/>
      <c r="JMN21" s="64"/>
      <c r="JMO21" s="64"/>
      <c r="JMP21" s="64"/>
      <c r="JMQ21" s="64"/>
      <c r="JMR21" s="64"/>
      <c r="JMS21" s="64"/>
      <c r="JMT21" s="64"/>
      <c r="JMU21" s="64"/>
      <c r="JMV21" s="64"/>
      <c r="JMW21" s="64"/>
      <c r="JMX21" s="64"/>
      <c r="JMY21" s="64"/>
      <c r="JMZ21" s="64"/>
      <c r="JNA21" s="64"/>
      <c r="JNB21" s="64"/>
      <c r="JNC21" s="64"/>
      <c r="JND21" s="64"/>
      <c r="JNE21" s="64"/>
      <c r="JNF21" s="64"/>
      <c r="JNG21" s="64"/>
      <c r="JNH21" s="64"/>
      <c r="JNI21" s="64"/>
      <c r="JNJ21" s="64"/>
      <c r="JNK21" s="64"/>
      <c r="JNL21" s="64"/>
      <c r="JNM21" s="64"/>
      <c r="JNN21" s="64"/>
      <c r="JNO21" s="64"/>
      <c r="JNP21" s="64"/>
      <c r="JNQ21" s="64"/>
      <c r="JNR21" s="64"/>
      <c r="JNS21" s="64"/>
      <c r="JNT21" s="64"/>
      <c r="JNU21" s="64"/>
      <c r="JNV21" s="64"/>
      <c r="JNW21" s="64"/>
      <c r="JNX21" s="64"/>
      <c r="JNY21" s="64"/>
      <c r="JNZ21" s="64"/>
      <c r="JOA21" s="64"/>
      <c r="JOB21" s="64"/>
      <c r="JOC21" s="64"/>
      <c r="JOD21" s="64"/>
      <c r="JOE21" s="64"/>
      <c r="JOF21" s="64"/>
      <c r="JOG21" s="64"/>
      <c r="JOH21" s="64"/>
      <c r="JOI21" s="64"/>
      <c r="JOJ21" s="64"/>
      <c r="JOK21" s="64"/>
      <c r="JOL21" s="64"/>
      <c r="JOM21" s="64"/>
      <c r="JON21" s="64"/>
      <c r="JOO21" s="64"/>
      <c r="JOP21" s="64"/>
      <c r="JOQ21" s="64"/>
      <c r="JOR21" s="64"/>
      <c r="JOS21" s="64"/>
      <c r="JOT21" s="64"/>
      <c r="JOU21" s="64"/>
      <c r="JOV21" s="64"/>
      <c r="JOW21" s="64"/>
      <c r="JOX21" s="64"/>
      <c r="JOY21" s="64"/>
      <c r="JOZ21" s="64"/>
      <c r="JPA21" s="64"/>
      <c r="JPB21" s="64"/>
      <c r="JPC21" s="64"/>
      <c r="JPD21" s="64"/>
      <c r="JPE21" s="64"/>
      <c r="JPF21" s="64"/>
      <c r="JPG21" s="64"/>
      <c r="JPH21" s="64"/>
      <c r="JPI21" s="64"/>
      <c r="JPJ21" s="64"/>
      <c r="JPK21" s="64"/>
      <c r="JPL21" s="64"/>
      <c r="JPM21" s="64"/>
      <c r="JPN21" s="64"/>
      <c r="JPO21" s="64"/>
      <c r="JPP21" s="64"/>
      <c r="JPQ21" s="64"/>
      <c r="JPR21" s="64"/>
      <c r="JPS21" s="64"/>
      <c r="JPT21" s="64"/>
      <c r="JPU21" s="64"/>
      <c r="JPV21" s="64"/>
      <c r="JPW21" s="64"/>
      <c r="JPX21" s="64"/>
      <c r="JPY21" s="64"/>
      <c r="JPZ21" s="64"/>
      <c r="JQA21" s="64"/>
      <c r="JQB21" s="64"/>
      <c r="JQC21" s="64"/>
      <c r="JQD21" s="64"/>
      <c r="JQE21" s="64"/>
      <c r="JQF21" s="64"/>
      <c r="JQG21" s="64"/>
      <c r="JQH21" s="64"/>
      <c r="JQI21" s="64"/>
      <c r="JQJ21" s="64"/>
      <c r="JQK21" s="64"/>
      <c r="JQL21" s="64"/>
      <c r="JQM21" s="64"/>
      <c r="JQN21" s="64"/>
      <c r="JQO21" s="64"/>
      <c r="JQP21" s="64"/>
      <c r="JQQ21" s="64"/>
      <c r="JQR21" s="64"/>
      <c r="JQS21" s="64"/>
      <c r="JQT21" s="64"/>
      <c r="JQU21" s="64"/>
      <c r="JQV21" s="64"/>
      <c r="JQW21" s="64"/>
      <c r="JQX21" s="64"/>
      <c r="JQY21" s="64"/>
      <c r="JQZ21" s="64"/>
      <c r="JRA21" s="64"/>
      <c r="JRB21" s="64"/>
      <c r="JRC21" s="64"/>
      <c r="JRD21" s="64"/>
      <c r="JRE21" s="64"/>
      <c r="JRF21" s="64"/>
      <c r="JRG21" s="64"/>
      <c r="JRH21" s="64"/>
      <c r="JRI21" s="64"/>
      <c r="JRJ21" s="64"/>
      <c r="JRK21" s="64"/>
      <c r="JRL21" s="64"/>
      <c r="JRM21" s="64"/>
      <c r="JRN21" s="64"/>
      <c r="JRO21" s="64"/>
      <c r="JRP21" s="64"/>
      <c r="JRQ21" s="64"/>
      <c r="JRR21" s="64"/>
      <c r="JRS21" s="64"/>
      <c r="JRT21" s="64"/>
      <c r="JRU21" s="64"/>
      <c r="JRV21" s="64"/>
      <c r="JRW21" s="64"/>
      <c r="JRX21" s="64"/>
      <c r="JRY21" s="64"/>
      <c r="JRZ21" s="64"/>
      <c r="JSA21" s="64"/>
      <c r="JSB21" s="64"/>
      <c r="JSC21" s="64"/>
      <c r="JSD21" s="64"/>
      <c r="JSE21" s="64"/>
      <c r="JSF21" s="64"/>
      <c r="JSG21" s="64"/>
      <c r="JSH21" s="64"/>
      <c r="JSI21" s="64"/>
      <c r="JSJ21" s="64"/>
      <c r="JSK21" s="64"/>
      <c r="JSL21" s="64"/>
      <c r="JSM21" s="64"/>
      <c r="JSN21" s="64"/>
      <c r="JSO21" s="64"/>
      <c r="JSP21" s="64"/>
      <c r="JSQ21" s="64"/>
      <c r="JSR21" s="64"/>
      <c r="JSS21" s="64"/>
      <c r="JST21" s="64"/>
      <c r="JSU21" s="64"/>
      <c r="JSV21" s="64"/>
      <c r="JSW21" s="64"/>
      <c r="JSX21" s="64"/>
      <c r="JSY21" s="64"/>
      <c r="JSZ21" s="64"/>
      <c r="JTA21" s="64"/>
      <c r="JTB21" s="64"/>
      <c r="JTC21" s="64"/>
      <c r="JTD21" s="64"/>
      <c r="JTE21" s="64"/>
      <c r="JTF21" s="64"/>
      <c r="JTG21" s="64"/>
      <c r="JTH21" s="64"/>
      <c r="JTI21" s="64"/>
      <c r="JTJ21" s="64"/>
      <c r="JTK21" s="64"/>
      <c r="JTL21" s="64"/>
      <c r="JTM21" s="64"/>
      <c r="JTN21" s="64"/>
      <c r="JTO21" s="64"/>
      <c r="JTP21" s="64"/>
      <c r="JTQ21" s="64"/>
      <c r="JTR21" s="64"/>
      <c r="JTS21" s="64"/>
      <c r="JTT21" s="64"/>
      <c r="JTU21" s="64"/>
      <c r="JTV21" s="64"/>
      <c r="JTW21" s="64"/>
      <c r="JTX21" s="64"/>
      <c r="JTY21" s="64"/>
      <c r="JTZ21" s="64"/>
      <c r="JUA21" s="64"/>
      <c r="JUB21" s="64"/>
      <c r="JUC21" s="64"/>
      <c r="JUD21" s="64"/>
      <c r="JUE21" s="64"/>
      <c r="JUF21" s="64"/>
      <c r="JUG21" s="64"/>
      <c r="JUH21" s="64"/>
      <c r="JUI21" s="64"/>
      <c r="JUJ21" s="64"/>
      <c r="JUK21" s="64"/>
      <c r="JUL21" s="64"/>
      <c r="JUM21" s="64"/>
      <c r="JUN21" s="64"/>
      <c r="JUO21" s="64"/>
      <c r="JUP21" s="64"/>
      <c r="JUQ21" s="64"/>
      <c r="JUR21" s="64"/>
      <c r="JUS21" s="64"/>
      <c r="JUT21" s="64"/>
      <c r="JUU21" s="64"/>
      <c r="JUV21" s="64"/>
      <c r="JUW21" s="64"/>
      <c r="JUX21" s="64"/>
      <c r="JUY21" s="64"/>
      <c r="JUZ21" s="64"/>
      <c r="JVA21" s="64"/>
      <c r="JVB21" s="64"/>
      <c r="JVC21" s="64"/>
      <c r="JVD21" s="64"/>
      <c r="JVE21" s="64"/>
      <c r="JVF21" s="64"/>
      <c r="JVG21" s="64"/>
      <c r="JVH21" s="64"/>
      <c r="JVI21" s="64"/>
      <c r="JVJ21" s="64"/>
      <c r="JVK21" s="64"/>
      <c r="JVL21" s="64"/>
      <c r="JVM21" s="64"/>
      <c r="JVN21" s="64"/>
      <c r="JVO21" s="64"/>
      <c r="JVP21" s="64"/>
      <c r="JVQ21" s="64"/>
      <c r="JVR21" s="64"/>
      <c r="JVS21" s="64"/>
      <c r="JVT21" s="64"/>
      <c r="JVU21" s="64"/>
      <c r="JVV21" s="64"/>
      <c r="JVW21" s="64"/>
      <c r="JVX21" s="64"/>
      <c r="JVY21" s="64"/>
      <c r="JVZ21" s="64"/>
      <c r="JWA21" s="64"/>
      <c r="JWB21" s="64"/>
      <c r="JWC21" s="64"/>
      <c r="JWD21" s="64"/>
      <c r="JWE21" s="64"/>
      <c r="JWF21" s="64"/>
      <c r="JWG21" s="64"/>
      <c r="JWH21" s="64"/>
      <c r="JWI21" s="64"/>
      <c r="JWJ21" s="64"/>
      <c r="JWK21" s="64"/>
      <c r="JWL21" s="64"/>
      <c r="JWM21" s="64"/>
      <c r="JWN21" s="64"/>
      <c r="JWO21" s="64"/>
      <c r="JWP21" s="64"/>
      <c r="JWQ21" s="64"/>
      <c r="JWR21" s="64"/>
      <c r="JWS21" s="64"/>
      <c r="JWT21" s="64"/>
      <c r="JWU21" s="64"/>
      <c r="JWV21" s="64"/>
      <c r="JWW21" s="64"/>
      <c r="JWX21" s="64"/>
      <c r="JWY21" s="64"/>
      <c r="JWZ21" s="64"/>
      <c r="JXA21" s="64"/>
      <c r="JXB21" s="64"/>
      <c r="JXC21" s="64"/>
      <c r="JXD21" s="64"/>
      <c r="JXE21" s="64"/>
      <c r="JXF21" s="64"/>
      <c r="JXG21" s="64"/>
      <c r="JXH21" s="64"/>
      <c r="JXI21" s="64"/>
      <c r="JXJ21" s="64"/>
      <c r="JXK21" s="64"/>
      <c r="JXL21" s="64"/>
      <c r="JXM21" s="64"/>
      <c r="JXN21" s="64"/>
      <c r="JXO21" s="64"/>
      <c r="JXP21" s="64"/>
      <c r="JXQ21" s="64"/>
      <c r="JXR21" s="64"/>
      <c r="JXS21" s="64"/>
      <c r="JXT21" s="64"/>
      <c r="JXU21" s="64"/>
      <c r="JXV21" s="64"/>
      <c r="JXW21" s="64"/>
      <c r="JXX21" s="64"/>
      <c r="JXY21" s="64"/>
      <c r="JXZ21" s="64"/>
      <c r="JYA21" s="64"/>
      <c r="JYB21" s="64"/>
      <c r="JYC21" s="64"/>
      <c r="JYD21" s="64"/>
      <c r="JYE21" s="64"/>
      <c r="JYF21" s="64"/>
      <c r="JYG21" s="64"/>
      <c r="JYH21" s="64"/>
      <c r="JYI21" s="64"/>
      <c r="JYJ21" s="64"/>
      <c r="JYK21" s="64"/>
      <c r="JYL21" s="64"/>
      <c r="JYM21" s="64"/>
      <c r="JYN21" s="64"/>
      <c r="JYO21" s="64"/>
      <c r="JYP21" s="64"/>
      <c r="JYQ21" s="64"/>
      <c r="JYR21" s="64"/>
      <c r="JYS21" s="64"/>
      <c r="JYT21" s="64"/>
      <c r="JYU21" s="64"/>
      <c r="JYV21" s="64"/>
      <c r="JYW21" s="64"/>
      <c r="JYX21" s="64"/>
      <c r="JYY21" s="64"/>
      <c r="JYZ21" s="64"/>
      <c r="JZA21" s="64"/>
      <c r="JZB21" s="64"/>
      <c r="JZC21" s="64"/>
      <c r="JZD21" s="64"/>
      <c r="JZE21" s="64"/>
      <c r="JZF21" s="64"/>
      <c r="JZG21" s="64"/>
      <c r="JZH21" s="64"/>
      <c r="JZI21" s="64"/>
      <c r="JZJ21" s="64"/>
      <c r="JZK21" s="64"/>
      <c r="JZL21" s="64"/>
      <c r="JZM21" s="64"/>
      <c r="JZN21" s="64"/>
      <c r="JZO21" s="64"/>
      <c r="JZP21" s="64"/>
      <c r="JZQ21" s="64"/>
      <c r="JZR21" s="64"/>
      <c r="JZS21" s="64"/>
      <c r="JZT21" s="64"/>
      <c r="JZU21" s="64"/>
      <c r="JZV21" s="64"/>
      <c r="JZW21" s="64"/>
      <c r="JZX21" s="64"/>
      <c r="JZY21" s="64"/>
      <c r="JZZ21" s="64"/>
      <c r="KAA21" s="64"/>
      <c r="KAB21" s="64"/>
      <c r="KAC21" s="64"/>
      <c r="KAD21" s="64"/>
      <c r="KAE21" s="64"/>
      <c r="KAF21" s="64"/>
      <c r="KAG21" s="64"/>
      <c r="KAH21" s="64"/>
      <c r="KAI21" s="64"/>
      <c r="KAJ21" s="64"/>
      <c r="KAK21" s="64"/>
      <c r="KAL21" s="64"/>
      <c r="KAM21" s="64"/>
      <c r="KAN21" s="64"/>
      <c r="KAO21" s="64"/>
      <c r="KAP21" s="64"/>
      <c r="KAQ21" s="64"/>
      <c r="KAR21" s="64"/>
      <c r="KAS21" s="64"/>
      <c r="KAT21" s="64"/>
      <c r="KAU21" s="64"/>
      <c r="KAV21" s="64"/>
      <c r="KAW21" s="64"/>
      <c r="KAX21" s="64"/>
      <c r="KAY21" s="64"/>
      <c r="KAZ21" s="64"/>
      <c r="KBA21" s="64"/>
      <c r="KBB21" s="64"/>
      <c r="KBC21" s="64"/>
      <c r="KBD21" s="64"/>
      <c r="KBE21" s="64"/>
      <c r="KBF21" s="64"/>
      <c r="KBG21" s="64"/>
      <c r="KBH21" s="64"/>
      <c r="KBI21" s="64"/>
      <c r="KBJ21" s="64"/>
      <c r="KBK21" s="64"/>
      <c r="KBL21" s="64"/>
      <c r="KBM21" s="64"/>
      <c r="KBN21" s="64"/>
      <c r="KBO21" s="64"/>
      <c r="KBP21" s="64"/>
      <c r="KBQ21" s="64"/>
      <c r="KBR21" s="64"/>
      <c r="KBS21" s="64"/>
      <c r="KBT21" s="64"/>
      <c r="KBU21" s="64"/>
      <c r="KBV21" s="64"/>
      <c r="KBW21" s="64"/>
      <c r="KBX21" s="64"/>
      <c r="KBY21" s="64"/>
      <c r="KBZ21" s="64"/>
      <c r="KCA21" s="64"/>
      <c r="KCB21" s="64"/>
      <c r="KCC21" s="64"/>
      <c r="KCD21" s="64"/>
      <c r="KCE21" s="64"/>
      <c r="KCF21" s="64"/>
      <c r="KCG21" s="64"/>
      <c r="KCH21" s="64"/>
      <c r="KCI21" s="64"/>
      <c r="KCJ21" s="64"/>
      <c r="KCK21" s="64"/>
      <c r="KCL21" s="64"/>
      <c r="KCM21" s="64"/>
      <c r="KCN21" s="64"/>
      <c r="KCO21" s="64"/>
      <c r="KCP21" s="64"/>
      <c r="KCQ21" s="64"/>
      <c r="KCR21" s="64"/>
      <c r="KCS21" s="64"/>
      <c r="KCT21" s="64"/>
      <c r="KCU21" s="64"/>
      <c r="KCV21" s="64"/>
      <c r="KCW21" s="64"/>
      <c r="KCX21" s="64"/>
      <c r="KCY21" s="64"/>
      <c r="KCZ21" s="64"/>
      <c r="KDA21" s="64"/>
      <c r="KDB21" s="64"/>
      <c r="KDC21" s="64"/>
      <c r="KDD21" s="64"/>
      <c r="KDE21" s="64"/>
      <c r="KDF21" s="64"/>
      <c r="KDG21" s="64"/>
      <c r="KDH21" s="64"/>
      <c r="KDI21" s="64"/>
      <c r="KDJ21" s="64"/>
      <c r="KDK21" s="64"/>
      <c r="KDL21" s="64"/>
      <c r="KDM21" s="64"/>
      <c r="KDN21" s="64"/>
      <c r="KDO21" s="64"/>
      <c r="KDP21" s="64"/>
      <c r="KDQ21" s="64"/>
      <c r="KDR21" s="64"/>
      <c r="KDS21" s="64"/>
      <c r="KDT21" s="64"/>
      <c r="KDU21" s="64"/>
      <c r="KDV21" s="64"/>
      <c r="KDW21" s="64"/>
      <c r="KDX21" s="64"/>
      <c r="KDY21" s="64"/>
      <c r="KDZ21" s="64"/>
      <c r="KEA21" s="64"/>
      <c r="KEB21" s="64"/>
      <c r="KEC21" s="64"/>
      <c r="KED21" s="64"/>
      <c r="KEE21" s="64"/>
      <c r="KEF21" s="64"/>
      <c r="KEG21" s="64"/>
      <c r="KEH21" s="64"/>
      <c r="KEI21" s="64"/>
      <c r="KEJ21" s="64"/>
      <c r="KEK21" s="64"/>
      <c r="KEL21" s="64"/>
      <c r="KEM21" s="64"/>
      <c r="KEN21" s="64"/>
      <c r="KEO21" s="64"/>
      <c r="KEP21" s="64"/>
      <c r="KEQ21" s="64"/>
      <c r="KER21" s="64"/>
      <c r="KES21" s="64"/>
      <c r="KET21" s="64"/>
      <c r="KEU21" s="64"/>
      <c r="KEV21" s="64"/>
      <c r="KEW21" s="64"/>
      <c r="KEX21" s="64"/>
      <c r="KEY21" s="64"/>
      <c r="KEZ21" s="64"/>
      <c r="KFA21" s="64"/>
      <c r="KFB21" s="64"/>
      <c r="KFC21" s="64"/>
      <c r="KFD21" s="64"/>
      <c r="KFE21" s="64"/>
      <c r="KFF21" s="64"/>
      <c r="KFG21" s="64"/>
      <c r="KFH21" s="64"/>
      <c r="KFI21" s="64"/>
      <c r="KFJ21" s="64"/>
      <c r="KFK21" s="64"/>
      <c r="KFL21" s="64"/>
      <c r="KFM21" s="64"/>
      <c r="KFN21" s="64"/>
      <c r="KFO21" s="64"/>
      <c r="KFP21" s="64"/>
      <c r="KFQ21" s="64"/>
      <c r="KFR21" s="64"/>
      <c r="KFS21" s="64"/>
      <c r="KFT21" s="64"/>
      <c r="KFU21" s="64"/>
      <c r="KFV21" s="64"/>
      <c r="KFW21" s="64"/>
      <c r="KFX21" s="64"/>
      <c r="KFY21" s="64"/>
      <c r="KFZ21" s="64"/>
      <c r="KGA21" s="64"/>
      <c r="KGB21" s="64"/>
      <c r="KGC21" s="64"/>
      <c r="KGD21" s="64"/>
      <c r="KGE21" s="64"/>
      <c r="KGF21" s="64"/>
      <c r="KGG21" s="64"/>
      <c r="KGH21" s="64"/>
      <c r="KGI21" s="64"/>
      <c r="KGJ21" s="64"/>
      <c r="KGK21" s="64"/>
      <c r="KGL21" s="64"/>
      <c r="KGM21" s="64"/>
      <c r="KGN21" s="64"/>
      <c r="KGO21" s="64"/>
      <c r="KGP21" s="64"/>
      <c r="KGQ21" s="64"/>
      <c r="KGR21" s="64"/>
      <c r="KGS21" s="64"/>
      <c r="KGT21" s="64"/>
      <c r="KGU21" s="64"/>
      <c r="KGV21" s="64"/>
      <c r="KGW21" s="64"/>
      <c r="KGX21" s="64"/>
      <c r="KGY21" s="64"/>
      <c r="KGZ21" s="64"/>
      <c r="KHA21" s="64"/>
      <c r="KHB21" s="64"/>
      <c r="KHC21" s="64"/>
      <c r="KHD21" s="64"/>
      <c r="KHE21" s="64"/>
      <c r="KHF21" s="64"/>
      <c r="KHG21" s="64"/>
      <c r="KHH21" s="64"/>
      <c r="KHI21" s="64"/>
      <c r="KHJ21" s="64"/>
      <c r="KHK21" s="64"/>
      <c r="KHL21" s="64"/>
      <c r="KHM21" s="64"/>
      <c r="KHN21" s="64"/>
      <c r="KHO21" s="64"/>
      <c r="KHP21" s="64"/>
      <c r="KHQ21" s="64"/>
      <c r="KHR21" s="64"/>
      <c r="KHS21" s="64"/>
      <c r="KHT21" s="64"/>
      <c r="KHU21" s="64"/>
      <c r="KHV21" s="64"/>
      <c r="KHW21" s="64"/>
      <c r="KHX21" s="64"/>
      <c r="KHY21" s="64"/>
      <c r="KHZ21" s="64"/>
      <c r="KIA21" s="64"/>
      <c r="KIB21" s="64"/>
      <c r="KIC21" s="64"/>
      <c r="KID21" s="64"/>
      <c r="KIE21" s="64"/>
      <c r="KIF21" s="64"/>
      <c r="KIG21" s="64"/>
      <c r="KIH21" s="64"/>
      <c r="KII21" s="64"/>
      <c r="KIJ21" s="64"/>
      <c r="KIK21" s="64"/>
      <c r="KIL21" s="64"/>
      <c r="KIM21" s="64"/>
      <c r="KIN21" s="64"/>
      <c r="KIO21" s="64"/>
      <c r="KIP21" s="64"/>
      <c r="KIQ21" s="64"/>
      <c r="KIR21" s="64"/>
      <c r="KIS21" s="64"/>
      <c r="KIT21" s="64"/>
      <c r="KIU21" s="64"/>
      <c r="KIV21" s="64"/>
      <c r="KIW21" s="64"/>
      <c r="KIX21" s="64"/>
      <c r="KIY21" s="64"/>
      <c r="KIZ21" s="64"/>
      <c r="KJA21" s="64"/>
      <c r="KJB21" s="64"/>
      <c r="KJC21" s="64"/>
      <c r="KJD21" s="64"/>
      <c r="KJE21" s="64"/>
      <c r="KJF21" s="64"/>
      <c r="KJG21" s="64"/>
      <c r="KJH21" s="64"/>
      <c r="KJI21" s="64"/>
      <c r="KJJ21" s="64"/>
      <c r="KJK21" s="64"/>
      <c r="KJL21" s="64"/>
      <c r="KJM21" s="64"/>
      <c r="KJN21" s="64"/>
      <c r="KJO21" s="64"/>
      <c r="KJP21" s="64"/>
      <c r="KJQ21" s="64"/>
      <c r="KJR21" s="64"/>
      <c r="KJS21" s="64"/>
      <c r="KJT21" s="64"/>
      <c r="KJU21" s="64"/>
      <c r="KJV21" s="64"/>
      <c r="KJW21" s="64"/>
      <c r="KJX21" s="64"/>
      <c r="KJY21" s="64"/>
      <c r="KJZ21" s="64"/>
      <c r="KKA21" s="64"/>
      <c r="KKB21" s="64"/>
      <c r="KKC21" s="64"/>
      <c r="KKD21" s="64"/>
      <c r="KKE21" s="64"/>
      <c r="KKF21" s="64"/>
      <c r="KKG21" s="64"/>
      <c r="KKH21" s="64"/>
      <c r="KKI21" s="64"/>
      <c r="KKJ21" s="64"/>
      <c r="KKK21" s="64"/>
      <c r="KKL21" s="64"/>
      <c r="KKM21" s="64"/>
      <c r="KKN21" s="64"/>
      <c r="KKO21" s="64"/>
      <c r="KKP21" s="64"/>
      <c r="KKQ21" s="64"/>
      <c r="KKR21" s="64"/>
      <c r="KKS21" s="64"/>
      <c r="KKT21" s="64"/>
      <c r="KKU21" s="64"/>
      <c r="KKV21" s="64"/>
      <c r="KKW21" s="64"/>
      <c r="KKX21" s="64"/>
      <c r="KKY21" s="64"/>
      <c r="KKZ21" s="64"/>
      <c r="KLA21" s="64"/>
      <c r="KLB21" s="64"/>
      <c r="KLC21" s="64"/>
      <c r="KLD21" s="64"/>
      <c r="KLE21" s="64"/>
      <c r="KLF21" s="64"/>
      <c r="KLG21" s="64"/>
      <c r="KLH21" s="64"/>
      <c r="KLI21" s="64"/>
      <c r="KLJ21" s="64"/>
      <c r="KLK21" s="64"/>
      <c r="KLL21" s="64"/>
      <c r="KLM21" s="64"/>
      <c r="KLN21" s="64"/>
      <c r="KLO21" s="64"/>
      <c r="KLP21" s="64"/>
      <c r="KLQ21" s="64"/>
      <c r="KLR21" s="64"/>
      <c r="KLS21" s="64"/>
      <c r="KLT21" s="64"/>
      <c r="KLU21" s="64"/>
      <c r="KLV21" s="64"/>
      <c r="KLW21" s="64"/>
      <c r="KLX21" s="64"/>
      <c r="KLY21" s="64"/>
      <c r="KLZ21" s="64"/>
      <c r="KMA21" s="64"/>
      <c r="KMB21" s="64"/>
      <c r="KMC21" s="64"/>
      <c r="KMD21" s="64"/>
      <c r="KME21" s="64"/>
      <c r="KMF21" s="64"/>
      <c r="KMG21" s="64"/>
      <c r="KMH21" s="64"/>
      <c r="KMI21" s="64"/>
      <c r="KMJ21" s="64"/>
      <c r="KMK21" s="64"/>
      <c r="KML21" s="64"/>
      <c r="KMM21" s="64"/>
      <c r="KMN21" s="64"/>
      <c r="KMO21" s="64"/>
      <c r="KMP21" s="64"/>
      <c r="KMQ21" s="64"/>
      <c r="KMR21" s="64"/>
      <c r="KMS21" s="64"/>
      <c r="KMT21" s="64"/>
      <c r="KMU21" s="64"/>
      <c r="KMV21" s="64"/>
      <c r="KMW21" s="64"/>
      <c r="KMX21" s="64"/>
      <c r="KMY21" s="64"/>
      <c r="KMZ21" s="64"/>
      <c r="KNA21" s="64"/>
      <c r="KNB21" s="64"/>
      <c r="KNC21" s="64"/>
      <c r="KND21" s="64"/>
      <c r="KNE21" s="64"/>
      <c r="KNF21" s="64"/>
      <c r="KNG21" s="64"/>
      <c r="KNH21" s="64"/>
      <c r="KNI21" s="64"/>
      <c r="KNJ21" s="64"/>
      <c r="KNK21" s="64"/>
      <c r="KNL21" s="64"/>
      <c r="KNM21" s="64"/>
      <c r="KNN21" s="64"/>
      <c r="KNO21" s="64"/>
      <c r="KNP21" s="64"/>
      <c r="KNQ21" s="64"/>
      <c r="KNR21" s="64"/>
      <c r="KNS21" s="64"/>
      <c r="KNT21" s="64"/>
      <c r="KNU21" s="64"/>
      <c r="KNV21" s="64"/>
      <c r="KNW21" s="64"/>
      <c r="KNX21" s="64"/>
      <c r="KNY21" s="64"/>
      <c r="KNZ21" s="64"/>
      <c r="KOA21" s="64"/>
      <c r="KOB21" s="64"/>
      <c r="KOC21" s="64"/>
      <c r="KOD21" s="64"/>
      <c r="KOE21" s="64"/>
      <c r="KOF21" s="64"/>
      <c r="KOG21" s="64"/>
      <c r="KOH21" s="64"/>
      <c r="KOI21" s="64"/>
      <c r="KOJ21" s="64"/>
      <c r="KOK21" s="64"/>
      <c r="KOL21" s="64"/>
      <c r="KOM21" s="64"/>
      <c r="KON21" s="64"/>
      <c r="KOO21" s="64"/>
      <c r="KOP21" s="64"/>
      <c r="KOQ21" s="64"/>
      <c r="KOR21" s="64"/>
      <c r="KOS21" s="64"/>
      <c r="KOT21" s="64"/>
      <c r="KOU21" s="64"/>
      <c r="KOV21" s="64"/>
      <c r="KOW21" s="64"/>
      <c r="KOX21" s="64"/>
      <c r="KOY21" s="64"/>
      <c r="KOZ21" s="64"/>
      <c r="KPA21" s="64"/>
      <c r="KPB21" s="64"/>
      <c r="KPC21" s="64"/>
      <c r="KPD21" s="64"/>
      <c r="KPE21" s="64"/>
      <c r="KPF21" s="64"/>
      <c r="KPG21" s="64"/>
      <c r="KPH21" s="64"/>
      <c r="KPI21" s="64"/>
      <c r="KPJ21" s="64"/>
      <c r="KPK21" s="64"/>
      <c r="KPL21" s="64"/>
      <c r="KPM21" s="64"/>
      <c r="KPN21" s="64"/>
      <c r="KPO21" s="64"/>
      <c r="KPP21" s="64"/>
      <c r="KPQ21" s="64"/>
      <c r="KPR21" s="64"/>
      <c r="KPS21" s="64"/>
      <c r="KPT21" s="64"/>
      <c r="KPU21" s="64"/>
      <c r="KPV21" s="64"/>
      <c r="KPW21" s="64"/>
      <c r="KPX21" s="64"/>
      <c r="KPY21" s="64"/>
      <c r="KPZ21" s="64"/>
      <c r="KQA21" s="64"/>
      <c r="KQB21" s="64"/>
      <c r="KQC21" s="64"/>
      <c r="KQD21" s="64"/>
      <c r="KQE21" s="64"/>
      <c r="KQF21" s="64"/>
      <c r="KQG21" s="64"/>
      <c r="KQH21" s="64"/>
      <c r="KQI21" s="64"/>
      <c r="KQJ21" s="64"/>
      <c r="KQK21" s="64"/>
      <c r="KQL21" s="64"/>
      <c r="KQM21" s="64"/>
      <c r="KQN21" s="64"/>
      <c r="KQO21" s="64"/>
      <c r="KQP21" s="64"/>
      <c r="KQQ21" s="64"/>
      <c r="KQR21" s="64"/>
      <c r="KQS21" s="64"/>
      <c r="KQT21" s="64"/>
      <c r="KQU21" s="64"/>
      <c r="KQV21" s="64"/>
      <c r="KQW21" s="64"/>
      <c r="KQX21" s="64"/>
      <c r="KQY21" s="64"/>
      <c r="KQZ21" s="64"/>
      <c r="KRA21" s="64"/>
      <c r="KRB21" s="64"/>
      <c r="KRC21" s="64"/>
      <c r="KRD21" s="64"/>
      <c r="KRE21" s="64"/>
      <c r="KRF21" s="64"/>
      <c r="KRG21" s="64"/>
      <c r="KRH21" s="64"/>
      <c r="KRI21" s="64"/>
      <c r="KRJ21" s="64"/>
      <c r="KRK21" s="64"/>
      <c r="KRL21" s="64"/>
      <c r="KRM21" s="64"/>
      <c r="KRN21" s="64"/>
      <c r="KRO21" s="64"/>
      <c r="KRP21" s="64"/>
      <c r="KRQ21" s="64"/>
      <c r="KRR21" s="64"/>
      <c r="KRS21" s="64"/>
      <c r="KRT21" s="64"/>
      <c r="KRU21" s="64"/>
      <c r="KRV21" s="64"/>
      <c r="KRW21" s="64"/>
      <c r="KRX21" s="64"/>
      <c r="KRY21" s="64"/>
      <c r="KRZ21" s="64"/>
      <c r="KSA21" s="64"/>
      <c r="KSB21" s="64"/>
      <c r="KSC21" s="64"/>
      <c r="KSD21" s="64"/>
      <c r="KSE21" s="64"/>
      <c r="KSF21" s="64"/>
      <c r="KSG21" s="64"/>
      <c r="KSH21" s="64"/>
      <c r="KSI21" s="64"/>
      <c r="KSJ21" s="64"/>
      <c r="KSK21" s="64"/>
      <c r="KSL21" s="64"/>
      <c r="KSM21" s="64"/>
      <c r="KSN21" s="64"/>
      <c r="KSO21" s="64"/>
      <c r="KSP21" s="64"/>
      <c r="KSQ21" s="64"/>
      <c r="KSR21" s="64"/>
      <c r="KSS21" s="64"/>
      <c r="KST21" s="64"/>
      <c r="KSU21" s="64"/>
      <c r="KSV21" s="64"/>
      <c r="KSW21" s="64"/>
      <c r="KSX21" s="64"/>
      <c r="KSY21" s="64"/>
      <c r="KSZ21" s="64"/>
      <c r="KTA21" s="64"/>
      <c r="KTB21" s="64"/>
      <c r="KTC21" s="64"/>
      <c r="KTD21" s="64"/>
      <c r="KTE21" s="64"/>
      <c r="KTF21" s="64"/>
      <c r="KTG21" s="64"/>
      <c r="KTH21" s="64"/>
      <c r="KTI21" s="64"/>
      <c r="KTJ21" s="64"/>
      <c r="KTK21" s="64"/>
      <c r="KTL21" s="64"/>
      <c r="KTM21" s="64"/>
      <c r="KTN21" s="64"/>
      <c r="KTO21" s="64"/>
      <c r="KTP21" s="64"/>
      <c r="KTQ21" s="64"/>
      <c r="KTR21" s="64"/>
      <c r="KTS21" s="64"/>
      <c r="KTT21" s="64"/>
      <c r="KTU21" s="64"/>
      <c r="KTV21" s="64"/>
      <c r="KTW21" s="64"/>
      <c r="KTX21" s="64"/>
      <c r="KTY21" s="64"/>
      <c r="KTZ21" s="64"/>
      <c r="KUA21" s="64"/>
      <c r="KUB21" s="64"/>
      <c r="KUC21" s="64"/>
      <c r="KUD21" s="64"/>
      <c r="KUE21" s="64"/>
      <c r="KUF21" s="64"/>
      <c r="KUG21" s="64"/>
      <c r="KUH21" s="64"/>
      <c r="KUI21" s="64"/>
      <c r="KUJ21" s="64"/>
      <c r="KUK21" s="64"/>
      <c r="KUL21" s="64"/>
      <c r="KUM21" s="64"/>
      <c r="KUN21" s="64"/>
      <c r="KUO21" s="64"/>
      <c r="KUP21" s="64"/>
      <c r="KUQ21" s="64"/>
      <c r="KUR21" s="64"/>
      <c r="KUS21" s="64"/>
      <c r="KUT21" s="64"/>
      <c r="KUU21" s="64"/>
      <c r="KUV21" s="64"/>
      <c r="KUW21" s="64"/>
      <c r="KUX21" s="64"/>
      <c r="KUY21" s="64"/>
      <c r="KUZ21" s="64"/>
      <c r="KVA21" s="64"/>
      <c r="KVB21" s="64"/>
      <c r="KVC21" s="64"/>
      <c r="KVD21" s="64"/>
      <c r="KVE21" s="64"/>
      <c r="KVF21" s="64"/>
      <c r="KVG21" s="64"/>
      <c r="KVH21" s="64"/>
      <c r="KVI21" s="64"/>
      <c r="KVJ21" s="64"/>
      <c r="KVK21" s="64"/>
      <c r="KVL21" s="64"/>
      <c r="KVM21" s="64"/>
      <c r="KVN21" s="64"/>
      <c r="KVO21" s="64"/>
      <c r="KVP21" s="64"/>
      <c r="KVQ21" s="64"/>
      <c r="KVR21" s="64"/>
      <c r="KVS21" s="64"/>
      <c r="KVT21" s="64"/>
      <c r="KVU21" s="64"/>
      <c r="KVV21" s="64"/>
      <c r="KVW21" s="64"/>
      <c r="KVX21" s="64"/>
      <c r="KVY21" s="64"/>
      <c r="KVZ21" s="64"/>
      <c r="KWA21" s="64"/>
      <c r="KWB21" s="64"/>
      <c r="KWC21" s="64"/>
      <c r="KWD21" s="64"/>
      <c r="KWE21" s="64"/>
      <c r="KWF21" s="64"/>
      <c r="KWG21" s="64"/>
      <c r="KWH21" s="64"/>
      <c r="KWI21" s="64"/>
      <c r="KWJ21" s="64"/>
      <c r="KWK21" s="64"/>
      <c r="KWL21" s="64"/>
      <c r="KWM21" s="64"/>
      <c r="KWN21" s="64"/>
      <c r="KWO21" s="64"/>
      <c r="KWP21" s="64"/>
      <c r="KWQ21" s="64"/>
      <c r="KWR21" s="64"/>
      <c r="KWS21" s="64"/>
      <c r="KWT21" s="64"/>
      <c r="KWU21" s="64"/>
      <c r="KWV21" s="64"/>
      <c r="KWW21" s="64"/>
      <c r="KWX21" s="64"/>
      <c r="KWY21" s="64"/>
      <c r="KWZ21" s="64"/>
      <c r="KXA21" s="64"/>
      <c r="KXB21" s="64"/>
      <c r="KXC21" s="64"/>
      <c r="KXD21" s="64"/>
      <c r="KXE21" s="64"/>
      <c r="KXF21" s="64"/>
      <c r="KXG21" s="64"/>
      <c r="KXH21" s="64"/>
      <c r="KXI21" s="64"/>
      <c r="KXJ21" s="64"/>
      <c r="KXK21" s="64"/>
      <c r="KXL21" s="64"/>
      <c r="KXM21" s="64"/>
      <c r="KXN21" s="64"/>
      <c r="KXO21" s="64"/>
      <c r="KXP21" s="64"/>
      <c r="KXQ21" s="64"/>
      <c r="KXR21" s="64"/>
      <c r="KXS21" s="64"/>
      <c r="KXT21" s="64"/>
      <c r="KXU21" s="64"/>
      <c r="KXV21" s="64"/>
      <c r="KXW21" s="64"/>
      <c r="KXX21" s="64"/>
      <c r="KXY21" s="64"/>
      <c r="KXZ21" s="64"/>
      <c r="KYA21" s="64"/>
      <c r="KYB21" s="64"/>
      <c r="KYC21" s="64"/>
      <c r="KYD21" s="64"/>
      <c r="KYE21" s="64"/>
      <c r="KYF21" s="64"/>
      <c r="KYG21" s="64"/>
      <c r="KYH21" s="64"/>
      <c r="KYI21" s="64"/>
      <c r="KYJ21" s="64"/>
      <c r="KYK21" s="64"/>
      <c r="KYL21" s="64"/>
      <c r="KYM21" s="64"/>
      <c r="KYN21" s="64"/>
      <c r="KYO21" s="64"/>
      <c r="KYP21" s="64"/>
      <c r="KYQ21" s="64"/>
      <c r="KYR21" s="64"/>
      <c r="KYS21" s="64"/>
      <c r="KYT21" s="64"/>
      <c r="KYU21" s="64"/>
      <c r="KYV21" s="64"/>
      <c r="KYW21" s="64"/>
      <c r="KYX21" s="64"/>
      <c r="KYY21" s="64"/>
      <c r="KYZ21" s="64"/>
      <c r="KZA21" s="64"/>
      <c r="KZB21" s="64"/>
      <c r="KZC21" s="64"/>
      <c r="KZD21" s="64"/>
      <c r="KZE21" s="64"/>
      <c r="KZF21" s="64"/>
      <c r="KZG21" s="64"/>
      <c r="KZH21" s="64"/>
      <c r="KZI21" s="64"/>
      <c r="KZJ21" s="64"/>
      <c r="KZK21" s="64"/>
      <c r="KZL21" s="64"/>
      <c r="KZM21" s="64"/>
      <c r="KZN21" s="64"/>
      <c r="KZO21" s="64"/>
      <c r="KZP21" s="64"/>
      <c r="KZQ21" s="64"/>
      <c r="KZR21" s="64"/>
      <c r="KZS21" s="64"/>
      <c r="KZT21" s="64"/>
      <c r="KZU21" s="64"/>
      <c r="KZV21" s="64"/>
      <c r="KZW21" s="64"/>
      <c r="KZX21" s="64"/>
      <c r="KZY21" s="64"/>
      <c r="KZZ21" s="64"/>
      <c r="LAA21" s="64"/>
      <c r="LAB21" s="64"/>
      <c r="LAC21" s="64"/>
      <c r="LAD21" s="64"/>
      <c r="LAE21" s="64"/>
      <c r="LAF21" s="64"/>
      <c r="LAG21" s="64"/>
      <c r="LAH21" s="64"/>
      <c r="LAI21" s="64"/>
      <c r="LAJ21" s="64"/>
      <c r="LAK21" s="64"/>
      <c r="LAL21" s="64"/>
      <c r="LAM21" s="64"/>
      <c r="LAN21" s="64"/>
      <c r="LAO21" s="64"/>
      <c r="LAP21" s="64"/>
      <c r="LAQ21" s="64"/>
      <c r="LAR21" s="64"/>
      <c r="LAS21" s="64"/>
      <c r="LAT21" s="64"/>
      <c r="LAU21" s="64"/>
      <c r="LAV21" s="64"/>
      <c r="LAW21" s="64"/>
      <c r="LAX21" s="64"/>
      <c r="LAY21" s="64"/>
      <c r="LAZ21" s="64"/>
      <c r="LBA21" s="64"/>
      <c r="LBB21" s="64"/>
      <c r="LBC21" s="64"/>
      <c r="LBD21" s="64"/>
      <c r="LBE21" s="64"/>
      <c r="LBF21" s="64"/>
      <c r="LBG21" s="64"/>
      <c r="LBH21" s="64"/>
      <c r="LBI21" s="64"/>
      <c r="LBJ21" s="64"/>
      <c r="LBK21" s="64"/>
      <c r="LBL21" s="64"/>
      <c r="LBM21" s="64"/>
      <c r="LBN21" s="64"/>
      <c r="LBO21" s="64"/>
      <c r="LBP21" s="64"/>
      <c r="LBQ21" s="64"/>
      <c r="LBR21" s="64"/>
      <c r="LBS21" s="64"/>
      <c r="LBT21" s="64"/>
      <c r="LBU21" s="64"/>
      <c r="LBV21" s="64"/>
      <c r="LBW21" s="64"/>
      <c r="LBX21" s="64"/>
      <c r="LBY21" s="64"/>
      <c r="LBZ21" s="64"/>
      <c r="LCA21" s="64"/>
      <c r="LCB21" s="64"/>
      <c r="LCC21" s="64"/>
      <c r="LCD21" s="64"/>
      <c r="LCE21" s="64"/>
      <c r="LCF21" s="64"/>
      <c r="LCG21" s="64"/>
      <c r="LCH21" s="64"/>
      <c r="LCI21" s="64"/>
      <c r="LCJ21" s="64"/>
      <c r="LCK21" s="64"/>
      <c r="LCL21" s="64"/>
      <c r="LCM21" s="64"/>
      <c r="LCN21" s="64"/>
      <c r="LCO21" s="64"/>
      <c r="LCP21" s="64"/>
      <c r="LCQ21" s="64"/>
      <c r="LCR21" s="64"/>
      <c r="LCS21" s="64"/>
      <c r="LCT21" s="64"/>
      <c r="LCU21" s="64"/>
      <c r="LCV21" s="64"/>
      <c r="LCW21" s="64"/>
      <c r="LCX21" s="64"/>
      <c r="LCY21" s="64"/>
      <c r="LCZ21" s="64"/>
      <c r="LDA21" s="64"/>
      <c r="LDB21" s="64"/>
      <c r="LDC21" s="64"/>
      <c r="LDD21" s="64"/>
      <c r="LDE21" s="64"/>
      <c r="LDF21" s="64"/>
      <c r="LDG21" s="64"/>
      <c r="LDH21" s="64"/>
      <c r="LDI21" s="64"/>
      <c r="LDJ21" s="64"/>
      <c r="LDK21" s="64"/>
      <c r="LDL21" s="64"/>
      <c r="LDM21" s="64"/>
      <c r="LDN21" s="64"/>
      <c r="LDO21" s="64"/>
      <c r="LDP21" s="64"/>
      <c r="LDQ21" s="64"/>
      <c r="LDR21" s="64"/>
      <c r="LDS21" s="64"/>
      <c r="LDT21" s="64"/>
      <c r="LDU21" s="64"/>
      <c r="LDV21" s="64"/>
      <c r="LDW21" s="64"/>
      <c r="LDX21" s="64"/>
      <c r="LDY21" s="64"/>
      <c r="LDZ21" s="64"/>
      <c r="LEA21" s="64"/>
      <c r="LEB21" s="64"/>
      <c r="LEC21" s="64"/>
      <c r="LED21" s="64"/>
      <c r="LEE21" s="64"/>
      <c r="LEF21" s="64"/>
      <c r="LEG21" s="64"/>
      <c r="LEH21" s="64"/>
      <c r="LEI21" s="64"/>
      <c r="LEJ21" s="64"/>
      <c r="LEK21" s="64"/>
      <c r="LEL21" s="64"/>
      <c r="LEM21" s="64"/>
      <c r="LEN21" s="64"/>
      <c r="LEO21" s="64"/>
      <c r="LEP21" s="64"/>
      <c r="LEQ21" s="64"/>
      <c r="LER21" s="64"/>
      <c r="LES21" s="64"/>
      <c r="LET21" s="64"/>
      <c r="LEU21" s="64"/>
      <c r="LEV21" s="64"/>
      <c r="LEW21" s="64"/>
      <c r="LEX21" s="64"/>
      <c r="LEY21" s="64"/>
      <c r="LEZ21" s="64"/>
      <c r="LFA21" s="64"/>
      <c r="LFB21" s="64"/>
      <c r="LFC21" s="64"/>
      <c r="LFD21" s="64"/>
      <c r="LFE21" s="64"/>
      <c r="LFF21" s="64"/>
      <c r="LFG21" s="64"/>
      <c r="LFH21" s="64"/>
      <c r="LFI21" s="64"/>
      <c r="LFJ21" s="64"/>
      <c r="LFK21" s="64"/>
      <c r="LFL21" s="64"/>
      <c r="LFM21" s="64"/>
      <c r="LFN21" s="64"/>
      <c r="LFO21" s="64"/>
      <c r="LFP21" s="64"/>
      <c r="LFQ21" s="64"/>
      <c r="LFR21" s="64"/>
      <c r="LFS21" s="64"/>
      <c r="LFT21" s="64"/>
      <c r="LFU21" s="64"/>
      <c r="LFV21" s="64"/>
      <c r="LFW21" s="64"/>
      <c r="LFX21" s="64"/>
      <c r="LFY21" s="64"/>
      <c r="LFZ21" s="64"/>
      <c r="LGA21" s="64"/>
      <c r="LGB21" s="64"/>
      <c r="LGC21" s="64"/>
      <c r="LGD21" s="64"/>
      <c r="LGE21" s="64"/>
      <c r="LGF21" s="64"/>
      <c r="LGG21" s="64"/>
      <c r="LGH21" s="64"/>
      <c r="LGI21" s="64"/>
      <c r="LGJ21" s="64"/>
      <c r="LGK21" s="64"/>
      <c r="LGL21" s="64"/>
      <c r="LGM21" s="64"/>
      <c r="LGN21" s="64"/>
      <c r="LGO21" s="64"/>
      <c r="LGP21" s="64"/>
      <c r="LGQ21" s="64"/>
      <c r="LGR21" s="64"/>
      <c r="LGS21" s="64"/>
      <c r="LGT21" s="64"/>
      <c r="LGU21" s="64"/>
      <c r="LGV21" s="64"/>
      <c r="LGW21" s="64"/>
      <c r="LGX21" s="64"/>
      <c r="LGY21" s="64"/>
      <c r="LGZ21" s="64"/>
      <c r="LHA21" s="64"/>
      <c r="LHB21" s="64"/>
      <c r="LHC21" s="64"/>
      <c r="LHD21" s="64"/>
      <c r="LHE21" s="64"/>
      <c r="LHF21" s="64"/>
      <c r="LHG21" s="64"/>
      <c r="LHH21" s="64"/>
      <c r="LHI21" s="64"/>
      <c r="LHJ21" s="64"/>
      <c r="LHK21" s="64"/>
      <c r="LHL21" s="64"/>
      <c r="LHM21" s="64"/>
      <c r="LHN21" s="64"/>
      <c r="LHO21" s="64"/>
      <c r="LHP21" s="64"/>
      <c r="LHQ21" s="64"/>
      <c r="LHR21" s="64"/>
      <c r="LHS21" s="64"/>
      <c r="LHT21" s="64"/>
      <c r="LHU21" s="64"/>
      <c r="LHV21" s="64"/>
      <c r="LHW21" s="64"/>
      <c r="LHX21" s="64"/>
      <c r="LHY21" s="64"/>
      <c r="LHZ21" s="64"/>
      <c r="LIA21" s="64"/>
      <c r="LIB21" s="64"/>
      <c r="LIC21" s="64"/>
      <c r="LID21" s="64"/>
      <c r="LIE21" s="64"/>
      <c r="LIF21" s="64"/>
      <c r="LIG21" s="64"/>
      <c r="LIH21" s="64"/>
      <c r="LII21" s="64"/>
      <c r="LIJ21" s="64"/>
      <c r="LIK21" s="64"/>
      <c r="LIL21" s="64"/>
      <c r="LIM21" s="64"/>
      <c r="LIN21" s="64"/>
      <c r="LIO21" s="64"/>
      <c r="LIP21" s="64"/>
      <c r="LIQ21" s="64"/>
      <c r="LIR21" s="64"/>
      <c r="LIS21" s="64"/>
      <c r="LIT21" s="64"/>
      <c r="LIU21" s="64"/>
      <c r="LIV21" s="64"/>
      <c r="LIW21" s="64"/>
      <c r="LIX21" s="64"/>
      <c r="LIY21" s="64"/>
      <c r="LIZ21" s="64"/>
      <c r="LJA21" s="64"/>
      <c r="LJB21" s="64"/>
      <c r="LJC21" s="64"/>
      <c r="LJD21" s="64"/>
      <c r="LJE21" s="64"/>
      <c r="LJF21" s="64"/>
      <c r="LJG21" s="64"/>
      <c r="LJH21" s="64"/>
      <c r="LJI21" s="64"/>
      <c r="LJJ21" s="64"/>
      <c r="LJK21" s="64"/>
      <c r="LJL21" s="64"/>
      <c r="LJM21" s="64"/>
      <c r="LJN21" s="64"/>
      <c r="LJO21" s="64"/>
      <c r="LJP21" s="64"/>
      <c r="LJQ21" s="64"/>
      <c r="LJR21" s="64"/>
      <c r="LJS21" s="64"/>
      <c r="LJT21" s="64"/>
      <c r="LJU21" s="64"/>
      <c r="LJV21" s="64"/>
      <c r="LJW21" s="64"/>
      <c r="LJX21" s="64"/>
      <c r="LJY21" s="64"/>
      <c r="LJZ21" s="64"/>
      <c r="LKA21" s="64"/>
      <c r="LKB21" s="64"/>
      <c r="LKC21" s="64"/>
      <c r="LKD21" s="64"/>
      <c r="LKE21" s="64"/>
      <c r="LKF21" s="64"/>
      <c r="LKG21" s="64"/>
      <c r="LKH21" s="64"/>
      <c r="LKI21" s="64"/>
      <c r="LKJ21" s="64"/>
      <c r="LKK21" s="64"/>
      <c r="LKL21" s="64"/>
      <c r="LKM21" s="64"/>
      <c r="LKN21" s="64"/>
      <c r="LKO21" s="64"/>
      <c r="LKP21" s="64"/>
      <c r="LKQ21" s="64"/>
      <c r="LKR21" s="64"/>
      <c r="LKS21" s="64"/>
      <c r="LKT21" s="64"/>
      <c r="LKU21" s="64"/>
      <c r="LKV21" s="64"/>
      <c r="LKW21" s="64"/>
      <c r="LKX21" s="64"/>
      <c r="LKY21" s="64"/>
      <c r="LKZ21" s="64"/>
      <c r="LLA21" s="64"/>
      <c r="LLB21" s="64"/>
      <c r="LLC21" s="64"/>
      <c r="LLD21" s="64"/>
      <c r="LLE21" s="64"/>
      <c r="LLF21" s="64"/>
      <c r="LLG21" s="64"/>
      <c r="LLH21" s="64"/>
      <c r="LLI21" s="64"/>
      <c r="LLJ21" s="64"/>
      <c r="LLK21" s="64"/>
      <c r="LLL21" s="64"/>
      <c r="LLM21" s="64"/>
      <c r="LLN21" s="64"/>
      <c r="LLO21" s="64"/>
      <c r="LLP21" s="64"/>
      <c r="LLQ21" s="64"/>
      <c r="LLR21" s="64"/>
      <c r="LLS21" s="64"/>
      <c r="LLT21" s="64"/>
      <c r="LLU21" s="64"/>
      <c r="LLV21" s="64"/>
      <c r="LLW21" s="64"/>
      <c r="LLX21" s="64"/>
      <c r="LLY21" s="64"/>
      <c r="LLZ21" s="64"/>
      <c r="LMA21" s="64"/>
      <c r="LMB21" s="64"/>
      <c r="LMC21" s="64"/>
      <c r="LMD21" s="64"/>
      <c r="LME21" s="64"/>
      <c r="LMF21" s="64"/>
      <c r="LMG21" s="64"/>
      <c r="LMH21" s="64"/>
      <c r="LMI21" s="64"/>
      <c r="LMJ21" s="64"/>
      <c r="LMK21" s="64"/>
      <c r="LML21" s="64"/>
      <c r="LMM21" s="64"/>
      <c r="LMN21" s="64"/>
      <c r="LMO21" s="64"/>
      <c r="LMP21" s="64"/>
      <c r="LMQ21" s="64"/>
      <c r="LMR21" s="64"/>
      <c r="LMS21" s="64"/>
      <c r="LMT21" s="64"/>
      <c r="LMU21" s="64"/>
      <c r="LMV21" s="64"/>
      <c r="LMW21" s="64"/>
      <c r="LMX21" s="64"/>
      <c r="LMY21" s="64"/>
      <c r="LMZ21" s="64"/>
      <c r="LNA21" s="64"/>
      <c r="LNB21" s="64"/>
      <c r="LNC21" s="64"/>
      <c r="LND21" s="64"/>
      <c r="LNE21" s="64"/>
      <c r="LNF21" s="64"/>
      <c r="LNG21" s="64"/>
      <c r="LNH21" s="64"/>
      <c r="LNI21" s="64"/>
      <c r="LNJ21" s="64"/>
      <c r="LNK21" s="64"/>
      <c r="LNL21" s="64"/>
      <c r="LNM21" s="64"/>
      <c r="LNN21" s="64"/>
      <c r="LNO21" s="64"/>
      <c r="LNP21" s="64"/>
      <c r="LNQ21" s="64"/>
      <c r="LNR21" s="64"/>
      <c r="LNS21" s="64"/>
      <c r="LNT21" s="64"/>
      <c r="LNU21" s="64"/>
      <c r="LNV21" s="64"/>
      <c r="LNW21" s="64"/>
      <c r="LNX21" s="64"/>
      <c r="LNY21" s="64"/>
      <c r="LNZ21" s="64"/>
      <c r="LOA21" s="64"/>
      <c r="LOB21" s="64"/>
      <c r="LOC21" s="64"/>
      <c r="LOD21" s="64"/>
      <c r="LOE21" s="64"/>
      <c r="LOF21" s="64"/>
      <c r="LOG21" s="64"/>
      <c r="LOH21" s="64"/>
      <c r="LOI21" s="64"/>
      <c r="LOJ21" s="64"/>
      <c r="LOK21" s="64"/>
      <c r="LOL21" s="64"/>
      <c r="LOM21" s="64"/>
      <c r="LON21" s="64"/>
      <c r="LOO21" s="64"/>
      <c r="LOP21" s="64"/>
      <c r="LOQ21" s="64"/>
      <c r="LOR21" s="64"/>
      <c r="LOS21" s="64"/>
      <c r="LOT21" s="64"/>
      <c r="LOU21" s="64"/>
      <c r="LOV21" s="64"/>
      <c r="LOW21" s="64"/>
      <c r="LOX21" s="64"/>
      <c r="LOY21" s="64"/>
      <c r="LOZ21" s="64"/>
      <c r="LPA21" s="64"/>
      <c r="LPB21" s="64"/>
      <c r="LPC21" s="64"/>
      <c r="LPD21" s="64"/>
      <c r="LPE21" s="64"/>
      <c r="LPF21" s="64"/>
      <c r="LPG21" s="64"/>
      <c r="LPH21" s="64"/>
      <c r="LPI21" s="64"/>
      <c r="LPJ21" s="64"/>
      <c r="LPK21" s="64"/>
      <c r="LPL21" s="64"/>
      <c r="LPM21" s="64"/>
      <c r="LPN21" s="64"/>
      <c r="LPO21" s="64"/>
      <c r="LPP21" s="64"/>
      <c r="LPQ21" s="64"/>
      <c r="LPR21" s="64"/>
      <c r="LPS21" s="64"/>
      <c r="LPT21" s="64"/>
      <c r="LPU21" s="64"/>
      <c r="LPV21" s="64"/>
      <c r="LPW21" s="64"/>
      <c r="LPX21" s="64"/>
      <c r="LPY21" s="64"/>
      <c r="LPZ21" s="64"/>
      <c r="LQA21" s="64"/>
      <c r="LQB21" s="64"/>
      <c r="LQC21" s="64"/>
      <c r="LQD21" s="64"/>
      <c r="LQE21" s="64"/>
      <c r="LQF21" s="64"/>
      <c r="LQG21" s="64"/>
      <c r="LQH21" s="64"/>
      <c r="LQI21" s="64"/>
      <c r="LQJ21" s="64"/>
      <c r="LQK21" s="64"/>
      <c r="LQL21" s="64"/>
      <c r="LQM21" s="64"/>
      <c r="LQN21" s="64"/>
      <c r="LQO21" s="64"/>
      <c r="LQP21" s="64"/>
      <c r="LQQ21" s="64"/>
      <c r="LQR21" s="64"/>
      <c r="LQS21" s="64"/>
      <c r="LQT21" s="64"/>
      <c r="LQU21" s="64"/>
      <c r="LQV21" s="64"/>
      <c r="LQW21" s="64"/>
      <c r="LQX21" s="64"/>
      <c r="LQY21" s="64"/>
      <c r="LQZ21" s="64"/>
      <c r="LRA21" s="64"/>
      <c r="LRB21" s="64"/>
      <c r="LRC21" s="64"/>
      <c r="LRD21" s="64"/>
      <c r="LRE21" s="64"/>
      <c r="LRF21" s="64"/>
      <c r="LRG21" s="64"/>
      <c r="LRH21" s="64"/>
      <c r="LRI21" s="64"/>
      <c r="LRJ21" s="64"/>
      <c r="LRK21" s="64"/>
      <c r="LRL21" s="64"/>
      <c r="LRM21" s="64"/>
      <c r="LRN21" s="64"/>
      <c r="LRO21" s="64"/>
      <c r="LRP21" s="64"/>
      <c r="LRQ21" s="64"/>
      <c r="LRR21" s="64"/>
      <c r="LRS21" s="64"/>
      <c r="LRT21" s="64"/>
      <c r="LRU21" s="64"/>
      <c r="LRV21" s="64"/>
      <c r="LRW21" s="64"/>
      <c r="LRX21" s="64"/>
      <c r="LRY21" s="64"/>
      <c r="LRZ21" s="64"/>
      <c r="LSA21" s="64"/>
      <c r="LSB21" s="64"/>
      <c r="LSC21" s="64"/>
      <c r="LSD21" s="64"/>
      <c r="LSE21" s="64"/>
      <c r="LSF21" s="64"/>
      <c r="LSG21" s="64"/>
      <c r="LSH21" s="64"/>
      <c r="LSI21" s="64"/>
      <c r="LSJ21" s="64"/>
      <c r="LSK21" s="64"/>
      <c r="LSL21" s="64"/>
      <c r="LSM21" s="64"/>
      <c r="LSN21" s="64"/>
      <c r="LSO21" s="64"/>
      <c r="LSP21" s="64"/>
      <c r="LSQ21" s="64"/>
      <c r="LSR21" s="64"/>
      <c r="LSS21" s="64"/>
      <c r="LST21" s="64"/>
      <c r="LSU21" s="64"/>
      <c r="LSV21" s="64"/>
      <c r="LSW21" s="64"/>
      <c r="LSX21" s="64"/>
      <c r="LSY21" s="64"/>
      <c r="LSZ21" s="64"/>
      <c r="LTA21" s="64"/>
      <c r="LTB21" s="64"/>
      <c r="LTC21" s="64"/>
      <c r="LTD21" s="64"/>
      <c r="LTE21" s="64"/>
      <c r="LTF21" s="64"/>
      <c r="LTG21" s="64"/>
      <c r="LTH21" s="64"/>
      <c r="LTI21" s="64"/>
      <c r="LTJ21" s="64"/>
      <c r="LTK21" s="64"/>
      <c r="LTL21" s="64"/>
      <c r="LTM21" s="64"/>
      <c r="LTN21" s="64"/>
      <c r="LTO21" s="64"/>
      <c r="LTP21" s="64"/>
      <c r="LTQ21" s="64"/>
      <c r="LTR21" s="64"/>
      <c r="LTS21" s="64"/>
      <c r="LTT21" s="64"/>
      <c r="LTU21" s="64"/>
      <c r="LTV21" s="64"/>
      <c r="LTW21" s="64"/>
      <c r="LTX21" s="64"/>
      <c r="LTY21" s="64"/>
      <c r="LTZ21" s="64"/>
      <c r="LUA21" s="64"/>
      <c r="LUB21" s="64"/>
      <c r="LUC21" s="64"/>
      <c r="LUD21" s="64"/>
      <c r="LUE21" s="64"/>
      <c r="LUF21" s="64"/>
      <c r="LUG21" s="64"/>
      <c r="LUH21" s="64"/>
      <c r="LUI21" s="64"/>
      <c r="LUJ21" s="64"/>
      <c r="LUK21" s="64"/>
      <c r="LUL21" s="64"/>
      <c r="LUM21" s="64"/>
      <c r="LUN21" s="64"/>
      <c r="LUO21" s="64"/>
      <c r="LUP21" s="64"/>
      <c r="LUQ21" s="64"/>
      <c r="LUR21" s="64"/>
      <c r="LUS21" s="64"/>
      <c r="LUT21" s="64"/>
      <c r="LUU21" s="64"/>
      <c r="LUV21" s="64"/>
      <c r="LUW21" s="64"/>
      <c r="LUX21" s="64"/>
      <c r="LUY21" s="64"/>
      <c r="LUZ21" s="64"/>
      <c r="LVA21" s="64"/>
      <c r="LVB21" s="64"/>
      <c r="LVC21" s="64"/>
      <c r="LVD21" s="64"/>
      <c r="LVE21" s="64"/>
      <c r="LVF21" s="64"/>
      <c r="LVG21" s="64"/>
      <c r="LVH21" s="64"/>
      <c r="LVI21" s="64"/>
      <c r="LVJ21" s="64"/>
      <c r="LVK21" s="64"/>
      <c r="LVL21" s="64"/>
      <c r="LVM21" s="64"/>
      <c r="LVN21" s="64"/>
      <c r="LVO21" s="64"/>
      <c r="LVP21" s="64"/>
      <c r="LVQ21" s="64"/>
      <c r="LVR21" s="64"/>
      <c r="LVS21" s="64"/>
      <c r="LVT21" s="64"/>
      <c r="LVU21" s="64"/>
      <c r="LVV21" s="64"/>
      <c r="LVW21" s="64"/>
      <c r="LVX21" s="64"/>
      <c r="LVY21" s="64"/>
      <c r="LVZ21" s="64"/>
      <c r="LWA21" s="64"/>
      <c r="LWB21" s="64"/>
      <c r="LWC21" s="64"/>
      <c r="LWD21" s="64"/>
      <c r="LWE21" s="64"/>
      <c r="LWF21" s="64"/>
      <c r="LWG21" s="64"/>
      <c r="LWH21" s="64"/>
      <c r="LWI21" s="64"/>
      <c r="LWJ21" s="64"/>
      <c r="LWK21" s="64"/>
      <c r="LWL21" s="64"/>
      <c r="LWM21" s="64"/>
      <c r="LWN21" s="64"/>
      <c r="LWO21" s="64"/>
      <c r="LWP21" s="64"/>
      <c r="LWQ21" s="64"/>
      <c r="LWR21" s="64"/>
      <c r="LWS21" s="64"/>
      <c r="LWT21" s="64"/>
      <c r="LWU21" s="64"/>
      <c r="LWV21" s="64"/>
      <c r="LWW21" s="64"/>
      <c r="LWX21" s="64"/>
      <c r="LWY21" s="64"/>
      <c r="LWZ21" s="64"/>
      <c r="LXA21" s="64"/>
      <c r="LXB21" s="64"/>
      <c r="LXC21" s="64"/>
      <c r="LXD21" s="64"/>
      <c r="LXE21" s="64"/>
      <c r="LXF21" s="64"/>
      <c r="LXG21" s="64"/>
      <c r="LXH21" s="64"/>
      <c r="LXI21" s="64"/>
      <c r="LXJ21" s="64"/>
      <c r="LXK21" s="64"/>
      <c r="LXL21" s="64"/>
      <c r="LXM21" s="64"/>
      <c r="LXN21" s="64"/>
      <c r="LXO21" s="64"/>
      <c r="LXP21" s="64"/>
      <c r="LXQ21" s="64"/>
      <c r="LXR21" s="64"/>
      <c r="LXS21" s="64"/>
      <c r="LXT21" s="64"/>
      <c r="LXU21" s="64"/>
      <c r="LXV21" s="64"/>
      <c r="LXW21" s="64"/>
      <c r="LXX21" s="64"/>
      <c r="LXY21" s="64"/>
      <c r="LXZ21" s="64"/>
      <c r="LYA21" s="64"/>
      <c r="LYB21" s="64"/>
      <c r="LYC21" s="64"/>
      <c r="LYD21" s="64"/>
      <c r="LYE21" s="64"/>
      <c r="LYF21" s="64"/>
      <c r="LYG21" s="64"/>
      <c r="LYH21" s="64"/>
      <c r="LYI21" s="64"/>
      <c r="LYJ21" s="64"/>
      <c r="LYK21" s="64"/>
      <c r="LYL21" s="64"/>
      <c r="LYM21" s="64"/>
      <c r="LYN21" s="64"/>
      <c r="LYO21" s="64"/>
      <c r="LYP21" s="64"/>
      <c r="LYQ21" s="64"/>
      <c r="LYR21" s="64"/>
      <c r="LYS21" s="64"/>
      <c r="LYT21" s="64"/>
      <c r="LYU21" s="64"/>
      <c r="LYV21" s="64"/>
      <c r="LYW21" s="64"/>
      <c r="LYX21" s="64"/>
      <c r="LYY21" s="64"/>
      <c r="LYZ21" s="64"/>
      <c r="LZA21" s="64"/>
      <c r="LZB21" s="64"/>
      <c r="LZC21" s="64"/>
      <c r="LZD21" s="64"/>
      <c r="LZE21" s="64"/>
      <c r="LZF21" s="64"/>
      <c r="LZG21" s="64"/>
      <c r="LZH21" s="64"/>
      <c r="LZI21" s="64"/>
      <c r="LZJ21" s="64"/>
      <c r="LZK21" s="64"/>
      <c r="LZL21" s="64"/>
      <c r="LZM21" s="64"/>
      <c r="LZN21" s="64"/>
      <c r="LZO21" s="64"/>
      <c r="LZP21" s="64"/>
      <c r="LZQ21" s="64"/>
      <c r="LZR21" s="64"/>
      <c r="LZS21" s="64"/>
      <c r="LZT21" s="64"/>
      <c r="LZU21" s="64"/>
      <c r="LZV21" s="64"/>
      <c r="LZW21" s="64"/>
      <c r="LZX21" s="64"/>
      <c r="LZY21" s="64"/>
      <c r="LZZ21" s="64"/>
      <c r="MAA21" s="64"/>
      <c r="MAB21" s="64"/>
      <c r="MAC21" s="64"/>
      <c r="MAD21" s="64"/>
      <c r="MAE21" s="64"/>
      <c r="MAF21" s="64"/>
      <c r="MAG21" s="64"/>
      <c r="MAH21" s="64"/>
      <c r="MAI21" s="64"/>
      <c r="MAJ21" s="64"/>
      <c r="MAK21" s="64"/>
      <c r="MAL21" s="64"/>
      <c r="MAM21" s="64"/>
      <c r="MAN21" s="64"/>
      <c r="MAO21" s="64"/>
      <c r="MAP21" s="64"/>
      <c r="MAQ21" s="64"/>
      <c r="MAR21" s="64"/>
      <c r="MAS21" s="64"/>
      <c r="MAT21" s="64"/>
      <c r="MAU21" s="64"/>
      <c r="MAV21" s="64"/>
      <c r="MAW21" s="64"/>
      <c r="MAX21" s="64"/>
      <c r="MAY21" s="64"/>
      <c r="MAZ21" s="64"/>
      <c r="MBA21" s="64"/>
      <c r="MBB21" s="64"/>
      <c r="MBC21" s="64"/>
      <c r="MBD21" s="64"/>
      <c r="MBE21" s="64"/>
      <c r="MBF21" s="64"/>
      <c r="MBG21" s="64"/>
      <c r="MBH21" s="64"/>
      <c r="MBI21" s="64"/>
      <c r="MBJ21" s="64"/>
      <c r="MBK21" s="64"/>
      <c r="MBL21" s="64"/>
      <c r="MBM21" s="64"/>
      <c r="MBN21" s="64"/>
      <c r="MBO21" s="64"/>
      <c r="MBP21" s="64"/>
      <c r="MBQ21" s="64"/>
      <c r="MBR21" s="64"/>
      <c r="MBS21" s="64"/>
      <c r="MBT21" s="64"/>
      <c r="MBU21" s="64"/>
      <c r="MBV21" s="64"/>
      <c r="MBW21" s="64"/>
      <c r="MBX21" s="64"/>
      <c r="MBY21" s="64"/>
      <c r="MBZ21" s="64"/>
      <c r="MCA21" s="64"/>
      <c r="MCB21" s="64"/>
      <c r="MCC21" s="64"/>
      <c r="MCD21" s="64"/>
      <c r="MCE21" s="64"/>
      <c r="MCF21" s="64"/>
      <c r="MCG21" s="64"/>
      <c r="MCH21" s="64"/>
      <c r="MCI21" s="64"/>
      <c r="MCJ21" s="64"/>
      <c r="MCK21" s="64"/>
      <c r="MCL21" s="64"/>
      <c r="MCM21" s="64"/>
      <c r="MCN21" s="64"/>
      <c r="MCO21" s="64"/>
      <c r="MCP21" s="64"/>
      <c r="MCQ21" s="64"/>
      <c r="MCR21" s="64"/>
      <c r="MCS21" s="64"/>
      <c r="MCT21" s="64"/>
      <c r="MCU21" s="64"/>
      <c r="MCV21" s="64"/>
      <c r="MCW21" s="64"/>
      <c r="MCX21" s="64"/>
      <c r="MCY21" s="64"/>
      <c r="MCZ21" s="64"/>
      <c r="MDA21" s="64"/>
      <c r="MDB21" s="64"/>
      <c r="MDC21" s="64"/>
      <c r="MDD21" s="64"/>
      <c r="MDE21" s="64"/>
      <c r="MDF21" s="64"/>
      <c r="MDG21" s="64"/>
      <c r="MDH21" s="64"/>
      <c r="MDI21" s="64"/>
      <c r="MDJ21" s="64"/>
      <c r="MDK21" s="64"/>
      <c r="MDL21" s="64"/>
      <c r="MDM21" s="64"/>
      <c r="MDN21" s="64"/>
      <c r="MDO21" s="64"/>
      <c r="MDP21" s="64"/>
      <c r="MDQ21" s="64"/>
      <c r="MDR21" s="64"/>
      <c r="MDS21" s="64"/>
      <c r="MDT21" s="64"/>
      <c r="MDU21" s="64"/>
      <c r="MDV21" s="64"/>
      <c r="MDW21" s="64"/>
      <c r="MDX21" s="64"/>
      <c r="MDY21" s="64"/>
      <c r="MDZ21" s="64"/>
      <c r="MEA21" s="64"/>
      <c r="MEB21" s="64"/>
      <c r="MEC21" s="64"/>
      <c r="MED21" s="64"/>
      <c r="MEE21" s="64"/>
      <c r="MEF21" s="64"/>
      <c r="MEG21" s="64"/>
      <c r="MEH21" s="64"/>
      <c r="MEI21" s="64"/>
      <c r="MEJ21" s="64"/>
      <c r="MEK21" s="64"/>
      <c r="MEL21" s="64"/>
      <c r="MEM21" s="64"/>
      <c r="MEN21" s="64"/>
      <c r="MEO21" s="64"/>
      <c r="MEP21" s="64"/>
      <c r="MEQ21" s="64"/>
      <c r="MER21" s="64"/>
      <c r="MES21" s="64"/>
      <c r="MET21" s="64"/>
      <c r="MEU21" s="64"/>
      <c r="MEV21" s="64"/>
      <c r="MEW21" s="64"/>
      <c r="MEX21" s="64"/>
      <c r="MEY21" s="64"/>
      <c r="MEZ21" s="64"/>
      <c r="MFA21" s="64"/>
      <c r="MFB21" s="64"/>
      <c r="MFC21" s="64"/>
      <c r="MFD21" s="64"/>
      <c r="MFE21" s="64"/>
      <c r="MFF21" s="64"/>
      <c r="MFG21" s="64"/>
      <c r="MFH21" s="64"/>
      <c r="MFI21" s="64"/>
      <c r="MFJ21" s="64"/>
      <c r="MFK21" s="64"/>
      <c r="MFL21" s="64"/>
      <c r="MFM21" s="64"/>
      <c r="MFN21" s="64"/>
      <c r="MFO21" s="64"/>
      <c r="MFP21" s="64"/>
      <c r="MFQ21" s="64"/>
      <c r="MFR21" s="64"/>
      <c r="MFS21" s="64"/>
      <c r="MFT21" s="64"/>
      <c r="MFU21" s="64"/>
      <c r="MFV21" s="64"/>
      <c r="MFW21" s="64"/>
      <c r="MFX21" s="64"/>
      <c r="MFY21" s="64"/>
      <c r="MFZ21" s="64"/>
      <c r="MGA21" s="64"/>
      <c r="MGB21" s="64"/>
      <c r="MGC21" s="64"/>
      <c r="MGD21" s="64"/>
      <c r="MGE21" s="64"/>
      <c r="MGF21" s="64"/>
      <c r="MGG21" s="64"/>
      <c r="MGH21" s="64"/>
      <c r="MGI21" s="64"/>
      <c r="MGJ21" s="64"/>
      <c r="MGK21" s="64"/>
      <c r="MGL21" s="64"/>
      <c r="MGM21" s="64"/>
      <c r="MGN21" s="64"/>
      <c r="MGO21" s="64"/>
      <c r="MGP21" s="64"/>
      <c r="MGQ21" s="64"/>
      <c r="MGR21" s="64"/>
      <c r="MGS21" s="64"/>
      <c r="MGT21" s="64"/>
      <c r="MGU21" s="64"/>
      <c r="MGV21" s="64"/>
      <c r="MGW21" s="64"/>
      <c r="MGX21" s="64"/>
      <c r="MGY21" s="64"/>
      <c r="MGZ21" s="64"/>
      <c r="MHA21" s="64"/>
      <c r="MHB21" s="64"/>
      <c r="MHC21" s="64"/>
      <c r="MHD21" s="64"/>
      <c r="MHE21" s="64"/>
      <c r="MHF21" s="64"/>
      <c r="MHG21" s="64"/>
      <c r="MHH21" s="64"/>
      <c r="MHI21" s="64"/>
      <c r="MHJ21" s="64"/>
      <c r="MHK21" s="64"/>
      <c r="MHL21" s="64"/>
      <c r="MHM21" s="64"/>
      <c r="MHN21" s="64"/>
      <c r="MHO21" s="64"/>
      <c r="MHP21" s="64"/>
      <c r="MHQ21" s="64"/>
      <c r="MHR21" s="64"/>
      <c r="MHS21" s="64"/>
      <c r="MHT21" s="64"/>
      <c r="MHU21" s="64"/>
      <c r="MHV21" s="64"/>
      <c r="MHW21" s="64"/>
      <c r="MHX21" s="64"/>
      <c r="MHY21" s="64"/>
      <c r="MHZ21" s="64"/>
      <c r="MIA21" s="64"/>
      <c r="MIB21" s="64"/>
      <c r="MIC21" s="64"/>
      <c r="MID21" s="64"/>
      <c r="MIE21" s="64"/>
      <c r="MIF21" s="64"/>
      <c r="MIG21" s="64"/>
      <c r="MIH21" s="64"/>
      <c r="MII21" s="64"/>
      <c r="MIJ21" s="64"/>
      <c r="MIK21" s="64"/>
      <c r="MIL21" s="64"/>
      <c r="MIM21" s="64"/>
      <c r="MIN21" s="64"/>
      <c r="MIO21" s="64"/>
      <c r="MIP21" s="64"/>
      <c r="MIQ21" s="64"/>
      <c r="MIR21" s="64"/>
      <c r="MIS21" s="64"/>
      <c r="MIT21" s="64"/>
      <c r="MIU21" s="64"/>
      <c r="MIV21" s="64"/>
      <c r="MIW21" s="64"/>
      <c r="MIX21" s="64"/>
      <c r="MIY21" s="64"/>
      <c r="MIZ21" s="64"/>
      <c r="MJA21" s="64"/>
      <c r="MJB21" s="64"/>
      <c r="MJC21" s="64"/>
      <c r="MJD21" s="64"/>
      <c r="MJE21" s="64"/>
      <c r="MJF21" s="64"/>
      <c r="MJG21" s="64"/>
      <c r="MJH21" s="64"/>
      <c r="MJI21" s="64"/>
      <c r="MJJ21" s="64"/>
      <c r="MJK21" s="64"/>
      <c r="MJL21" s="64"/>
      <c r="MJM21" s="64"/>
      <c r="MJN21" s="64"/>
      <c r="MJO21" s="64"/>
      <c r="MJP21" s="64"/>
      <c r="MJQ21" s="64"/>
      <c r="MJR21" s="64"/>
      <c r="MJS21" s="64"/>
      <c r="MJT21" s="64"/>
      <c r="MJU21" s="64"/>
      <c r="MJV21" s="64"/>
      <c r="MJW21" s="64"/>
      <c r="MJX21" s="64"/>
      <c r="MJY21" s="64"/>
      <c r="MJZ21" s="64"/>
      <c r="MKA21" s="64"/>
      <c r="MKB21" s="64"/>
      <c r="MKC21" s="64"/>
      <c r="MKD21" s="64"/>
      <c r="MKE21" s="64"/>
      <c r="MKF21" s="64"/>
      <c r="MKG21" s="64"/>
      <c r="MKH21" s="64"/>
      <c r="MKI21" s="64"/>
      <c r="MKJ21" s="64"/>
      <c r="MKK21" s="64"/>
      <c r="MKL21" s="64"/>
      <c r="MKM21" s="64"/>
      <c r="MKN21" s="64"/>
      <c r="MKO21" s="64"/>
      <c r="MKP21" s="64"/>
      <c r="MKQ21" s="64"/>
      <c r="MKR21" s="64"/>
      <c r="MKS21" s="64"/>
      <c r="MKT21" s="64"/>
      <c r="MKU21" s="64"/>
      <c r="MKV21" s="64"/>
      <c r="MKW21" s="64"/>
      <c r="MKX21" s="64"/>
      <c r="MKY21" s="64"/>
      <c r="MKZ21" s="64"/>
      <c r="MLA21" s="64"/>
      <c r="MLB21" s="64"/>
      <c r="MLC21" s="64"/>
      <c r="MLD21" s="64"/>
      <c r="MLE21" s="64"/>
      <c r="MLF21" s="64"/>
      <c r="MLG21" s="64"/>
      <c r="MLH21" s="64"/>
      <c r="MLI21" s="64"/>
      <c r="MLJ21" s="64"/>
      <c r="MLK21" s="64"/>
      <c r="MLL21" s="64"/>
      <c r="MLM21" s="64"/>
      <c r="MLN21" s="64"/>
      <c r="MLO21" s="64"/>
      <c r="MLP21" s="64"/>
      <c r="MLQ21" s="64"/>
      <c r="MLR21" s="64"/>
      <c r="MLS21" s="64"/>
      <c r="MLT21" s="64"/>
      <c r="MLU21" s="64"/>
      <c r="MLV21" s="64"/>
      <c r="MLW21" s="64"/>
      <c r="MLX21" s="64"/>
      <c r="MLY21" s="64"/>
      <c r="MLZ21" s="64"/>
      <c r="MMA21" s="64"/>
      <c r="MMB21" s="64"/>
      <c r="MMC21" s="64"/>
      <c r="MMD21" s="64"/>
      <c r="MME21" s="64"/>
      <c r="MMF21" s="64"/>
      <c r="MMG21" s="64"/>
      <c r="MMH21" s="64"/>
      <c r="MMI21" s="64"/>
      <c r="MMJ21" s="64"/>
      <c r="MMK21" s="64"/>
      <c r="MML21" s="64"/>
      <c r="MMM21" s="64"/>
      <c r="MMN21" s="64"/>
      <c r="MMO21" s="64"/>
      <c r="MMP21" s="64"/>
      <c r="MMQ21" s="64"/>
      <c r="MMR21" s="64"/>
      <c r="MMS21" s="64"/>
      <c r="MMT21" s="64"/>
      <c r="MMU21" s="64"/>
      <c r="MMV21" s="64"/>
      <c r="MMW21" s="64"/>
      <c r="MMX21" s="64"/>
      <c r="MMY21" s="64"/>
      <c r="MMZ21" s="64"/>
      <c r="MNA21" s="64"/>
      <c r="MNB21" s="64"/>
      <c r="MNC21" s="64"/>
      <c r="MND21" s="64"/>
      <c r="MNE21" s="64"/>
      <c r="MNF21" s="64"/>
      <c r="MNG21" s="64"/>
      <c r="MNH21" s="64"/>
      <c r="MNI21" s="64"/>
      <c r="MNJ21" s="64"/>
      <c r="MNK21" s="64"/>
      <c r="MNL21" s="64"/>
      <c r="MNM21" s="64"/>
      <c r="MNN21" s="64"/>
      <c r="MNO21" s="64"/>
      <c r="MNP21" s="64"/>
      <c r="MNQ21" s="64"/>
      <c r="MNR21" s="64"/>
      <c r="MNS21" s="64"/>
      <c r="MNT21" s="64"/>
      <c r="MNU21" s="64"/>
      <c r="MNV21" s="64"/>
      <c r="MNW21" s="64"/>
      <c r="MNX21" s="64"/>
      <c r="MNY21" s="64"/>
      <c r="MNZ21" s="64"/>
      <c r="MOA21" s="64"/>
      <c r="MOB21" s="64"/>
      <c r="MOC21" s="64"/>
      <c r="MOD21" s="64"/>
      <c r="MOE21" s="64"/>
      <c r="MOF21" s="64"/>
      <c r="MOG21" s="64"/>
      <c r="MOH21" s="64"/>
      <c r="MOI21" s="64"/>
      <c r="MOJ21" s="64"/>
      <c r="MOK21" s="64"/>
      <c r="MOL21" s="64"/>
      <c r="MOM21" s="64"/>
      <c r="MON21" s="64"/>
      <c r="MOO21" s="64"/>
      <c r="MOP21" s="64"/>
      <c r="MOQ21" s="64"/>
      <c r="MOR21" s="64"/>
      <c r="MOS21" s="64"/>
      <c r="MOT21" s="64"/>
      <c r="MOU21" s="64"/>
      <c r="MOV21" s="64"/>
      <c r="MOW21" s="64"/>
      <c r="MOX21" s="64"/>
      <c r="MOY21" s="64"/>
      <c r="MOZ21" s="64"/>
      <c r="MPA21" s="64"/>
      <c r="MPB21" s="64"/>
      <c r="MPC21" s="64"/>
      <c r="MPD21" s="64"/>
      <c r="MPE21" s="64"/>
      <c r="MPF21" s="64"/>
      <c r="MPG21" s="64"/>
      <c r="MPH21" s="64"/>
      <c r="MPI21" s="64"/>
      <c r="MPJ21" s="64"/>
      <c r="MPK21" s="64"/>
      <c r="MPL21" s="64"/>
      <c r="MPM21" s="64"/>
      <c r="MPN21" s="64"/>
      <c r="MPO21" s="64"/>
      <c r="MPP21" s="64"/>
      <c r="MPQ21" s="64"/>
      <c r="MPR21" s="64"/>
      <c r="MPS21" s="64"/>
      <c r="MPT21" s="64"/>
      <c r="MPU21" s="64"/>
      <c r="MPV21" s="64"/>
      <c r="MPW21" s="64"/>
      <c r="MPX21" s="64"/>
      <c r="MPY21" s="64"/>
      <c r="MPZ21" s="64"/>
      <c r="MQA21" s="64"/>
      <c r="MQB21" s="64"/>
      <c r="MQC21" s="64"/>
      <c r="MQD21" s="64"/>
      <c r="MQE21" s="64"/>
      <c r="MQF21" s="64"/>
      <c r="MQG21" s="64"/>
      <c r="MQH21" s="64"/>
      <c r="MQI21" s="64"/>
      <c r="MQJ21" s="64"/>
      <c r="MQK21" s="64"/>
      <c r="MQL21" s="64"/>
      <c r="MQM21" s="64"/>
      <c r="MQN21" s="64"/>
      <c r="MQO21" s="64"/>
      <c r="MQP21" s="64"/>
      <c r="MQQ21" s="64"/>
      <c r="MQR21" s="64"/>
      <c r="MQS21" s="64"/>
      <c r="MQT21" s="64"/>
      <c r="MQU21" s="64"/>
      <c r="MQV21" s="64"/>
      <c r="MQW21" s="64"/>
      <c r="MQX21" s="64"/>
      <c r="MQY21" s="64"/>
      <c r="MQZ21" s="64"/>
      <c r="MRA21" s="64"/>
      <c r="MRB21" s="64"/>
      <c r="MRC21" s="64"/>
      <c r="MRD21" s="64"/>
      <c r="MRE21" s="64"/>
      <c r="MRF21" s="64"/>
      <c r="MRG21" s="64"/>
      <c r="MRH21" s="64"/>
      <c r="MRI21" s="64"/>
      <c r="MRJ21" s="64"/>
      <c r="MRK21" s="64"/>
      <c r="MRL21" s="64"/>
      <c r="MRM21" s="64"/>
      <c r="MRN21" s="64"/>
      <c r="MRO21" s="64"/>
      <c r="MRP21" s="64"/>
      <c r="MRQ21" s="64"/>
      <c r="MRR21" s="64"/>
      <c r="MRS21" s="64"/>
      <c r="MRT21" s="64"/>
      <c r="MRU21" s="64"/>
      <c r="MRV21" s="64"/>
      <c r="MRW21" s="64"/>
      <c r="MRX21" s="64"/>
      <c r="MRY21" s="64"/>
      <c r="MRZ21" s="64"/>
      <c r="MSA21" s="64"/>
      <c r="MSB21" s="64"/>
      <c r="MSC21" s="64"/>
      <c r="MSD21" s="64"/>
      <c r="MSE21" s="64"/>
      <c r="MSF21" s="64"/>
      <c r="MSG21" s="64"/>
      <c r="MSH21" s="64"/>
      <c r="MSI21" s="64"/>
      <c r="MSJ21" s="64"/>
      <c r="MSK21" s="64"/>
      <c r="MSL21" s="64"/>
      <c r="MSM21" s="64"/>
      <c r="MSN21" s="64"/>
      <c r="MSO21" s="64"/>
      <c r="MSP21" s="64"/>
      <c r="MSQ21" s="64"/>
      <c r="MSR21" s="64"/>
      <c r="MSS21" s="64"/>
      <c r="MST21" s="64"/>
      <c r="MSU21" s="64"/>
      <c r="MSV21" s="64"/>
      <c r="MSW21" s="64"/>
      <c r="MSX21" s="64"/>
      <c r="MSY21" s="64"/>
      <c r="MSZ21" s="64"/>
      <c r="MTA21" s="64"/>
      <c r="MTB21" s="64"/>
      <c r="MTC21" s="64"/>
      <c r="MTD21" s="64"/>
      <c r="MTE21" s="64"/>
      <c r="MTF21" s="64"/>
      <c r="MTG21" s="64"/>
      <c r="MTH21" s="64"/>
      <c r="MTI21" s="64"/>
      <c r="MTJ21" s="64"/>
      <c r="MTK21" s="64"/>
      <c r="MTL21" s="64"/>
      <c r="MTM21" s="64"/>
      <c r="MTN21" s="64"/>
      <c r="MTO21" s="64"/>
      <c r="MTP21" s="64"/>
      <c r="MTQ21" s="64"/>
      <c r="MTR21" s="64"/>
      <c r="MTS21" s="64"/>
      <c r="MTT21" s="64"/>
      <c r="MTU21" s="64"/>
      <c r="MTV21" s="64"/>
      <c r="MTW21" s="64"/>
      <c r="MTX21" s="64"/>
      <c r="MTY21" s="64"/>
      <c r="MTZ21" s="64"/>
      <c r="MUA21" s="64"/>
      <c r="MUB21" s="64"/>
      <c r="MUC21" s="64"/>
      <c r="MUD21" s="64"/>
      <c r="MUE21" s="64"/>
      <c r="MUF21" s="64"/>
      <c r="MUG21" s="64"/>
      <c r="MUH21" s="64"/>
      <c r="MUI21" s="64"/>
      <c r="MUJ21" s="64"/>
      <c r="MUK21" s="64"/>
      <c r="MUL21" s="64"/>
      <c r="MUM21" s="64"/>
      <c r="MUN21" s="64"/>
      <c r="MUO21" s="64"/>
      <c r="MUP21" s="64"/>
      <c r="MUQ21" s="64"/>
      <c r="MUR21" s="64"/>
      <c r="MUS21" s="64"/>
      <c r="MUT21" s="64"/>
      <c r="MUU21" s="64"/>
      <c r="MUV21" s="64"/>
      <c r="MUW21" s="64"/>
      <c r="MUX21" s="64"/>
      <c r="MUY21" s="64"/>
      <c r="MUZ21" s="64"/>
      <c r="MVA21" s="64"/>
      <c r="MVB21" s="64"/>
      <c r="MVC21" s="64"/>
      <c r="MVD21" s="64"/>
      <c r="MVE21" s="64"/>
      <c r="MVF21" s="64"/>
      <c r="MVG21" s="64"/>
      <c r="MVH21" s="64"/>
      <c r="MVI21" s="64"/>
      <c r="MVJ21" s="64"/>
      <c r="MVK21" s="64"/>
      <c r="MVL21" s="64"/>
      <c r="MVM21" s="64"/>
      <c r="MVN21" s="64"/>
      <c r="MVO21" s="64"/>
      <c r="MVP21" s="64"/>
      <c r="MVQ21" s="64"/>
      <c r="MVR21" s="64"/>
      <c r="MVS21" s="64"/>
      <c r="MVT21" s="64"/>
      <c r="MVU21" s="64"/>
      <c r="MVV21" s="64"/>
      <c r="MVW21" s="64"/>
      <c r="MVX21" s="64"/>
      <c r="MVY21" s="64"/>
      <c r="MVZ21" s="64"/>
      <c r="MWA21" s="64"/>
      <c r="MWB21" s="64"/>
      <c r="MWC21" s="64"/>
      <c r="MWD21" s="64"/>
      <c r="MWE21" s="64"/>
      <c r="MWF21" s="64"/>
      <c r="MWG21" s="64"/>
      <c r="MWH21" s="64"/>
      <c r="MWI21" s="64"/>
      <c r="MWJ21" s="64"/>
      <c r="MWK21" s="64"/>
      <c r="MWL21" s="64"/>
      <c r="MWM21" s="64"/>
      <c r="MWN21" s="64"/>
      <c r="MWO21" s="64"/>
      <c r="MWP21" s="64"/>
      <c r="MWQ21" s="64"/>
      <c r="MWR21" s="64"/>
      <c r="MWS21" s="64"/>
      <c r="MWT21" s="64"/>
      <c r="MWU21" s="64"/>
      <c r="MWV21" s="64"/>
      <c r="MWW21" s="64"/>
      <c r="MWX21" s="64"/>
      <c r="MWY21" s="64"/>
      <c r="MWZ21" s="64"/>
      <c r="MXA21" s="64"/>
      <c r="MXB21" s="64"/>
      <c r="MXC21" s="64"/>
      <c r="MXD21" s="64"/>
      <c r="MXE21" s="64"/>
      <c r="MXF21" s="64"/>
      <c r="MXG21" s="64"/>
      <c r="MXH21" s="64"/>
      <c r="MXI21" s="64"/>
      <c r="MXJ21" s="64"/>
      <c r="MXK21" s="64"/>
      <c r="MXL21" s="64"/>
      <c r="MXM21" s="64"/>
      <c r="MXN21" s="64"/>
      <c r="MXO21" s="64"/>
      <c r="MXP21" s="64"/>
      <c r="MXQ21" s="64"/>
      <c r="MXR21" s="64"/>
      <c r="MXS21" s="64"/>
      <c r="MXT21" s="64"/>
      <c r="MXU21" s="64"/>
      <c r="MXV21" s="64"/>
      <c r="MXW21" s="64"/>
      <c r="MXX21" s="64"/>
      <c r="MXY21" s="64"/>
      <c r="MXZ21" s="64"/>
      <c r="MYA21" s="64"/>
      <c r="MYB21" s="64"/>
      <c r="MYC21" s="64"/>
      <c r="MYD21" s="64"/>
      <c r="MYE21" s="64"/>
      <c r="MYF21" s="64"/>
      <c r="MYG21" s="64"/>
      <c r="MYH21" s="64"/>
      <c r="MYI21" s="64"/>
      <c r="MYJ21" s="64"/>
      <c r="MYK21" s="64"/>
      <c r="MYL21" s="64"/>
      <c r="MYM21" s="64"/>
      <c r="MYN21" s="64"/>
      <c r="MYO21" s="64"/>
      <c r="MYP21" s="64"/>
      <c r="MYQ21" s="64"/>
      <c r="MYR21" s="64"/>
      <c r="MYS21" s="64"/>
      <c r="MYT21" s="64"/>
      <c r="MYU21" s="64"/>
      <c r="MYV21" s="64"/>
      <c r="MYW21" s="64"/>
      <c r="MYX21" s="64"/>
      <c r="MYY21" s="64"/>
      <c r="MYZ21" s="64"/>
      <c r="MZA21" s="64"/>
      <c r="MZB21" s="64"/>
      <c r="MZC21" s="64"/>
      <c r="MZD21" s="64"/>
      <c r="MZE21" s="64"/>
      <c r="MZF21" s="64"/>
      <c r="MZG21" s="64"/>
      <c r="MZH21" s="64"/>
      <c r="MZI21" s="64"/>
      <c r="MZJ21" s="64"/>
      <c r="MZK21" s="64"/>
      <c r="MZL21" s="64"/>
      <c r="MZM21" s="64"/>
      <c r="MZN21" s="64"/>
      <c r="MZO21" s="64"/>
      <c r="MZP21" s="64"/>
      <c r="MZQ21" s="64"/>
      <c r="MZR21" s="64"/>
      <c r="MZS21" s="64"/>
      <c r="MZT21" s="64"/>
      <c r="MZU21" s="64"/>
      <c r="MZV21" s="64"/>
      <c r="MZW21" s="64"/>
      <c r="MZX21" s="64"/>
      <c r="MZY21" s="64"/>
      <c r="MZZ21" s="64"/>
      <c r="NAA21" s="64"/>
      <c r="NAB21" s="64"/>
      <c r="NAC21" s="64"/>
      <c r="NAD21" s="64"/>
      <c r="NAE21" s="64"/>
      <c r="NAF21" s="64"/>
      <c r="NAG21" s="64"/>
      <c r="NAH21" s="64"/>
      <c r="NAI21" s="64"/>
      <c r="NAJ21" s="64"/>
      <c r="NAK21" s="64"/>
      <c r="NAL21" s="64"/>
      <c r="NAM21" s="64"/>
      <c r="NAN21" s="64"/>
      <c r="NAO21" s="64"/>
      <c r="NAP21" s="64"/>
      <c r="NAQ21" s="64"/>
      <c r="NAR21" s="64"/>
      <c r="NAS21" s="64"/>
      <c r="NAT21" s="64"/>
      <c r="NAU21" s="64"/>
      <c r="NAV21" s="64"/>
      <c r="NAW21" s="64"/>
      <c r="NAX21" s="64"/>
      <c r="NAY21" s="64"/>
      <c r="NAZ21" s="64"/>
      <c r="NBA21" s="64"/>
      <c r="NBB21" s="64"/>
      <c r="NBC21" s="64"/>
      <c r="NBD21" s="64"/>
      <c r="NBE21" s="64"/>
      <c r="NBF21" s="64"/>
      <c r="NBG21" s="64"/>
      <c r="NBH21" s="64"/>
      <c r="NBI21" s="64"/>
      <c r="NBJ21" s="64"/>
      <c r="NBK21" s="64"/>
      <c r="NBL21" s="64"/>
      <c r="NBM21" s="64"/>
      <c r="NBN21" s="64"/>
      <c r="NBO21" s="64"/>
      <c r="NBP21" s="64"/>
      <c r="NBQ21" s="64"/>
      <c r="NBR21" s="64"/>
      <c r="NBS21" s="64"/>
      <c r="NBT21" s="64"/>
      <c r="NBU21" s="64"/>
      <c r="NBV21" s="64"/>
      <c r="NBW21" s="64"/>
      <c r="NBX21" s="64"/>
      <c r="NBY21" s="64"/>
      <c r="NBZ21" s="64"/>
      <c r="NCA21" s="64"/>
      <c r="NCB21" s="64"/>
      <c r="NCC21" s="64"/>
      <c r="NCD21" s="64"/>
      <c r="NCE21" s="64"/>
      <c r="NCF21" s="64"/>
      <c r="NCG21" s="64"/>
      <c r="NCH21" s="64"/>
      <c r="NCI21" s="64"/>
      <c r="NCJ21" s="64"/>
      <c r="NCK21" s="64"/>
      <c r="NCL21" s="64"/>
      <c r="NCM21" s="64"/>
      <c r="NCN21" s="64"/>
      <c r="NCO21" s="64"/>
      <c r="NCP21" s="64"/>
      <c r="NCQ21" s="64"/>
      <c r="NCR21" s="64"/>
      <c r="NCS21" s="64"/>
      <c r="NCT21" s="64"/>
      <c r="NCU21" s="64"/>
      <c r="NCV21" s="64"/>
      <c r="NCW21" s="64"/>
      <c r="NCX21" s="64"/>
      <c r="NCY21" s="64"/>
      <c r="NCZ21" s="64"/>
      <c r="NDA21" s="64"/>
      <c r="NDB21" s="64"/>
      <c r="NDC21" s="64"/>
      <c r="NDD21" s="64"/>
      <c r="NDE21" s="64"/>
      <c r="NDF21" s="64"/>
      <c r="NDG21" s="64"/>
      <c r="NDH21" s="64"/>
      <c r="NDI21" s="64"/>
      <c r="NDJ21" s="64"/>
      <c r="NDK21" s="64"/>
      <c r="NDL21" s="64"/>
      <c r="NDM21" s="64"/>
      <c r="NDN21" s="64"/>
      <c r="NDO21" s="64"/>
      <c r="NDP21" s="64"/>
      <c r="NDQ21" s="64"/>
      <c r="NDR21" s="64"/>
      <c r="NDS21" s="64"/>
      <c r="NDT21" s="64"/>
      <c r="NDU21" s="64"/>
      <c r="NDV21" s="64"/>
      <c r="NDW21" s="64"/>
      <c r="NDX21" s="64"/>
      <c r="NDY21" s="64"/>
      <c r="NDZ21" s="64"/>
      <c r="NEA21" s="64"/>
      <c r="NEB21" s="64"/>
      <c r="NEC21" s="64"/>
      <c r="NED21" s="64"/>
      <c r="NEE21" s="64"/>
      <c r="NEF21" s="64"/>
      <c r="NEG21" s="64"/>
      <c r="NEH21" s="64"/>
      <c r="NEI21" s="64"/>
      <c r="NEJ21" s="64"/>
      <c r="NEK21" s="64"/>
      <c r="NEL21" s="64"/>
      <c r="NEM21" s="64"/>
      <c r="NEN21" s="64"/>
      <c r="NEO21" s="64"/>
      <c r="NEP21" s="64"/>
      <c r="NEQ21" s="64"/>
      <c r="NER21" s="64"/>
      <c r="NES21" s="64"/>
      <c r="NET21" s="64"/>
      <c r="NEU21" s="64"/>
      <c r="NEV21" s="64"/>
      <c r="NEW21" s="64"/>
      <c r="NEX21" s="64"/>
      <c r="NEY21" s="64"/>
      <c r="NEZ21" s="64"/>
      <c r="NFA21" s="64"/>
      <c r="NFB21" s="64"/>
      <c r="NFC21" s="64"/>
      <c r="NFD21" s="64"/>
      <c r="NFE21" s="64"/>
      <c r="NFF21" s="64"/>
      <c r="NFG21" s="64"/>
      <c r="NFH21" s="64"/>
      <c r="NFI21" s="64"/>
      <c r="NFJ21" s="64"/>
      <c r="NFK21" s="64"/>
      <c r="NFL21" s="64"/>
      <c r="NFM21" s="64"/>
      <c r="NFN21" s="64"/>
      <c r="NFO21" s="64"/>
      <c r="NFP21" s="64"/>
      <c r="NFQ21" s="64"/>
      <c r="NFR21" s="64"/>
      <c r="NFS21" s="64"/>
      <c r="NFT21" s="64"/>
      <c r="NFU21" s="64"/>
      <c r="NFV21" s="64"/>
      <c r="NFW21" s="64"/>
      <c r="NFX21" s="64"/>
      <c r="NFY21" s="64"/>
      <c r="NFZ21" s="64"/>
      <c r="NGA21" s="64"/>
      <c r="NGB21" s="64"/>
      <c r="NGC21" s="64"/>
      <c r="NGD21" s="64"/>
      <c r="NGE21" s="64"/>
      <c r="NGF21" s="64"/>
      <c r="NGG21" s="64"/>
      <c r="NGH21" s="64"/>
      <c r="NGI21" s="64"/>
      <c r="NGJ21" s="64"/>
      <c r="NGK21" s="64"/>
      <c r="NGL21" s="64"/>
      <c r="NGM21" s="64"/>
      <c r="NGN21" s="64"/>
      <c r="NGO21" s="64"/>
      <c r="NGP21" s="64"/>
      <c r="NGQ21" s="64"/>
      <c r="NGR21" s="64"/>
      <c r="NGS21" s="64"/>
      <c r="NGT21" s="64"/>
      <c r="NGU21" s="64"/>
      <c r="NGV21" s="64"/>
      <c r="NGW21" s="64"/>
      <c r="NGX21" s="64"/>
      <c r="NGY21" s="64"/>
      <c r="NGZ21" s="64"/>
      <c r="NHA21" s="64"/>
      <c r="NHB21" s="64"/>
      <c r="NHC21" s="64"/>
      <c r="NHD21" s="64"/>
      <c r="NHE21" s="64"/>
      <c r="NHF21" s="64"/>
      <c r="NHG21" s="64"/>
      <c r="NHH21" s="64"/>
      <c r="NHI21" s="64"/>
      <c r="NHJ21" s="64"/>
      <c r="NHK21" s="64"/>
      <c r="NHL21" s="64"/>
      <c r="NHM21" s="64"/>
      <c r="NHN21" s="64"/>
      <c r="NHO21" s="64"/>
      <c r="NHP21" s="64"/>
      <c r="NHQ21" s="64"/>
      <c r="NHR21" s="64"/>
      <c r="NHS21" s="64"/>
      <c r="NHT21" s="64"/>
      <c r="NHU21" s="64"/>
      <c r="NHV21" s="64"/>
      <c r="NHW21" s="64"/>
      <c r="NHX21" s="64"/>
      <c r="NHY21" s="64"/>
      <c r="NHZ21" s="64"/>
      <c r="NIA21" s="64"/>
      <c r="NIB21" s="64"/>
      <c r="NIC21" s="64"/>
      <c r="NID21" s="64"/>
      <c r="NIE21" s="64"/>
      <c r="NIF21" s="64"/>
      <c r="NIG21" s="64"/>
      <c r="NIH21" s="64"/>
      <c r="NII21" s="64"/>
      <c r="NIJ21" s="64"/>
      <c r="NIK21" s="64"/>
      <c r="NIL21" s="64"/>
      <c r="NIM21" s="64"/>
      <c r="NIN21" s="64"/>
      <c r="NIO21" s="64"/>
      <c r="NIP21" s="64"/>
      <c r="NIQ21" s="64"/>
      <c r="NIR21" s="64"/>
      <c r="NIS21" s="64"/>
      <c r="NIT21" s="64"/>
      <c r="NIU21" s="64"/>
      <c r="NIV21" s="64"/>
      <c r="NIW21" s="64"/>
      <c r="NIX21" s="64"/>
      <c r="NIY21" s="64"/>
      <c r="NIZ21" s="64"/>
      <c r="NJA21" s="64"/>
      <c r="NJB21" s="64"/>
      <c r="NJC21" s="64"/>
      <c r="NJD21" s="64"/>
      <c r="NJE21" s="64"/>
      <c r="NJF21" s="64"/>
      <c r="NJG21" s="64"/>
      <c r="NJH21" s="64"/>
      <c r="NJI21" s="64"/>
      <c r="NJJ21" s="64"/>
      <c r="NJK21" s="64"/>
      <c r="NJL21" s="64"/>
      <c r="NJM21" s="64"/>
      <c r="NJN21" s="64"/>
      <c r="NJO21" s="64"/>
      <c r="NJP21" s="64"/>
      <c r="NJQ21" s="64"/>
      <c r="NJR21" s="64"/>
      <c r="NJS21" s="64"/>
      <c r="NJT21" s="64"/>
      <c r="NJU21" s="64"/>
      <c r="NJV21" s="64"/>
      <c r="NJW21" s="64"/>
      <c r="NJX21" s="64"/>
      <c r="NJY21" s="64"/>
      <c r="NJZ21" s="64"/>
      <c r="NKA21" s="64"/>
      <c r="NKB21" s="64"/>
      <c r="NKC21" s="64"/>
      <c r="NKD21" s="64"/>
      <c r="NKE21" s="64"/>
      <c r="NKF21" s="64"/>
      <c r="NKG21" s="64"/>
      <c r="NKH21" s="64"/>
      <c r="NKI21" s="64"/>
      <c r="NKJ21" s="64"/>
      <c r="NKK21" s="64"/>
      <c r="NKL21" s="64"/>
      <c r="NKM21" s="64"/>
      <c r="NKN21" s="64"/>
      <c r="NKO21" s="64"/>
      <c r="NKP21" s="64"/>
      <c r="NKQ21" s="64"/>
      <c r="NKR21" s="64"/>
      <c r="NKS21" s="64"/>
      <c r="NKT21" s="64"/>
      <c r="NKU21" s="64"/>
      <c r="NKV21" s="64"/>
      <c r="NKW21" s="64"/>
      <c r="NKX21" s="64"/>
      <c r="NKY21" s="64"/>
      <c r="NKZ21" s="64"/>
      <c r="NLA21" s="64"/>
      <c r="NLB21" s="64"/>
      <c r="NLC21" s="64"/>
      <c r="NLD21" s="64"/>
      <c r="NLE21" s="64"/>
      <c r="NLF21" s="64"/>
      <c r="NLG21" s="64"/>
      <c r="NLH21" s="64"/>
      <c r="NLI21" s="64"/>
      <c r="NLJ21" s="64"/>
      <c r="NLK21" s="64"/>
      <c r="NLL21" s="64"/>
      <c r="NLM21" s="64"/>
      <c r="NLN21" s="64"/>
      <c r="NLO21" s="64"/>
      <c r="NLP21" s="64"/>
      <c r="NLQ21" s="64"/>
      <c r="NLR21" s="64"/>
      <c r="NLS21" s="64"/>
      <c r="NLT21" s="64"/>
      <c r="NLU21" s="64"/>
      <c r="NLV21" s="64"/>
      <c r="NLW21" s="64"/>
      <c r="NLX21" s="64"/>
      <c r="NLY21" s="64"/>
      <c r="NLZ21" s="64"/>
      <c r="NMA21" s="64"/>
      <c r="NMB21" s="64"/>
      <c r="NMC21" s="64"/>
      <c r="NMD21" s="64"/>
      <c r="NME21" s="64"/>
      <c r="NMF21" s="64"/>
      <c r="NMG21" s="64"/>
      <c r="NMH21" s="64"/>
      <c r="NMI21" s="64"/>
      <c r="NMJ21" s="64"/>
      <c r="NMK21" s="64"/>
      <c r="NML21" s="64"/>
      <c r="NMM21" s="64"/>
      <c r="NMN21" s="64"/>
      <c r="NMO21" s="64"/>
      <c r="NMP21" s="64"/>
      <c r="NMQ21" s="64"/>
      <c r="NMR21" s="64"/>
      <c r="NMS21" s="64"/>
      <c r="NMT21" s="64"/>
      <c r="NMU21" s="64"/>
      <c r="NMV21" s="64"/>
      <c r="NMW21" s="64"/>
      <c r="NMX21" s="64"/>
      <c r="NMY21" s="64"/>
      <c r="NMZ21" s="64"/>
      <c r="NNA21" s="64"/>
      <c r="NNB21" s="64"/>
      <c r="NNC21" s="64"/>
      <c r="NND21" s="64"/>
      <c r="NNE21" s="64"/>
      <c r="NNF21" s="64"/>
      <c r="NNG21" s="64"/>
      <c r="NNH21" s="64"/>
      <c r="NNI21" s="64"/>
      <c r="NNJ21" s="64"/>
      <c r="NNK21" s="64"/>
      <c r="NNL21" s="64"/>
      <c r="NNM21" s="64"/>
      <c r="NNN21" s="64"/>
      <c r="NNO21" s="64"/>
      <c r="NNP21" s="64"/>
      <c r="NNQ21" s="64"/>
      <c r="NNR21" s="64"/>
      <c r="NNS21" s="64"/>
      <c r="NNT21" s="64"/>
      <c r="NNU21" s="64"/>
      <c r="NNV21" s="64"/>
      <c r="NNW21" s="64"/>
      <c r="NNX21" s="64"/>
      <c r="NNY21" s="64"/>
      <c r="NNZ21" s="64"/>
      <c r="NOA21" s="64"/>
      <c r="NOB21" s="64"/>
      <c r="NOC21" s="64"/>
      <c r="NOD21" s="64"/>
      <c r="NOE21" s="64"/>
      <c r="NOF21" s="64"/>
      <c r="NOG21" s="64"/>
      <c r="NOH21" s="64"/>
      <c r="NOI21" s="64"/>
      <c r="NOJ21" s="64"/>
      <c r="NOK21" s="64"/>
      <c r="NOL21" s="64"/>
      <c r="NOM21" s="64"/>
      <c r="NON21" s="64"/>
      <c r="NOO21" s="64"/>
      <c r="NOP21" s="64"/>
      <c r="NOQ21" s="64"/>
      <c r="NOR21" s="64"/>
      <c r="NOS21" s="64"/>
      <c r="NOT21" s="64"/>
      <c r="NOU21" s="64"/>
      <c r="NOV21" s="64"/>
      <c r="NOW21" s="64"/>
      <c r="NOX21" s="64"/>
      <c r="NOY21" s="64"/>
      <c r="NOZ21" s="64"/>
      <c r="NPA21" s="64"/>
      <c r="NPB21" s="64"/>
      <c r="NPC21" s="64"/>
      <c r="NPD21" s="64"/>
      <c r="NPE21" s="64"/>
      <c r="NPF21" s="64"/>
      <c r="NPG21" s="64"/>
      <c r="NPH21" s="64"/>
      <c r="NPI21" s="64"/>
      <c r="NPJ21" s="64"/>
      <c r="NPK21" s="64"/>
      <c r="NPL21" s="64"/>
      <c r="NPM21" s="64"/>
      <c r="NPN21" s="64"/>
      <c r="NPO21" s="64"/>
      <c r="NPP21" s="64"/>
      <c r="NPQ21" s="64"/>
      <c r="NPR21" s="64"/>
      <c r="NPS21" s="64"/>
      <c r="NPT21" s="64"/>
      <c r="NPU21" s="64"/>
      <c r="NPV21" s="64"/>
      <c r="NPW21" s="64"/>
      <c r="NPX21" s="64"/>
      <c r="NPY21" s="64"/>
      <c r="NPZ21" s="64"/>
      <c r="NQA21" s="64"/>
      <c r="NQB21" s="64"/>
      <c r="NQC21" s="64"/>
      <c r="NQD21" s="64"/>
      <c r="NQE21" s="64"/>
      <c r="NQF21" s="64"/>
      <c r="NQG21" s="64"/>
      <c r="NQH21" s="64"/>
      <c r="NQI21" s="64"/>
      <c r="NQJ21" s="64"/>
      <c r="NQK21" s="64"/>
      <c r="NQL21" s="64"/>
      <c r="NQM21" s="64"/>
      <c r="NQN21" s="64"/>
      <c r="NQO21" s="64"/>
      <c r="NQP21" s="64"/>
      <c r="NQQ21" s="64"/>
      <c r="NQR21" s="64"/>
      <c r="NQS21" s="64"/>
      <c r="NQT21" s="64"/>
      <c r="NQU21" s="64"/>
      <c r="NQV21" s="64"/>
      <c r="NQW21" s="64"/>
      <c r="NQX21" s="64"/>
      <c r="NQY21" s="64"/>
      <c r="NQZ21" s="64"/>
      <c r="NRA21" s="64"/>
      <c r="NRB21" s="64"/>
      <c r="NRC21" s="64"/>
      <c r="NRD21" s="64"/>
      <c r="NRE21" s="64"/>
      <c r="NRF21" s="64"/>
      <c r="NRG21" s="64"/>
      <c r="NRH21" s="64"/>
      <c r="NRI21" s="64"/>
      <c r="NRJ21" s="64"/>
      <c r="NRK21" s="64"/>
      <c r="NRL21" s="64"/>
      <c r="NRM21" s="64"/>
      <c r="NRN21" s="64"/>
      <c r="NRO21" s="64"/>
      <c r="NRP21" s="64"/>
      <c r="NRQ21" s="64"/>
      <c r="NRR21" s="64"/>
      <c r="NRS21" s="64"/>
      <c r="NRT21" s="64"/>
      <c r="NRU21" s="64"/>
      <c r="NRV21" s="64"/>
      <c r="NRW21" s="64"/>
      <c r="NRX21" s="64"/>
      <c r="NRY21" s="64"/>
      <c r="NRZ21" s="64"/>
      <c r="NSA21" s="64"/>
      <c r="NSB21" s="64"/>
      <c r="NSC21" s="64"/>
      <c r="NSD21" s="64"/>
      <c r="NSE21" s="64"/>
      <c r="NSF21" s="64"/>
      <c r="NSG21" s="64"/>
      <c r="NSH21" s="64"/>
      <c r="NSI21" s="64"/>
      <c r="NSJ21" s="64"/>
      <c r="NSK21" s="64"/>
      <c r="NSL21" s="64"/>
      <c r="NSM21" s="64"/>
      <c r="NSN21" s="64"/>
      <c r="NSO21" s="64"/>
      <c r="NSP21" s="64"/>
      <c r="NSQ21" s="64"/>
      <c r="NSR21" s="64"/>
      <c r="NSS21" s="64"/>
      <c r="NST21" s="64"/>
      <c r="NSU21" s="64"/>
      <c r="NSV21" s="64"/>
      <c r="NSW21" s="64"/>
      <c r="NSX21" s="64"/>
      <c r="NSY21" s="64"/>
      <c r="NSZ21" s="64"/>
      <c r="NTA21" s="64"/>
      <c r="NTB21" s="64"/>
      <c r="NTC21" s="64"/>
      <c r="NTD21" s="64"/>
      <c r="NTE21" s="64"/>
      <c r="NTF21" s="64"/>
      <c r="NTG21" s="64"/>
      <c r="NTH21" s="64"/>
      <c r="NTI21" s="64"/>
      <c r="NTJ21" s="64"/>
      <c r="NTK21" s="64"/>
      <c r="NTL21" s="64"/>
      <c r="NTM21" s="64"/>
      <c r="NTN21" s="64"/>
      <c r="NTO21" s="64"/>
      <c r="NTP21" s="64"/>
      <c r="NTQ21" s="64"/>
      <c r="NTR21" s="64"/>
      <c r="NTS21" s="64"/>
      <c r="NTT21" s="64"/>
      <c r="NTU21" s="64"/>
      <c r="NTV21" s="64"/>
      <c r="NTW21" s="64"/>
      <c r="NTX21" s="64"/>
      <c r="NTY21" s="64"/>
      <c r="NTZ21" s="64"/>
      <c r="NUA21" s="64"/>
      <c r="NUB21" s="64"/>
      <c r="NUC21" s="64"/>
      <c r="NUD21" s="64"/>
      <c r="NUE21" s="64"/>
      <c r="NUF21" s="64"/>
      <c r="NUG21" s="64"/>
      <c r="NUH21" s="64"/>
      <c r="NUI21" s="64"/>
      <c r="NUJ21" s="64"/>
      <c r="NUK21" s="64"/>
      <c r="NUL21" s="64"/>
      <c r="NUM21" s="64"/>
      <c r="NUN21" s="64"/>
      <c r="NUO21" s="64"/>
      <c r="NUP21" s="64"/>
      <c r="NUQ21" s="64"/>
      <c r="NUR21" s="64"/>
      <c r="NUS21" s="64"/>
      <c r="NUT21" s="64"/>
      <c r="NUU21" s="64"/>
      <c r="NUV21" s="64"/>
      <c r="NUW21" s="64"/>
      <c r="NUX21" s="64"/>
      <c r="NUY21" s="64"/>
      <c r="NUZ21" s="64"/>
      <c r="NVA21" s="64"/>
      <c r="NVB21" s="64"/>
      <c r="NVC21" s="64"/>
      <c r="NVD21" s="64"/>
      <c r="NVE21" s="64"/>
      <c r="NVF21" s="64"/>
      <c r="NVG21" s="64"/>
      <c r="NVH21" s="64"/>
      <c r="NVI21" s="64"/>
      <c r="NVJ21" s="64"/>
      <c r="NVK21" s="64"/>
      <c r="NVL21" s="64"/>
      <c r="NVM21" s="64"/>
      <c r="NVN21" s="64"/>
      <c r="NVO21" s="64"/>
      <c r="NVP21" s="64"/>
      <c r="NVQ21" s="64"/>
      <c r="NVR21" s="64"/>
      <c r="NVS21" s="64"/>
      <c r="NVT21" s="64"/>
      <c r="NVU21" s="64"/>
      <c r="NVV21" s="64"/>
      <c r="NVW21" s="64"/>
      <c r="NVX21" s="64"/>
      <c r="NVY21" s="64"/>
      <c r="NVZ21" s="64"/>
      <c r="NWA21" s="64"/>
      <c r="NWB21" s="64"/>
      <c r="NWC21" s="64"/>
      <c r="NWD21" s="64"/>
      <c r="NWE21" s="64"/>
      <c r="NWF21" s="64"/>
      <c r="NWG21" s="64"/>
      <c r="NWH21" s="64"/>
      <c r="NWI21" s="64"/>
      <c r="NWJ21" s="64"/>
      <c r="NWK21" s="64"/>
      <c r="NWL21" s="64"/>
      <c r="NWM21" s="64"/>
      <c r="NWN21" s="64"/>
      <c r="NWO21" s="64"/>
      <c r="NWP21" s="64"/>
      <c r="NWQ21" s="64"/>
      <c r="NWR21" s="64"/>
      <c r="NWS21" s="64"/>
      <c r="NWT21" s="64"/>
      <c r="NWU21" s="64"/>
      <c r="NWV21" s="64"/>
      <c r="NWW21" s="64"/>
      <c r="NWX21" s="64"/>
      <c r="NWY21" s="64"/>
      <c r="NWZ21" s="64"/>
      <c r="NXA21" s="64"/>
      <c r="NXB21" s="64"/>
      <c r="NXC21" s="64"/>
      <c r="NXD21" s="64"/>
      <c r="NXE21" s="64"/>
      <c r="NXF21" s="64"/>
      <c r="NXG21" s="64"/>
      <c r="NXH21" s="64"/>
      <c r="NXI21" s="64"/>
      <c r="NXJ21" s="64"/>
      <c r="NXK21" s="64"/>
      <c r="NXL21" s="64"/>
      <c r="NXM21" s="64"/>
      <c r="NXN21" s="64"/>
      <c r="NXO21" s="64"/>
      <c r="NXP21" s="64"/>
      <c r="NXQ21" s="64"/>
      <c r="NXR21" s="64"/>
      <c r="NXS21" s="64"/>
      <c r="NXT21" s="64"/>
      <c r="NXU21" s="64"/>
      <c r="NXV21" s="64"/>
      <c r="NXW21" s="64"/>
      <c r="NXX21" s="64"/>
      <c r="NXY21" s="64"/>
      <c r="NXZ21" s="64"/>
      <c r="NYA21" s="64"/>
      <c r="NYB21" s="64"/>
      <c r="NYC21" s="64"/>
      <c r="NYD21" s="64"/>
      <c r="NYE21" s="64"/>
      <c r="NYF21" s="64"/>
      <c r="NYG21" s="64"/>
      <c r="NYH21" s="64"/>
      <c r="NYI21" s="64"/>
      <c r="NYJ21" s="64"/>
      <c r="NYK21" s="64"/>
      <c r="NYL21" s="64"/>
      <c r="NYM21" s="64"/>
      <c r="NYN21" s="64"/>
      <c r="NYO21" s="64"/>
      <c r="NYP21" s="64"/>
      <c r="NYQ21" s="64"/>
      <c r="NYR21" s="64"/>
      <c r="NYS21" s="64"/>
      <c r="NYT21" s="64"/>
      <c r="NYU21" s="64"/>
      <c r="NYV21" s="64"/>
      <c r="NYW21" s="64"/>
      <c r="NYX21" s="64"/>
      <c r="NYY21" s="64"/>
      <c r="NYZ21" s="64"/>
      <c r="NZA21" s="64"/>
      <c r="NZB21" s="64"/>
      <c r="NZC21" s="64"/>
      <c r="NZD21" s="64"/>
      <c r="NZE21" s="64"/>
      <c r="NZF21" s="64"/>
      <c r="NZG21" s="64"/>
      <c r="NZH21" s="64"/>
      <c r="NZI21" s="64"/>
      <c r="NZJ21" s="64"/>
      <c r="NZK21" s="64"/>
      <c r="NZL21" s="64"/>
      <c r="NZM21" s="64"/>
      <c r="NZN21" s="64"/>
      <c r="NZO21" s="64"/>
      <c r="NZP21" s="64"/>
      <c r="NZQ21" s="64"/>
      <c r="NZR21" s="64"/>
      <c r="NZS21" s="64"/>
      <c r="NZT21" s="64"/>
      <c r="NZU21" s="64"/>
      <c r="NZV21" s="64"/>
      <c r="NZW21" s="64"/>
      <c r="NZX21" s="64"/>
      <c r="NZY21" s="64"/>
      <c r="NZZ21" s="64"/>
      <c r="OAA21" s="64"/>
      <c r="OAB21" s="64"/>
      <c r="OAC21" s="64"/>
      <c r="OAD21" s="64"/>
      <c r="OAE21" s="64"/>
      <c r="OAF21" s="64"/>
      <c r="OAG21" s="64"/>
      <c r="OAH21" s="64"/>
      <c r="OAI21" s="64"/>
      <c r="OAJ21" s="64"/>
      <c r="OAK21" s="64"/>
      <c r="OAL21" s="64"/>
      <c r="OAM21" s="64"/>
      <c r="OAN21" s="64"/>
      <c r="OAO21" s="64"/>
      <c r="OAP21" s="64"/>
      <c r="OAQ21" s="64"/>
      <c r="OAR21" s="64"/>
      <c r="OAS21" s="64"/>
      <c r="OAT21" s="64"/>
      <c r="OAU21" s="64"/>
      <c r="OAV21" s="64"/>
      <c r="OAW21" s="64"/>
      <c r="OAX21" s="64"/>
      <c r="OAY21" s="64"/>
      <c r="OAZ21" s="64"/>
      <c r="OBA21" s="64"/>
      <c r="OBB21" s="64"/>
      <c r="OBC21" s="64"/>
      <c r="OBD21" s="64"/>
      <c r="OBE21" s="64"/>
      <c r="OBF21" s="64"/>
      <c r="OBG21" s="64"/>
      <c r="OBH21" s="64"/>
      <c r="OBI21" s="64"/>
      <c r="OBJ21" s="64"/>
      <c r="OBK21" s="64"/>
      <c r="OBL21" s="64"/>
      <c r="OBM21" s="64"/>
      <c r="OBN21" s="64"/>
      <c r="OBO21" s="64"/>
      <c r="OBP21" s="64"/>
      <c r="OBQ21" s="64"/>
      <c r="OBR21" s="64"/>
      <c r="OBS21" s="64"/>
      <c r="OBT21" s="64"/>
      <c r="OBU21" s="64"/>
      <c r="OBV21" s="64"/>
      <c r="OBW21" s="64"/>
      <c r="OBX21" s="64"/>
      <c r="OBY21" s="64"/>
      <c r="OBZ21" s="64"/>
      <c r="OCA21" s="64"/>
      <c r="OCB21" s="64"/>
      <c r="OCC21" s="64"/>
      <c r="OCD21" s="64"/>
      <c r="OCE21" s="64"/>
      <c r="OCF21" s="64"/>
      <c r="OCG21" s="64"/>
      <c r="OCH21" s="64"/>
      <c r="OCI21" s="64"/>
      <c r="OCJ21" s="64"/>
      <c r="OCK21" s="64"/>
      <c r="OCL21" s="64"/>
      <c r="OCM21" s="64"/>
      <c r="OCN21" s="64"/>
      <c r="OCO21" s="64"/>
      <c r="OCP21" s="64"/>
      <c r="OCQ21" s="64"/>
      <c r="OCR21" s="64"/>
      <c r="OCS21" s="64"/>
      <c r="OCT21" s="64"/>
      <c r="OCU21" s="64"/>
      <c r="OCV21" s="64"/>
      <c r="OCW21" s="64"/>
      <c r="OCX21" s="64"/>
      <c r="OCY21" s="64"/>
      <c r="OCZ21" s="64"/>
      <c r="ODA21" s="64"/>
      <c r="ODB21" s="64"/>
      <c r="ODC21" s="64"/>
      <c r="ODD21" s="64"/>
      <c r="ODE21" s="64"/>
      <c r="ODF21" s="64"/>
      <c r="ODG21" s="64"/>
      <c r="ODH21" s="64"/>
      <c r="ODI21" s="64"/>
      <c r="ODJ21" s="64"/>
      <c r="ODK21" s="64"/>
      <c r="ODL21" s="64"/>
      <c r="ODM21" s="64"/>
      <c r="ODN21" s="64"/>
      <c r="ODO21" s="64"/>
      <c r="ODP21" s="64"/>
      <c r="ODQ21" s="64"/>
      <c r="ODR21" s="64"/>
      <c r="ODS21" s="64"/>
      <c r="ODT21" s="64"/>
      <c r="ODU21" s="64"/>
      <c r="ODV21" s="64"/>
      <c r="ODW21" s="64"/>
      <c r="ODX21" s="64"/>
      <c r="ODY21" s="64"/>
      <c r="ODZ21" s="64"/>
      <c r="OEA21" s="64"/>
      <c r="OEB21" s="64"/>
      <c r="OEC21" s="64"/>
      <c r="OED21" s="64"/>
      <c r="OEE21" s="64"/>
      <c r="OEF21" s="64"/>
      <c r="OEG21" s="64"/>
      <c r="OEH21" s="64"/>
      <c r="OEI21" s="64"/>
      <c r="OEJ21" s="64"/>
      <c r="OEK21" s="64"/>
      <c r="OEL21" s="64"/>
      <c r="OEM21" s="64"/>
      <c r="OEN21" s="64"/>
      <c r="OEO21" s="64"/>
      <c r="OEP21" s="64"/>
      <c r="OEQ21" s="64"/>
      <c r="OER21" s="64"/>
      <c r="OES21" s="64"/>
      <c r="OET21" s="64"/>
      <c r="OEU21" s="64"/>
      <c r="OEV21" s="64"/>
      <c r="OEW21" s="64"/>
      <c r="OEX21" s="64"/>
      <c r="OEY21" s="64"/>
      <c r="OEZ21" s="64"/>
      <c r="OFA21" s="64"/>
      <c r="OFB21" s="64"/>
      <c r="OFC21" s="64"/>
      <c r="OFD21" s="64"/>
      <c r="OFE21" s="64"/>
      <c r="OFF21" s="64"/>
      <c r="OFG21" s="64"/>
      <c r="OFH21" s="64"/>
      <c r="OFI21" s="64"/>
      <c r="OFJ21" s="64"/>
      <c r="OFK21" s="64"/>
      <c r="OFL21" s="64"/>
      <c r="OFM21" s="64"/>
      <c r="OFN21" s="64"/>
      <c r="OFO21" s="64"/>
      <c r="OFP21" s="64"/>
      <c r="OFQ21" s="64"/>
      <c r="OFR21" s="64"/>
      <c r="OFS21" s="64"/>
      <c r="OFT21" s="64"/>
      <c r="OFU21" s="64"/>
      <c r="OFV21" s="64"/>
      <c r="OFW21" s="64"/>
      <c r="OFX21" s="64"/>
      <c r="OFY21" s="64"/>
      <c r="OFZ21" s="64"/>
      <c r="OGA21" s="64"/>
      <c r="OGB21" s="64"/>
      <c r="OGC21" s="64"/>
      <c r="OGD21" s="64"/>
      <c r="OGE21" s="64"/>
      <c r="OGF21" s="64"/>
      <c r="OGG21" s="64"/>
      <c r="OGH21" s="64"/>
      <c r="OGI21" s="64"/>
      <c r="OGJ21" s="64"/>
      <c r="OGK21" s="64"/>
      <c r="OGL21" s="64"/>
      <c r="OGM21" s="64"/>
      <c r="OGN21" s="64"/>
      <c r="OGO21" s="64"/>
      <c r="OGP21" s="64"/>
      <c r="OGQ21" s="64"/>
      <c r="OGR21" s="64"/>
      <c r="OGS21" s="64"/>
      <c r="OGT21" s="64"/>
      <c r="OGU21" s="64"/>
      <c r="OGV21" s="64"/>
      <c r="OGW21" s="64"/>
      <c r="OGX21" s="64"/>
      <c r="OGY21" s="64"/>
      <c r="OGZ21" s="64"/>
      <c r="OHA21" s="64"/>
      <c r="OHB21" s="64"/>
      <c r="OHC21" s="64"/>
      <c r="OHD21" s="64"/>
      <c r="OHE21" s="64"/>
      <c r="OHF21" s="64"/>
      <c r="OHG21" s="64"/>
      <c r="OHH21" s="64"/>
      <c r="OHI21" s="64"/>
      <c r="OHJ21" s="64"/>
      <c r="OHK21" s="64"/>
      <c r="OHL21" s="64"/>
      <c r="OHM21" s="64"/>
      <c r="OHN21" s="64"/>
      <c r="OHO21" s="64"/>
      <c r="OHP21" s="64"/>
      <c r="OHQ21" s="64"/>
      <c r="OHR21" s="64"/>
      <c r="OHS21" s="64"/>
      <c r="OHT21" s="64"/>
      <c r="OHU21" s="64"/>
      <c r="OHV21" s="64"/>
      <c r="OHW21" s="64"/>
      <c r="OHX21" s="64"/>
      <c r="OHY21" s="64"/>
      <c r="OHZ21" s="64"/>
      <c r="OIA21" s="64"/>
      <c r="OIB21" s="64"/>
      <c r="OIC21" s="64"/>
      <c r="OID21" s="64"/>
      <c r="OIE21" s="64"/>
      <c r="OIF21" s="64"/>
      <c r="OIG21" s="64"/>
      <c r="OIH21" s="64"/>
      <c r="OII21" s="64"/>
      <c r="OIJ21" s="64"/>
      <c r="OIK21" s="64"/>
      <c r="OIL21" s="64"/>
      <c r="OIM21" s="64"/>
      <c r="OIN21" s="64"/>
      <c r="OIO21" s="64"/>
      <c r="OIP21" s="64"/>
      <c r="OIQ21" s="64"/>
      <c r="OIR21" s="64"/>
      <c r="OIS21" s="64"/>
      <c r="OIT21" s="64"/>
      <c r="OIU21" s="64"/>
      <c r="OIV21" s="64"/>
      <c r="OIW21" s="64"/>
      <c r="OIX21" s="64"/>
      <c r="OIY21" s="64"/>
      <c r="OIZ21" s="64"/>
      <c r="OJA21" s="64"/>
      <c r="OJB21" s="64"/>
      <c r="OJC21" s="64"/>
      <c r="OJD21" s="64"/>
      <c r="OJE21" s="64"/>
      <c r="OJF21" s="64"/>
      <c r="OJG21" s="64"/>
      <c r="OJH21" s="64"/>
      <c r="OJI21" s="64"/>
      <c r="OJJ21" s="64"/>
      <c r="OJK21" s="64"/>
      <c r="OJL21" s="64"/>
      <c r="OJM21" s="64"/>
      <c r="OJN21" s="64"/>
      <c r="OJO21" s="64"/>
      <c r="OJP21" s="64"/>
      <c r="OJQ21" s="64"/>
      <c r="OJR21" s="64"/>
      <c r="OJS21" s="64"/>
      <c r="OJT21" s="64"/>
      <c r="OJU21" s="64"/>
      <c r="OJV21" s="64"/>
      <c r="OJW21" s="64"/>
      <c r="OJX21" s="64"/>
      <c r="OJY21" s="64"/>
      <c r="OJZ21" s="64"/>
      <c r="OKA21" s="64"/>
      <c r="OKB21" s="64"/>
      <c r="OKC21" s="64"/>
      <c r="OKD21" s="64"/>
      <c r="OKE21" s="64"/>
      <c r="OKF21" s="64"/>
      <c r="OKG21" s="64"/>
      <c r="OKH21" s="64"/>
      <c r="OKI21" s="64"/>
      <c r="OKJ21" s="64"/>
      <c r="OKK21" s="64"/>
      <c r="OKL21" s="64"/>
      <c r="OKM21" s="64"/>
      <c r="OKN21" s="64"/>
      <c r="OKO21" s="64"/>
      <c r="OKP21" s="64"/>
      <c r="OKQ21" s="64"/>
      <c r="OKR21" s="64"/>
      <c r="OKS21" s="64"/>
      <c r="OKT21" s="64"/>
      <c r="OKU21" s="64"/>
      <c r="OKV21" s="64"/>
      <c r="OKW21" s="64"/>
      <c r="OKX21" s="64"/>
      <c r="OKY21" s="64"/>
      <c r="OKZ21" s="64"/>
      <c r="OLA21" s="64"/>
      <c r="OLB21" s="64"/>
      <c r="OLC21" s="64"/>
      <c r="OLD21" s="64"/>
      <c r="OLE21" s="64"/>
      <c r="OLF21" s="64"/>
      <c r="OLG21" s="64"/>
      <c r="OLH21" s="64"/>
      <c r="OLI21" s="64"/>
      <c r="OLJ21" s="64"/>
      <c r="OLK21" s="64"/>
      <c r="OLL21" s="64"/>
      <c r="OLM21" s="64"/>
      <c r="OLN21" s="64"/>
      <c r="OLO21" s="64"/>
      <c r="OLP21" s="64"/>
      <c r="OLQ21" s="64"/>
      <c r="OLR21" s="64"/>
      <c r="OLS21" s="64"/>
      <c r="OLT21" s="64"/>
      <c r="OLU21" s="64"/>
      <c r="OLV21" s="64"/>
      <c r="OLW21" s="64"/>
      <c r="OLX21" s="64"/>
      <c r="OLY21" s="64"/>
      <c r="OLZ21" s="64"/>
      <c r="OMA21" s="64"/>
      <c r="OMB21" s="64"/>
      <c r="OMC21" s="64"/>
      <c r="OMD21" s="64"/>
      <c r="OME21" s="64"/>
      <c r="OMF21" s="64"/>
      <c r="OMG21" s="64"/>
      <c r="OMH21" s="64"/>
      <c r="OMI21" s="64"/>
      <c r="OMJ21" s="64"/>
      <c r="OMK21" s="64"/>
      <c r="OML21" s="64"/>
      <c r="OMM21" s="64"/>
      <c r="OMN21" s="64"/>
      <c r="OMO21" s="64"/>
      <c r="OMP21" s="64"/>
      <c r="OMQ21" s="64"/>
      <c r="OMR21" s="64"/>
      <c r="OMS21" s="64"/>
      <c r="OMT21" s="64"/>
      <c r="OMU21" s="64"/>
      <c r="OMV21" s="64"/>
      <c r="OMW21" s="64"/>
      <c r="OMX21" s="64"/>
      <c r="OMY21" s="64"/>
      <c r="OMZ21" s="64"/>
      <c r="ONA21" s="64"/>
      <c r="ONB21" s="64"/>
      <c r="ONC21" s="64"/>
      <c r="OND21" s="64"/>
      <c r="ONE21" s="64"/>
      <c r="ONF21" s="64"/>
      <c r="ONG21" s="64"/>
      <c r="ONH21" s="64"/>
      <c r="ONI21" s="64"/>
      <c r="ONJ21" s="64"/>
      <c r="ONK21" s="64"/>
      <c r="ONL21" s="64"/>
      <c r="ONM21" s="64"/>
      <c r="ONN21" s="64"/>
      <c r="ONO21" s="64"/>
      <c r="ONP21" s="64"/>
      <c r="ONQ21" s="64"/>
      <c r="ONR21" s="64"/>
      <c r="ONS21" s="64"/>
      <c r="ONT21" s="64"/>
      <c r="ONU21" s="64"/>
      <c r="ONV21" s="64"/>
      <c r="ONW21" s="64"/>
      <c r="ONX21" s="64"/>
      <c r="ONY21" s="64"/>
      <c r="ONZ21" s="64"/>
      <c r="OOA21" s="64"/>
      <c r="OOB21" s="64"/>
      <c r="OOC21" s="64"/>
      <c r="OOD21" s="64"/>
      <c r="OOE21" s="64"/>
      <c r="OOF21" s="64"/>
      <c r="OOG21" s="64"/>
      <c r="OOH21" s="64"/>
      <c r="OOI21" s="64"/>
      <c r="OOJ21" s="64"/>
      <c r="OOK21" s="64"/>
      <c r="OOL21" s="64"/>
      <c r="OOM21" s="64"/>
      <c r="OON21" s="64"/>
      <c r="OOO21" s="64"/>
      <c r="OOP21" s="64"/>
      <c r="OOQ21" s="64"/>
      <c r="OOR21" s="64"/>
      <c r="OOS21" s="64"/>
      <c r="OOT21" s="64"/>
      <c r="OOU21" s="64"/>
      <c r="OOV21" s="64"/>
      <c r="OOW21" s="64"/>
      <c r="OOX21" s="64"/>
      <c r="OOY21" s="64"/>
      <c r="OOZ21" s="64"/>
      <c r="OPA21" s="64"/>
      <c r="OPB21" s="64"/>
      <c r="OPC21" s="64"/>
      <c r="OPD21" s="64"/>
      <c r="OPE21" s="64"/>
      <c r="OPF21" s="64"/>
      <c r="OPG21" s="64"/>
      <c r="OPH21" s="64"/>
      <c r="OPI21" s="64"/>
      <c r="OPJ21" s="64"/>
      <c r="OPK21" s="64"/>
      <c r="OPL21" s="64"/>
      <c r="OPM21" s="64"/>
      <c r="OPN21" s="64"/>
      <c r="OPO21" s="64"/>
      <c r="OPP21" s="64"/>
      <c r="OPQ21" s="64"/>
      <c r="OPR21" s="64"/>
      <c r="OPS21" s="64"/>
      <c r="OPT21" s="64"/>
      <c r="OPU21" s="64"/>
      <c r="OPV21" s="64"/>
      <c r="OPW21" s="64"/>
      <c r="OPX21" s="64"/>
      <c r="OPY21" s="64"/>
      <c r="OPZ21" s="64"/>
      <c r="OQA21" s="64"/>
      <c r="OQB21" s="64"/>
      <c r="OQC21" s="64"/>
      <c r="OQD21" s="64"/>
      <c r="OQE21" s="64"/>
      <c r="OQF21" s="64"/>
      <c r="OQG21" s="64"/>
      <c r="OQH21" s="64"/>
      <c r="OQI21" s="64"/>
      <c r="OQJ21" s="64"/>
      <c r="OQK21" s="64"/>
      <c r="OQL21" s="64"/>
      <c r="OQM21" s="64"/>
      <c r="OQN21" s="64"/>
      <c r="OQO21" s="64"/>
      <c r="OQP21" s="64"/>
      <c r="OQQ21" s="64"/>
      <c r="OQR21" s="64"/>
      <c r="OQS21" s="64"/>
      <c r="OQT21" s="64"/>
      <c r="OQU21" s="64"/>
      <c r="OQV21" s="64"/>
      <c r="OQW21" s="64"/>
      <c r="OQX21" s="64"/>
      <c r="OQY21" s="64"/>
      <c r="OQZ21" s="64"/>
      <c r="ORA21" s="64"/>
      <c r="ORB21" s="64"/>
      <c r="ORC21" s="64"/>
      <c r="ORD21" s="64"/>
      <c r="ORE21" s="64"/>
      <c r="ORF21" s="64"/>
      <c r="ORG21" s="64"/>
      <c r="ORH21" s="64"/>
      <c r="ORI21" s="64"/>
      <c r="ORJ21" s="64"/>
      <c r="ORK21" s="64"/>
      <c r="ORL21" s="64"/>
      <c r="ORM21" s="64"/>
      <c r="ORN21" s="64"/>
      <c r="ORO21" s="64"/>
      <c r="ORP21" s="64"/>
      <c r="ORQ21" s="64"/>
      <c r="ORR21" s="64"/>
      <c r="ORS21" s="64"/>
      <c r="ORT21" s="64"/>
      <c r="ORU21" s="64"/>
      <c r="ORV21" s="64"/>
      <c r="ORW21" s="64"/>
      <c r="ORX21" s="64"/>
      <c r="ORY21" s="64"/>
      <c r="ORZ21" s="64"/>
      <c r="OSA21" s="64"/>
      <c r="OSB21" s="64"/>
      <c r="OSC21" s="64"/>
      <c r="OSD21" s="64"/>
      <c r="OSE21" s="64"/>
      <c r="OSF21" s="64"/>
      <c r="OSG21" s="64"/>
      <c r="OSH21" s="64"/>
      <c r="OSI21" s="64"/>
      <c r="OSJ21" s="64"/>
      <c r="OSK21" s="64"/>
      <c r="OSL21" s="64"/>
      <c r="OSM21" s="64"/>
      <c r="OSN21" s="64"/>
      <c r="OSO21" s="64"/>
      <c r="OSP21" s="64"/>
      <c r="OSQ21" s="64"/>
      <c r="OSR21" s="64"/>
      <c r="OSS21" s="64"/>
      <c r="OST21" s="64"/>
      <c r="OSU21" s="64"/>
      <c r="OSV21" s="64"/>
      <c r="OSW21" s="64"/>
      <c r="OSX21" s="64"/>
      <c r="OSY21" s="64"/>
      <c r="OSZ21" s="64"/>
      <c r="OTA21" s="64"/>
      <c r="OTB21" s="64"/>
      <c r="OTC21" s="64"/>
      <c r="OTD21" s="64"/>
      <c r="OTE21" s="64"/>
      <c r="OTF21" s="64"/>
      <c r="OTG21" s="64"/>
      <c r="OTH21" s="64"/>
      <c r="OTI21" s="64"/>
      <c r="OTJ21" s="64"/>
      <c r="OTK21" s="64"/>
      <c r="OTL21" s="64"/>
      <c r="OTM21" s="64"/>
      <c r="OTN21" s="64"/>
      <c r="OTO21" s="64"/>
      <c r="OTP21" s="64"/>
      <c r="OTQ21" s="64"/>
      <c r="OTR21" s="64"/>
      <c r="OTS21" s="64"/>
      <c r="OTT21" s="64"/>
      <c r="OTU21" s="64"/>
      <c r="OTV21" s="64"/>
      <c r="OTW21" s="64"/>
      <c r="OTX21" s="64"/>
      <c r="OTY21" s="64"/>
      <c r="OTZ21" s="64"/>
      <c r="OUA21" s="64"/>
      <c r="OUB21" s="64"/>
      <c r="OUC21" s="64"/>
      <c r="OUD21" s="64"/>
      <c r="OUE21" s="64"/>
      <c r="OUF21" s="64"/>
      <c r="OUG21" s="64"/>
      <c r="OUH21" s="64"/>
      <c r="OUI21" s="64"/>
      <c r="OUJ21" s="64"/>
      <c r="OUK21" s="64"/>
      <c r="OUL21" s="64"/>
      <c r="OUM21" s="64"/>
      <c r="OUN21" s="64"/>
      <c r="OUO21" s="64"/>
      <c r="OUP21" s="64"/>
      <c r="OUQ21" s="64"/>
      <c r="OUR21" s="64"/>
      <c r="OUS21" s="64"/>
      <c r="OUT21" s="64"/>
      <c r="OUU21" s="64"/>
      <c r="OUV21" s="64"/>
      <c r="OUW21" s="64"/>
      <c r="OUX21" s="64"/>
      <c r="OUY21" s="64"/>
      <c r="OUZ21" s="64"/>
      <c r="OVA21" s="64"/>
      <c r="OVB21" s="64"/>
      <c r="OVC21" s="64"/>
      <c r="OVD21" s="64"/>
      <c r="OVE21" s="64"/>
      <c r="OVF21" s="64"/>
      <c r="OVG21" s="64"/>
      <c r="OVH21" s="64"/>
      <c r="OVI21" s="64"/>
      <c r="OVJ21" s="64"/>
      <c r="OVK21" s="64"/>
      <c r="OVL21" s="64"/>
      <c r="OVM21" s="64"/>
      <c r="OVN21" s="64"/>
      <c r="OVO21" s="64"/>
      <c r="OVP21" s="64"/>
      <c r="OVQ21" s="64"/>
      <c r="OVR21" s="64"/>
      <c r="OVS21" s="64"/>
      <c r="OVT21" s="64"/>
      <c r="OVU21" s="64"/>
      <c r="OVV21" s="64"/>
      <c r="OVW21" s="64"/>
      <c r="OVX21" s="64"/>
      <c r="OVY21" s="64"/>
      <c r="OVZ21" s="64"/>
      <c r="OWA21" s="64"/>
      <c r="OWB21" s="64"/>
      <c r="OWC21" s="64"/>
      <c r="OWD21" s="64"/>
      <c r="OWE21" s="64"/>
      <c r="OWF21" s="64"/>
      <c r="OWG21" s="64"/>
      <c r="OWH21" s="64"/>
      <c r="OWI21" s="64"/>
      <c r="OWJ21" s="64"/>
      <c r="OWK21" s="64"/>
      <c r="OWL21" s="64"/>
      <c r="OWM21" s="64"/>
      <c r="OWN21" s="64"/>
      <c r="OWO21" s="64"/>
      <c r="OWP21" s="64"/>
      <c r="OWQ21" s="64"/>
      <c r="OWR21" s="64"/>
      <c r="OWS21" s="64"/>
      <c r="OWT21" s="64"/>
      <c r="OWU21" s="64"/>
      <c r="OWV21" s="64"/>
      <c r="OWW21" s="64"/>
      <c r="OWX21" s="64"/>
      <c r="OWY21" s="64"/>
      <c r="OWZ21" s="64"/>
      <c r="OXA21" s="64"/>
      <c r="OXB21" s="64"/>
      <c r="OXC21" s="64"/>
      <c r="OXD21" s="64"/>
      <c r="OXE21" s="64"/>
      <c r="OXF21" s="64"/>
      <c r="OXG21" s="64"/>
      <c r="OXH21" s="64"/>
      <c r="OXI21" s="64"/>
      <c r="OXJ21" s="64"/>
      <c r="OXK21" s="64"/>
      <c r="OXL21" s="64"/>
      <c r="OXM21" s="64"/>
      <c r="OXN21" s="64"/>
      <c r="OXO21" s="64"/>
      <c r="OXP21" s="64"/>
      <c r="OXQ21" s="64"/>
      <c r="OXR21" s="64"/>
      <c r="OXS21" s="64"/>
      <c r="OXT21" s="64"/>
      <c r="OXU21" s="64"/>
      <c r="OXV21" s="64"/>
      <c r="OXW21" s="64"/>
      <c r="OXX21" s="64"/>
      <c r="OXY21" s="64"/>
      <c r="OXZ21" s="64"/>
      <c r="OYA21" s="64"/>
      <c r="OYB21" s="64"/>
      <c r="OYC21" s="64"/>
      <c r="OYD21" s="64"/>
      <c r="OYE21" s="64"/>
      <c r="OYF21" s="64"/>
      <c r="OYG21" s="64"/>
      <c r="OYH21" s="64"/>
      <c r="OYI21" s="64"/>
      <c r="OYJ21" s="64"/>
      <c r="OYK21" s="64"/>
      <c r="OYL21" s="64"/>
      <c r="OYM21" s="64"/>
      <c r="OYN21" s="64"/>
      <c r="OYO21" s="64"/>
      <c r="OYP21" s="64"/>
      <c r="OYQ21" s="64"/>
      <c r="OYR21" s="64"/>
      <c r="OYS21" s="64"/>
      <c r="OYT21" s="64"/>
      <c r="OYU21" s="64"/>
      <c r="OYV21" s="64"/>
      <c r="OYW21" s="64"/>
      <c r="OYX21" s="64"/>
      <c r="OYY21" s="64"/>
      <c r="OYZ21" s="64"/>
      <c r="OZA21" s="64"/>
      <c r="OZB21" s="64"/>
      <c r="OZC21" s="64"/>
      <c r="OZD21" s="64"/>
      <c r="OZE21" s="64"/>
      <c r="OZF21" s="64"/>
      <c r="OZG21" s="64"/>
      <c r="OZH21" s="64"/>
      <c r="OZI21" s="64"/>
      <c r="OZJ21" s="64"/>
      <c r="OZK21" s="64"/>
      <c r="OZL21" s="64"/>
      <c r="OZM21" s="64"/>
      <c r="OZN21" s="64"/>
      <c r="OZO21" s="64"/>
      <c r="OZP21" s="64"/>
      <c r="OZQ21" s="64"/>
      <c r="OZR21" s="64"/>
      <c r="OZS21" s="64"/>
      <c r="OZT21" s="64"/>
      <c r="OZU21" s="64"/>
      <c r="OZV21" s="64"/>
      <c r="OZW21" s="64"/>
      <c r="OZX21" s="64"/>
      <c r="OZY21" s="64"/>
      <c r="OZZ21" s="64"/>
      <c r="PAA21" s="64"/>
      <c r="PAB21" s="64"/>
      <c r="PAC21" s="64"/>
      <c r="PAD21" s="64"/>
      <c r="PAE21" s="64"/>
      <c r="PAF21" s="64"/>
      <c r="PAG21" s="64"/>
      <c r="PAH21" s="64"/>
      <c r="PAI21" s="64"/>
      <c r="PAJ21" s="64"/>
      <c r="PAK21" s="64"/>
      <c r="PAL21" s="64"/>
      <c r="PAM21" s="64"/>
      <c r="PAN21" s="64"/>
      <c r="PAO21" s="64"/>
      <c r="PAP21" s="64"/>
      <c r="PAQ21" s="64"/>
      <c r="PAR21" s="64"/>
      <c r="PAS21" s="64"/>
      <c r="PAT21" s="64"/>
      <c r="PAU21" s="64"/>
      <c r="PAV21" s="64"/>
      <c r="PAW21" s="64"/>
      <c r="PAX21" s="64"/>
      <c r="PAY21" s="64"/>
      <c r="PAZ21" s="64"/>
      <c r="PBA21" s="64"/>
      <c r="PBB21" s="64"/>
      <c r="PBC21" s="64"/>
      <c r="PBD21" s="64"/>
      <c r="PBE21" s="64"/>
      <c r="PBF21" s="64"/>
      <c r="PBG21" s="64"/>
      <c r="PBH21" s="64"/>
      <c r="PBI21" s="64"/>
      <c r="PBJ21" s="64"/>
      <c r="PBK21" s="64"/>
      <c r="PBL21" s="64"/>
      <c r="PBM21" s="64"/>
      <c r="PBN21" s="64"/>
      <c r="PBO21" s="64"/>
      <c r="PBP21" s="64"/>
      <c r="PBQ21" s="64"/>
      <c r="PBR21" s="64"/>
      <c r="PBS21" s="64"/>
      <c r="PBT21" s="64"/>
      <c r="PBU21" s="64"/>
      <c r="PBV21" s="64"/>
      <c r="PBW21" s="64"/>
      <c r="PBX21" s="64"/>
      <c r="PBY21" s="64"/>
      <c r="PBZ21" s="64"/>
      <c r="PCA21" s="64"/>
      <c r="PCB21" s="64"/>
      <c r="PCC21" s="64"/>
      <c r="PCD21" s="64"/>
      <c r="PCE21" s="64"/>
      <c r="PCF21" s="64"/>
      <c r="PCG21" s="64"/>
      <c r="PCH21" s="64"/>
      <c r="PCI21" s="64"/>
      <c r="PCJ21" s="64"/>
      <c r="PCK21" s="64"/>
      <c r="PCL21" s="64"/>
      <c r="PCM21" s="64"/>
      <c r="PCN21" s="64"/>
      <c r="PCO21" s="64"/>
      <c r="PCP21" s="64"/>
      <c r="PCQ21" s="64"/>
      <c r="PCR21" s="64"/>
      <c r="PCS21" s="64"/>
      <c r="PCT21" s="64"/>
      <c r="PCU21" s="64"/>
      <c r="PCV21" s="64"/>
      <c r="PCW21" s="64"/>
      <c r="PCX21" s="64"/>
      <c r="PCY21" s="64"/>
      <c r="PCZ21" s="64"/>
      <c r="PDA21" s="64"/>
      <c r="PDB21" s="64"/>
      <c r="PDC21" s="64"/>
      <c r="PDD21" s="64"/>
      <c r="PDE21" s="64"/>
      <c r="PDF21" s="64"/>
      <c r="PDG21" s="64"/>
      <c r="PDH21" s="64"/>
      <c r="PDI21" s="64"/>
      <c r="PDJ21" s="64"/>
      <c r="PDK21" s="64"/>
      <c r="PDL21" s="64"/>
      <c r="PDM21" s="64"/>
      <c r="PDN21" s="64"/>
      <c r="PDO21" s="64"/>
      <c r="PDP21" s="64"/>
      <c r="PDQ21" s="64"/>
      <c r="PDR21" s="64"/>
      <c r="PDS21" s="64"/>
      <c r="PDT21" s="64"/>
      <c r="PDU21" s="64"/>
      <c r="PDV21" s="64"/>
      <c r="PDW21" s="64"/>
      <c r="PDX21" s="64"/>
      <c r="PDY21" s="64"/>
      <c r="PDZ21" s="64"/>
      <c r="PEA21" s="64"/>
      <c r="PEB21" s="64"/>
      <c r="PEC21" s="64"/>
      <c r="PED21" s="64"/>
      <c r="PEE21" s="64"/>
      <c r="PEF21" s="64"/>
      <c r="PEG21" s="64"/>
      <c r="PEH21" s="64"/>
      <c r="PEI21" s="64"/>
      <c r="PEJ21" s="64"/>
      <c r="PEK21" s="64"/>
      <c r="PEL21" s="64"/>
      <c r="PEM21" s="64"/>
      <c r="PEN21" s="64"/>
      <c r="PEO21" s="64"/>
      <c r="PEP21" s="64"/>
      <c r="PEQ21" s="64"/>
      <c r="PER21" s="64"/>
      <c r="PES21" s="64"/>
      <c r="PET21" s="64"/>
      <c r="PEU21" s="64"/>
      <c r="PEV21" s="64"/>
      <c r="PEW21" s="64"/>
      <c r="PEX21" s="64"/>
      <c r="PEY21" s="64"/>
      <c r="PEZ21" s="64"/>
      <c r="PFA21" s="64"/>
      <c r="PFB21" s="64"/>
      <c r="PFC21" s="64"/>
      <c r="PFD21" s="64"/>
      <c r="PFE21" s="64"/>
      <c r="PFF21" s="64"/>
      <c r="PFG21" s="64"/>
      <c r="PFH21" s="64"/>
      <c r="PFI21" s="64"/>
      <c r="PFJ21" s="64"/>
      <c r="PFK21" s="64"/>
      <c r="PFL21" s="64"/>
      <c r="PFM21" s="64"/>
      <c r="PFN21" s="64"/>
      <c r="PFO21" s="64"/>
      <c r="PFP21" s="64"/>
      <c r="PFQ21" s="64"/>
      <c r="PFR21" s="64"/>
      <c r="PFS21" s="64"/>
      <c r="PFT21" s="64"/>
      <c r="PFU21" s="64"/>
      <c r="PFV21" s="64"/>
      <c r="PFW21" s="64"/>
      <c r="PFX21" s="64"/>
      <c r="PFY21" s="64"/>
      <c r="PFZ21" s="64"/>
      <c r="PGA21" s="64"/>
      <c r="PGB21" s="64"/>
      <c r="PGC21" s="64"/>
      <c r="PGD21" s="64"/>
      <c r="PGE21" s="64"/>
      <c r="PGF21" s="64"/>
      <c r="PGG21" s="64"/>
      <c r="PGH21" s="64"/>
      <c r="PGI21" s="64"/>
      <c r="PGJ21" s="64"/>
      <c r="PGK21" s="64"/>
      <c r="PGL21" s="64"/>
      <c r="PGM21" s="64"/>
      <c r="PGN21" s="64"/>
      <c r="PGO21" s="64"/>
      <c r="PGP21" s="64"/>
      <c r="PGQ21" s="64"/>
      <c r="PGR21" s="64"/>
      <c r="PGS21" s="64"/>
      <c r="PGT21" s="64"/>
      <c r="PGU21" s="64"/>
      <c r="PGV21" s="64"/>
      <c r="PGW21" s="64"/>
      <c r="PGX21" s="64"/>
      <c r="PGY21" s="64"/>
      <c r="PGZ21" s="64"/>
      <c r="PHA21" s="64"/>
      <c r="PHB21" s="64"/>
      <c r="PHC21" s="64"/>
      <c r="PHD21" s="64"/>
      <c r="PHE21" s="64"/>
      <c r="PHF21" s="64"/>
      <c r="PHG21" s="64"/>
      <c r="PHH21" s="64"/>
      <c r="PHI21" s="64"/>
      <c r="PHJ21" s="64"/>
      <c r="PHK21" s="64"/>
      <c r="PHL21" s="64"/>
      <c r="PHM21" s="64"/>
      <c r="PHN21" s="64"/>
      <c r="PHO21" s="64"/>
      <c r="PHP21" s="64"/>
      <c r="PHQ21" s="64"/>
      <c r="PHR21" s="64"/>
      <c r="PHS21" s="64"/>
      <c r="PHT21" s="64"/>
      <c r="PHU21" s="64"/>
      <c r="PHV21" s="64"/>
      <c r="PHW21" s="64"/>
      <c r="PHX21" s="64"/>
      <c r="PHY21" s="64"/>
      <c r="PHZ21" s="64"/>
      <c r="PIA21" s="64"/>
      <c r="PIB21" s="64"/>
      <c r="PIC21" s="64"/>
      <c r="PID21" s="64"/>
      <c r="PIE21" s="64"/>
      <c r="PIF21" s="64"/>
      <c r="PIG21" s="64"/>
      <c r="PIH21" s="64"/>
      <c r="PII21" s="64"/>
      <c r="PIJ21" s="64"/>
      <c r="PIK21" s="64"/>
      <c r="PIL21" s="64"/>
      <c r="PIM21" s="64"/>
      <c r="PIN21" s="64"/>
      <c r="PIO21" s="64"/>
      <c r="PIP21" s="64"/>
      <c r="PIQ21" s="64"/>
      <c r="PIR21" s="64"/>
      <c r="PIS21" s="64"/>
      <c r="PIT21" s="64"/>
      <c r="PIU21" s="64"/>
      <c r="PIV21" s="64"/>
      <c r="PIW21" s="64"/>
      <c r="PIX21" s="64"/>
      <c r="PIY21" s="64"/>
      <c r="PIZ21" s="64"/>
      <c r="PJA21" s="64"/>
      <c r="PJB21" s="64"/>
      <c r="PJC21" s="64"/>
      <c r="PJD21" s="64"/>
      <c r="PJE21" s="64"/>
      <c r="PJF21" s="64"/>
      <c r="PJG21" s="64"/>
      <c r="PJH21" s="64"/>
      <c r="PJI21" s="64"/>
      <c r="PJJ21" s="64"/>
      <c r="PJK21" s="64"/>
      <c r="PJL21" s="64"/>
      <c r="PJM21" s="64"/>
      <c r="PJN21" s="64"/>
      <c r="PJO21" s="64"/>
      <c r="PJP21" s="64"/>
      <c r="PJQ21" s="64"/>
      <c r="PJR21" s="64"/>
      <c r="PJS21" s="64"/>
      <c r="PJT21" s="64"/>
      <c r="PJU21" s="64"/>
      <c r="PJV21" s="64"/>
      <c r="PJW21" s="64"/>
      <c r="PJX21" s="64"/>
      <c r="PJY21" s="64"/>
      <c r="PJZ21" s="64"/>
      <c r="PKA21" s="64"/>
      <c r="PKB21" s="64"/>
      <c r="PKC21" s="64"/>
      <c r="PKD21" s="64"/>
      <c r="PKE21" s="64"/>
      <c r="PKF21" s="64"/>
      <c r="PKG21" s="64"/>
      <c r="PKH21" s="64"/>
      <c r="PKI21" s="64"/>
      <c r="PKJ21" s="64"/>
      <c r="PKK21" s="64"/>
      <c r="PKL21" s="64"/>
      <c r="PKM21" s="64"/>
      <c r="PKN21" s="64"/>
      <c r="PKO21" s="64"/>
      <c r="PKP21" s="64"/>
      <c r="PKQ21" s="64"/>
      <c r="PKR21" s="64"/>
      <c r="PKS21" s="64"/>
      <c r="PKT21" s="64"/>
      <c r="PKU21" s="64"/>
      <c r="PKV21" s="64"/>
      <c r="PKW21" s="64"/>
      <c r="PKX21" s="64"/>
      <c r="PKY21" s="64"/>
      <c r="PKZ21" s="64"/>
      <c r="PLA21" s="64"/>
      <c r="PLB21" s="64"/>
      <c r="PLC21" s="64"/>
      <c r="PLD21" s="64"/>
      <c r="PLE21" s="64"/>
      <c r="PLF21" s="64"/>
      <c r="PLG21" s="64"/>
      <c r="PLH21" s="64"/>
      <c r="PLI21" s="64"/>
      <c r="PLJ21" s="64"/>
      <c r="PLK21" s="64"/>
      <c r="PLL21" s="64"/>
      <c r="PLM21" s="64"/>
      <c r="PLN21" s="64"/>
      <c r="PLO21" s="64"/>
      <c r="PLP21" s="64"/>
      <c r="PLQ21" s="64"/>
      <c r="PLR21" s="64"/>
      <c r="PLS21" s="64"/>
      <c r="PLT21" s="64"/>
      <c r="PLU21" s="64"/>
      <c r="PLV21" s="64"/>
      <c r="PLW21" s="64"/>
      <c r="PLX21" s="64"/>
      <c r="PLY21" s="64"/>
      <c r="PLZ21" s="64"/>
      <c r="PMA21" s="64"/>
      <c r="PMB21" s="64"/>
      <c r="PMC21" s="64"/>
      <c r="PMD21" s="64"/>
      <c r="PME21" s="64"/>
      <c r="PMF21" s="64"/>
      <c r="PMG21" s="64"/>
      <c r="PMH21" s="64"/>
      <c r="PMI21" s="64"/>
      <c r="PMJ21" s="64"/>
      <c r="PMK21" s="64"/>
      <c r="PML21" s="64"/>
      <c r="PMM21" s="64"/>
      <c r="PMN21" s="64"/>
      <c r="PMO21" s="64"/>
      <c r="PMP21" s="64"/>
      <c r="PMQ21" s="64"/>
      <c r="PMR21" s="64"/>
      <c r="PMS21" s="64"/>
      <c r="PMT21" s="64"/>
      <c r="PMU21" s="64"/>
      <c r="PMV21" s="64"/>
      <c r="PMW21" s="64"/>
      <c r="PMX21" s="64"/>
      <c r="PMY21" s="64"/>
      <c r="PMZ21" s="64"/>
      <c r="PNA21" s="64"/>
      <c r="PNB21" s="64"/>
      <c r="PNC21" s="64"/>
      <c r="PND21" s="64"/>
      <c r="PNE21" s="64"/>
      <c r="PNF21" s="64"/>
      <c r="PNG21" s="64"/>
      <c r="PNH21" s="64"/>
      <c r="PNI21" s="64"/>
      <c r="PNJ21" s="64"/>
      <c r="PNK21" s="64"/>
      <c r="PNL21" s="64"/>
      <c r="PNM21" s="64"/>
      <c r="PNN21" s="64"/>
      <c r="PNO21" s="64"/>
      <c r="PNP21" s="64"/>
      <c r="PNQ21" s="64"/>
      <c r="PNR21" s="64"/>
      <c r="PNS21" s="64"/>
      <c r="PNT21" s="64"/>
      <c r="PNU21" s="64"/>
      <c r="PNV21" s="64"/>
      <c r="PNW21" s="64"/>
      <c r="PNX21" s="64"/>
      <c r="PNY21" s="64"/>
      <c r="PNZ21" s="64"/>
      <c r="POA21" s="64"/>
      <c r="POB21" s="64"/>
      <c r="POC21" s="64"/>
      <c r="POD21" s="64"/>
      <c r="POE21" s="64"/>
      <c r="POF21" s="64"/>
      <c r="POG21" s="64"/>
      <c r="POH21" s="64"/>
      <c r="POI21" s="64"/>
      <c r="POJ21" s="64"/>
      <c r="POK21" s="64"/>
      <c r="POL21" s="64"/>
      <c r="POM21" s="64"/>
      <c r="PON21" s="64"/>
      <c r="POO21" s="64"/>
      <c r="POP21" s="64"/>
      <c r="POQ21" s="64"/>
      <c r="POR21" s="64"/>
      <c r="POS21" s="64"/>
      <c r="POT21" s="64"/>
      <c r="POU21" s="64"/>
      <c r="POV21" s="64"/>
      <c r="POW21" s="64"/>
      <c r="POX21" s="64"/>
      <c r="POY21" s="64"/>
      <c r="POZ21" s="64"/>
      <c r="PPA21" s="64"/>
      <c r="PPB21" s="64"/>
      <c r="PPC21" s="64"/>
      <c r="PPD21" s="64"/>
      <c r="PPE21" s="64"/>
      <c r="PPF21" s="64"/>
      <c r="PPG21" s="64"/>
      <c r="PPH21" s="64"/>
      <c r="PPI21" s="64"/>
      <c r="PPJ21" s="64"/>
      <c r="PPK21" s="64"/>
      <c r="PPL21" s="64"/>
      <c r="PPM21" s="64"/>
      <c r="PPN21" s="64"/>
      <c r="PPO21" s="64"/>
      <c r="PPP21" s="64"/>
      <c r="PPQ21" s="64"/>
      <c r="PPR21" s="64"/>
      <c r="PPS21" s="64"/>
      <c r="PPT21" s="64"/>
      <c r="PPU21" s="64"/>
      <c r="PPV21" s="64"/>
      <c r="PPW21" s="64"/>
      <c r="PPX21" s="64"/>
      <c r="PPY21" s="64"/>
      <c r="PPZ21" s="64"/>
      <c r="PQA21" s="64"/>
      <c r="PQB21" s="64"/>
      <c r="PQC21" s="64"/>
      <c r="PQD21" s="64"/>
      <c r="PQE21" s="64"/>
      <c r="PQF21" s="64"/>
      <c r="PQG21" s="64"/>
      <c r="PQH21" s="64"/>
      <c r="PQI21" s="64"/>
      <c r="PQJ21" s="64"/>
      <c r="PQK21" s="64"/>
      <c r="PQL21" s="64"/>
      <c r="PQM21" s="64"/>
      <c r="PQN21" s="64"/>
      <c r="PQO21" s="64"/>
      <c r="PQP21" s="64"/>
      <c r="PQQ21" s="64"/>
      <c r="PQR21" s="64"/>
      <c r="PQS21" s="64"/>
      <c r="PQT21" s="64"/>
      <c r="PQU21" s="64"/>
      <c r="PQV21" s="64"/>
      <c r="PQW21" s="64"/>
      <c r="PQX21" s="64"/>
      <c r="PQY21" s="64"/>
      <c r="PQZ21" s="64"/>
      <c r="PRA21" s="64"/>
      <c r="PRB21" s="64"/>
      <c r="PRC21" s="64"/>
      <c r="PRD21" s="64"/>
      <c r="PRE21" s="64"/>
      <c r="PRF21" s="64"/>
      <c r="PRG21" s="64"/>
      <c r="PRH21" s="64"/>
      <c r="PRI21" s="64"/>
      <c r="PRJ21" s="64"/>
      <c r="PRK21" s="64"/>
      <c r="PRL21" s="64"/>
      <c r="PRM21" s="64"/>
      <c r="PRN21" s="64"/>
      <c r="PRO21" s="64"/>
      <c r="PRP21" s="64"/>
      <c r="PRQ21" s="64"/>
      <c r="PRR21" s="64"/>
      <c r="PRS21" s="64"/>
      <c r="PRT21" s="64"/>
      <c r="PRU21" s="64"/>
      <c r="PRV21" s="64"/>
      <c r="PRW21" s="64"/>
      <c r="PRX21" s="64"/>
      <c r="PRY21" s="64"/>
      <c r="PRZ21" s="64"/>
      <c r="PSA21" s="64"/>
      <c r="PSB21" s="64"/>
      <c r="PSC21" s="64"/>
      <c r="PSD21" s="64"/>
      <c r="PSE21" s="64"/>
      <c r="PSF21" s="64"/>
      <c r="PSG21" s="64"/>
      <c r="PSH21" s="64"/>
      <c r="PSI21" s="64"/>
      <c r="PSJ21" s="64"/>
      <c r="PSK21" s="64"/>
      <c r="PSL21" s="64"/>
      <c r="PSM21" s="64"/>
      <c r="PSN21" s="64"/>
      <c r="PSO21" s="64"/>
      <c r="PSP21" s="64"/>
      <c r="PSQ21" s="64"/>
      <c r="PSR21" s="64"/>
      <c r="PSS21" s="64"/>
      <c r="PST21" s="64"/>
      <c r="PSU21" s="64"/>
      <c r="PSV21" s="64"/>
      <c r="PSW21" s="64"/>
      <c r="PSX21" s="64"/>
      <c r="PSY21" s="64"/>
      <c r="PSZ21" s="64"/>
      <c r="PTA21" s="64"/>
      <c r="PTB21" s="64"/>
      <c r="PTC21" s="64"/>
      <c r="PTD21" s="64"/>
      <c r="PTE21" s="64"/>
      <c r="PTF21" s="64"/>
      <c r="PTG21" s="64"/>
      <c r="PTH21" s="64"/>
      <c r="PTI21" s="64"/>
      <c r="PTJ21" s="64"/>
      <c r="PTK21" s="64"/>
      <c r="PTL21" s="64"/>
      <c r="PTM21" s="64"/>
      <c r="PTN21" s="64"/>
      <c r="PTO21" s="64"/>
      <c r="PTP21" s="64"/>
      <c r="PTQ21" s="64"/>
      <c r="PTR21" s="64"/>
      <c r="PTS21" s="64"/>
      <c r="PTT21" s="64"/>
      <c r="PTU21" s="64"/>
      <c r="PTV21" s="64"/>
      <c r="PTW21" s="64"/>
      <c r="PTX21" s="64"/>
      <c r="PTY21" s="64"/>
      <c r="PTZ21" s="64"/>
      <c r="PUA21" s="64"/>
      <c r="PUB21" s="64"/>
      <c r="PUC21" s="64"/>
      <c r="PUD21" s="64"/>
      <c r="PUE21" s="64"/>
      <c r="PUF21" s="64"/>
      <c r="PUG21" s="64"/>
      <c r="PUH21" s="64"/>
      <c r="PUI21" s="64"/>
      <c r="PUJ21" s="64"/>
      <c r="PUK21" s="64"/>
      <c r="PUL21" s="64"/>
      <c r="PUM21" s="64"/>
      <c r="PUN21" s="64"/>
      <c r="PUO21" s="64"/>
      <c r="PUP21" s="64"/>
      <c r="PUQ21" s="64"/>
      <c r="PUR21" s="64"/>
      <c r="PUS21" s="64"/>
      <c r="PUT21" s="64"/>
      <c r="PUU21" s="64"/>
      <c r="PUV21" s="64"/>
      <c r="PUW21" s="64"/>
      <c r="PUX21" s="64"/>
      <c r="PUY21" s="64"/>
      <c r="PUZ21" s="64"/>
      <c r="PVA21" s="64"/>
      <c r="PVB21" s="64"/>
      <c r="PVC21" s="64"/>
      <c r="PVD21" s="64"/>
      <c r="PVE21" s="64"/>
      <c r="PVF21" s="64"/>
      <c r="PVG21" s="64"/>
      <c r="PVH21" s="64"/>
      <c r="PVI21" s="64"/>
      <c r="PVJ21" s="64"/>
      <c r="PVK21" s="64"/>
      <c r="PVL21" s="64"/>
      <c r="PVM21" s="64"/>
      <c r="PVN21" s="64"/>
      <c r="PVO21" s="64"/>
      <c r="PVP21" s="64"/>
      <c r="PVQ21" s="64"/>
      <c r="PVR21" s="64"/>
      <c r="PVS21" s="64"/>
      <c r="PVT21" s="64"/>
      <c r="PVU21" s="64"/>
      <c r="PVV21" s="64"/>
      <c r="PVW21" s="64"/>
      <c r="PVX21" s="64"/>
      <c r="PVY21" s="64"/>
      <c r="PVZ21" s="64"/>
      <c r="PWA21" s="64"/>
      <c r="PWB21" s="64"/>
      <c r="PWC21" s="64"/>
      <c r="PWD21" s="64"/>
      <c r="PWE21" s="64"/>
      <c r="PWF21" s="64"/>
      <c r="PWG21" s="64"/>
      <c r="PWH21" s="64"/>
      <c r="PWI21" s="64"/>
      <c r="PWJ21" s="64"/>
      <c r="PWK21" s="64"/>
      <c r="PWL21" s="64"/>
      <c r="PWM21" s="64"/>
      <c r="PWN21" s="64"/>
      <c r="PWO21" s="64"/>
      <c r="PWP21" s="64"/>
      <c r="PWQ21" s="64"/>
      <c r="PWR21" s="64"/>
      <c r="PWS21" s="64"/>
      <c r="PWT21" s="64"/>
      <c r="PWU21" s="64"/>
      <c r="PWV21" s="64"/>
      <c r="PWW21" s="64"/>
      <c r="PWX21" s="64"/>
      <c r="PWY21" s="64"/>
      <c r="PWZ21" s="64"/>
      <c r="PXA21" s="64"/>
      <c r="PXB21" s="64"/>
      <c r="PXC21" s="64"/>
      <c r="PXD21" s="64"/>
      <c r="PXE21" s="64"/>
      <c r="PXF21" s="64"/>
      <c r="PXG21" s="64"/>
      <c r="PXH21" s="64"/>
      <c r="PXI21" s="64"/>
      <c r="PXJ21" s="64"/>
      <c r="PXK21" s="64"/>
      <c r="PXL21" s="64"/>
      <c r="PXM21" s="64"/>
      <c r="PXN21" s="64"/>
      <c r="PXO21" s="64"/>
      <c r="PXP21" s="64"/>
      <c r="PXQ21" s="64"/>
      <c r="PXR21" s="64"/>
      <c r="PXS21" s="64"/>
      <c r="PXT21" s="64"/>
      <c r="PXU21" s="64"/>
      <c r="PXV21" s="64"/>
      <c r="PXW21" s="64"/>
      <c r="PXX21" s="64"/>
      <c r="PXY21" s="64"/>
      <c r="PXZ21" s="64"/>
      <c r="PYA21" s="64"/>
      <c r="PYB21" s="64"/>
      <c r="PYC21" s="64"/>
      <c r="PYD21" s="64"/>
      <c r="PYE21" s="64"/>
      <c r="PYF21" s="64"/>
      <c r="PYG21" s="64"/>
      <c r="PYH21" s="64"/>
      <c r="PYI21" s="64"/>
      <c r="PYJ21" s="64"/>
      <c r="PYK21" s="64"/>
      <c r="PYL21" s="64"/>
      <c r="PYM21" s="64"/>
      <c r="PYN21" s="64"/>
      <c r="PYO21" s="64"/>
      <c r="PYP21" s="64"/>
      <c r="PYQ21" s="64"/>
      <c r="PYR21" s="64"/>
      <c r="PYS21" s="64"/>
      <c r="PYT21" s="64"/>
      <c r="PYU21" s="64"/>
      <c r="PYV21" s="64"/>
      <c r="PYW21" s="64"/>
      <c r="PYX21" s="64"/>
      <c r="PYY21" s="64"/>
      <c r="PYZ21" s="64"/>
      <c r="PZA21" s="64"/>
      <c r="PZB21" s="64"/>
      <c r="PZC21" s="64"/>
      <c r="PZD21" s="64"/>
      <c r="PZE21" s="64"/>
      <c r="PZF21" s="64"/>
      <c r="PZG21" s="64"/>
      <c r="PZH21" s="64"/>
      <c r="PZI21" s="64"/>
      <c r="PZJ21" s="64"/>
      <c r="PZK21" s="64"/>
      <c r="PZL21" s="64"/>
      <c r="PZM21" s="64"/>
      <c r="PZN21" s="64"/>
      <c r="PZO21" s="64"/>
      <c r="PZP21" s="64"/>
      <c r="PZQ21" s="64"/>
      <c r="PZR21" s="64"/>
      <c r="PZS21" s="64"/>
      <c r="PZT21" s="64"/>
      <c r="PZU21" s="64"/>
      <c r="PZV21" s="64"/>
      <c r="PZW21" s="64"/>
      <c r="PZX21" s="64"/>
      <c r="PZY21" s="64"/>
      <c r="PZZ21" s="64"/>
      <c r="QAA21" s="64"/>
      <c r="QAB21" s="64"/>
      <c r="QAC21" s="64"/>
      <c r="QAD21" s="64"/>
      <c r="QAE21" s="64"/>
      <c r="QAF21" s="64"/>
      <c r="QAG21" s="64"/>
      <c r="QAH21" s="64"/>
      <c r="QAI21" s="64"/>
      <c r="QAJ21" s="64"/>
      <c r="QAK21" s="64"/>
      <c r="QAL21" s="64"/>
      <c r="QAM21" s="64"/>
      <c r="QAN21" s="64"/>
      <c r="QAO21" s="64"/>
      <c r="QAP21" s="64"/>
      <c r="QAQ21" s="64"/>
      <c r="QAR21" s="64"/>
      <c r="QAS21" s="64"/>
      <c r="QAT21" s="64"/>
      <c r="QAU21" s="64"/>
      <c r="QAV21" s="64"/>
      <c r="QAW21" s="64"/>
      <c r="QAX21" s="64"/>
      <c r="QAY21" s="64"/>
      <c r="QAZ21" s="64"/>
      <c r="QBA21" s="64"/>
      <c r="QBB21" s="64"/>
      <c r="QBC21" s="64"/>
      <c r="QBD21" s="64"/>
      <c r="QBE21" s="64"/>
      <c r="QBF21" s="64"/>
      <c r="QBG21" s="64"/>
      <c r="QBH21" s="64"/>
      <c r="QBI21" s="64"/>
      <c r="QBJ21" s="64"/>
      <c r="QBK21" s="64"/>
      <c r="QBL21" s="64"/>
      <c r="QBM21" s="64"/>
      <c r="QBN21" s="64"/>
      <c r="QBO21" s="64"/>
      <c r="QBP21" s="64"/>
      <c r="QBQ21" s="64"/>
      <c r="QBR21" s="64"/>
      <c r="QBS21" s="64"/>
      <c r="QBT21" s="64"/>
      <c r="QBU21" s="64"/>
      <c r="QBV21" s="64"/>
      <c r="QBW21" s="64"/>
      <c r="QBX21" s="64"/>
      <c r="QBY21" s="64"/>
      <c r="QBZ21" s="64"/>
      <c r="QCA21" s="64"/>
      <c r="QCB21" s="64"/>
      <c r="QCC21" s="64"/>
      <c r="QCD21" s="64"/>
      <c r="QCE21" s="64"/>
      <c r="QCF21" s="64"/>
      <c r="QCG21" s="64"/>
      <c r="QCH21" s="64"/>
      <c r="QCI21" s="64"/>
      <c r="QCJ21" s="64"/>
      <c r="QCK21" s="64"/>
      <c r="QCL21" s="64"/>
      <c r="QCM21" s="64"/>
      <c r="QCN21" s="64"/>
      <c r="QCO21" s="64"/>
      <c r="QCP21" s="64"/>
      <c r="QCQ21" s="64"/>
      <c r="QCR21" s="64"/>
      <c r="QCS21" s="64"/>
      <c r="QCT21" s="64"/>
      <c r="QCU21" s="64"/>
      <c r="QCV21" s="64"/>
      <c r="QCW21" s="64"/>
      <c r="QCX21" s="64"/>
      <c r="QCY21" s="64"/>
      <c r="QCZ21" s="64"/>
      <c r="QDA21" s="64"/>
      <c r="QDB21" s="64"/>
      <c r="QDC21" s="64"/>
      <c r="QDD21" s="64"/>
      <c r="QDE21" s="64"/>
      <c r="QDF21" s="64"/>
      <c r="QDG21" s="64"/>
      <c r="QDH21" s="64"/>
      <c r="QDI21" s="64"/>
      <c r="QDJ21" s="64"/>
      <c r="QDK21" s="64"/>
      <c r="QDL21" s="64"/>
      <c r="QDM21" s="64"/>
      <c r="QDN21" s="64"/>
      <c r="QDO21" s="64"/>
      <c r="QDP21" s="64"/>
      <c r="QDQ21" s="64"/>
      <c r="QDR21" s="64"/>
      <c r="QDS21" s="64"/>
      <c r="QDT21" s="64"/>
      <c r="QDU21" s="64"/>
      <c r="QDV21" s="64"/>
      <c r="QDW21" s="64"/>
      <c r="QDX21" s="64"/>
      <c r="QDY21" s="64"/>
      <c r="QDZ21" s="64"/>
      <c r="QEA21" s="64"/>
      <c r="QEB21" s="64"/>
      <c r="QEC21" s="64"/>
      <c r="QED21" s="64"/>
      <c r="QEE21" s="64"/>
      <c r="QEF21" s="64"/>
      <c r="QEG21" s="64"/>
      <c r="QEH21" s="64"/>
      <c r="QEI21" s="64"/>
      <c r="QEJ21" s="64"/>
      <c r="QEK21" s="64"/>
      <c r="QEL21" s="64"/>
      <c r="QEM21" s="64"/>
      <c r="QEN21" s="64"/>
      <c r="QEO21" s="64"/>
      <c r="QEP21" s="64"/>
      <c r="QEQ21" s="64"/>
      <c r="QER21" s="64"/>
      <c r="QES21" s="64"/>
      <c r="QET21" s="64"/>
      <c r="QEU21" s="64"/>
      <c r="QEV21" s="64"/>
      <c r="QEW21" s="64"/>
      <c r="QEX21" s="64"/>
      <c r="QEY21" s="64"/>
      <c r="QEZ21" s="64"/>
      <c r="QFA21" s="64"/>
      <c r="QFB21" s="64"/>
      <c r="QFC21" s="64"/>
      <c r="QFD21" s="64"/>
      <c r="QFE21" s="64"/>
      <c r="QFF21" s="64"/>
      <c r="QFG21" s="64"/>
      <c r="QFH21" s="64"/>
      <c r="QFI21" s="64"/>
      <c r="QFJ21" s="64"/>
      <c r="QFK21" s="64"/>
      <c r="QFL21" s="64"/>
      <c r="QFM21" s="64"/>
      <c r="QFN21" s="64"/>
      <c r="QFO21" s="64"/>
      <c r="QFP21" s="64"/>
      <c r="QFQ21" s="64"/>
      <c r="QFR21" s="64"/>
      <c r="QFS21" s="64"/>
      <c r="QFT21" s="64"/>
      <c r="QFU21" s="64"/>
      <c r="QFV21" s="64"/>
      <c r="QFW21" s="64"/>
      <c r="QFX21" s="64"/>
      <c r="QFY21" s="64"/>
      <c r="QFZ21" s="64"/>
      <c r="QGA21" s="64"/>
      <c r="QGB21" s="64"/>
      <c r="QGC21" s="64"/>
      <c r="QGD21" s="64"/>
      <c r="QGE21" s="64"/>
      <c r="QGF21" s="64"/>
      <c r="QGG21" s="64"/>
      <c r="QGH21" s="64"/>
      <c r="QGI21" s="64"/>
      <c r="QGJ21" s="64"/>
      <c r="QGK21" s="64"/>
      <c r="QGL21" s="64"/>
      <c r="QGM21" s="64"/>
      <c r="QGN21" s="64"/>
      <c r="QGO21" s="64"/>
      <c r="QGP21" s="64"/>
      <c r="QGQ21" s="64"/>
      <c r="QGR21" s="64"/>
      <c r="QGS21" s="64"/>
      <c r="QGT21" s="64"/>
      <c r="QGU21" s="64"/>
      <c r="QGV21" s="64"/>
      <c r="QGW21" s="64"/>
      <c r="QGX21" s="64"/>
      <c r="QGY21" s="64"/>
      <c r="QGZ21" s="64"/>
      <c r="QHA21" s="64"/>
      <c r="QHB21" s="64"/>
      <c r="QHC21" s="64"/>
      <c r="QHD21" s="64"/>
      <c r="QHE21" s="64"/>
      <c r="QHF21" s="64"/>
      <c r="QHG21" s="64"/>
      <c r="QHH21" s="64"/>
      <c r="QHI21" s="64"/>
      <c r="QHJ21" s="64"/>
      <c r="QHK21" s="64"/>
      <c r="QHL21" s="64"/>
      <c r="QHM21" s="64"/>
      <c r="QHN21" s="64"/>
      <c r="QHO21" s="64"/>
      <c r="QHP21" s="64"/>
      <c r="QHQ21" s="64"/>
      <c r="QHR21" s="64"/>
      <c r="QHS21" s="64"/>
      <c r="QHT21" s="64"/>
      <c r="QHU21" s="64"/>
      <c r="QHV21" s="64"/>
      <c r="QHW21" s="64"/>
      <c r="QHX21" s="64"/>
      <c r="QHY21" s="64"/>
      <c r="QHZ21" s="64"/>
      <c r="QIA21" s="64"/>
      <c r="QIB21" s="64"/>
      <c r="QIC21" s="64"/>
      <c r="QID21" s="64"/>
      <c r="QIE21" s="64"/>
      <c r="QIF21" s="64"/>
      <c r="QIG21" s="64"/>
      <c r="QIH21" s="64"/>
      <c r="QII21" s="64"/>
      <c r="QIJ21" s="64"/>
      <c r="QIK21" s="64"/>
      <c r="QIL21" s="64"/>
      <c r="QIM21" s="64"/>
      <c r="QIN21" s="64"/>
      <c r="QIO21" s="64"/>
      <c r="QIP21" s="64"/>
      <c r="QIQ21" s="64"/>
      <c r="QIR21" s="64"/>
      <c r="QIS21" s="64"/>
      <c r="QIT21" s="64"/>
      <c r="QIU21" s="64"/>
      <c r="QIV21" s="64"/>
      <c r="QIW21" s="64"/>
      <c r="QIX21" s="64"/>
      <c r="QIY21" s="64"/>
      <c r="QIZ21" s="64"/>
      <c r="QJA21" s="64"/>
      <c r="QJB21" s="64"/>
      <c r="QJC21" s="64"/>
      <c r="QJD21" s="64"/>
      <c r="QJE21" s="64"/>
      <c r="QJF21" s="64"/>
      <c r="QJG21" s="64"/>
      <c r="QJH21" s="64"/>
      <c r="QJI21" s="64"/>
      <c r="QJJ21" s="64"/>
      <c r="QJK21" s="64"/>
      <c r="QJL21" s="64"/>
      <c r="QJM21" s="64"/>
      <c r="QJN21" s="64"/>
      <c r="QJO21" s="64"/>
      <c r="QJP21" s="64"/>
      <c r="QJQ21" s="64"/>
      <c r="QJR21" s="64"/>
      <c r="QJS21" s="64"/>
      <c r="QJT21" s="64"/>
      <c r="QJU21" s="64"/>
      <c r="QJV21" s="64"/>
      <c r="QJW21" s="64"/>
      <c r="QJX21" s="64"/>
      <c r="QJY21" s="64"/>
      <c r="QJZ21" s="64"/>
      <c r="QKA21" s="64"/>
      <c r="QKB21" s="64"/>
      <c r="QKC21" s="64"/>
      <c r="QKD21" s="64"/>
      <c r="QKE21" s="64"/>
      <c r="QKF21" s="64"/>
      <c r="QKG21" s="64"/>
      <c r="QKH21" s="64"/>
      <c r="QKI21" s="64"/>
      <c r="QKJ21" s="64"/>
      <c r="QKK21" s="64"/>
      <c r="QKL21" s="64"/>
      <c r="QKM21" s="64"/>
      <c r="QKN21" s="64"/>
      <c r="QKO21" s="64"/>
      <c r="QKP21" s="64"/>
      <c r="QKQ21" s="64"/>
      <c r="QKR21" s="64"/>
      <c r="QKS21" s="64"/>
      <c r="QKT21" s="64"/>
      <c r="QKU21" s="64"/>
      <c r="QKV21" s="64"/>
      <c r="QKW21" s="64"/>
      <c r="QKX21" s="64"/>
      <c r="QKY21" s="64"/>
      <c r="QKZ21" s="64"/>
      <c r="QLA21" s="64"/>
      <c r="QLB21" s="64"/>
      <c r="QLC21" s="64"/>
      <c r="QLD21" s="64"/>
      <c r="QLE21" s="64"/>
      <c r="QLF21" s="64"/>
      <c r="QLG21" s="64"/>
      <c r="QLH21" s="64"/>
      <c r="QLI21" s="64"/>
      <c r="QLJ21" s="64"/>
      <c r="QLK21" s="64"/>
      <c r="QLL21" s="64"/>
      <c r="QLM21" s="64"/>
      <c r="QLN21" s="64"/>
      <c r="QLO21" s="64"/>
      <c r="QLP21" s="64"/>
      <c r="QLQ21" s="64"/>
      <c r="QLR21" s="64"/>
      <c r="QLS21" s="64"/>
      <c r="QLT21" s="64"/>
      <c r="QLU21" s="64"/>
      <c r="QLV21" s="64"/>
      <c r="QLW21" s="64"/>
      <c r="QLX21" s="64"/>
      <c r="QLY21" s="64"/>
      <c r="QLZ21" s="64"/>
      <c r="QMA21" s="64"/>
      <c r="QMB21" s="64"/>
      <c r="QMC21" s="64"/>
      <c r="QMD21" s="64"/>
      <c r="QME21" s="64"/>
      <c r="QMF21" s="64"/>
      <c r="QMG21" s="64"/>
      <c r="QMH21" s="64"/>
      <c r="QMI21" s="64"/>
      <c r="QMJ21" s="64"/>
      <c r="QMK21" s="64"/>
      <c r="QML21" s="64"/>
      <c r="QMM21" s="64"/>
      <c r="QMN21" s="64"/>
      <c r="QMO21" s="64"/>
      <c r="QMP21" s="64"/>
      <c r="QMQ21" s="64"/>
      <c r="QMR21" s="64"/>
      <c r="QMS21" s="64"/>
      <c r="QMT21" s="64"/>
      <c r="QMU21" s="64"/>
      <c r="QMV21" s="64"/>
      <c r="QMW21" s="64"/>
      <c r="QMX21" s="64"/>
      <c r="QMY21" s="64"/>
      <c r="QMZ21" s="64"/>
      <c r="QNA21" s="64"/>
      <c r="QNB21" s="64"/>
      <c r="QNC21" s="64"/>
      <c r="QND21" s="64"/>
      <c r="QNE21" s="64"/>
      <c r="QNF21" s="64"/>
      <c r="QNG21" s="64"/>
      <c r="QNH21" s="64"/>
      <c r="QNI21" s="64"/>
      <c r="QNJ21" s="64"/>
      <c r="QNK21" s="64"/>
      <c r="QNL21" s="64"/>
      <c r="QNM21" s="64"/>
      <c r="QNN21" s="64"/>
      <c r="QNO21" s="64"/>
      <c r="QNP21" s="64"/>
      <c r="QNQ21" s="64"/>
      <c r="QNR21" s="64"/>
      <c r="QNS21" s="64"/>
      <c r="QNT21" s="64"/>
      <c r="QNU21" s="64"/>
      <c r="QNV21" s="64"/>
      <c r="QNW21" s="64"/>
      <c r="QNX21" s="64"/>
      <c r="QNY21" s="64"/>
      <c r="QNZ21" s="64"/>
      <c r="QOA21" s="64"/>
      <c r="QOB21" s="64"/>
      <c r="QOC21" s="64"/>
      <c r="QOD21" s="64"/>
      <c r="QOE21" s="64"/>
      <c r="QOF21" s="64"/>
      <c r="QOG21" s="64"/>
      <c r="QOH21" s="64"/>
      <c r="QOI21" s="64"/>
      <c r="QOJ21" s="64"/>
      <c r="QOK21" s="64"/>
      <c r="QOL21" s="64"/>
      <c r="QOM21" s="64"/>
      <c r="QON21" s="64"/>
      <c r="QOO21" s="64"/>
      <c r="QOP21" s="64"/>
      <c r="QOQ21" s="64"/>
      <c r="QOR21" s="64"/>
      <c r="QOS21" s="64"/>
      <c r="QOT21" s="64"/>
      <c r="QOU21" s="64"/>
      <c r="QOV21" s="64"/>
      <c r="QOW21" s="64"/>
      <c r="QOX21" s="64"/>
      <c r="QOY21" s="64"/>
      <c r="QOZ21" s="64"/>
      <c r="QPA21" s="64"/>
      <c r="QPB21" s="64"/>
      <c r="QPC21" s="64"/>
      <c r="QPD21" s="64"/>
      <c r="QPE21" s="64"/>
      <c r="QPF21" s="64"/>
      <c r="QPG21" s="64"/>
      <c r="QPH21" s="64"/>
      <c r="QPI21" s="64"/>
      <c r="QPJ21" s="64"/>
      <c r="QPK21" s="64"/>
      <c r="QPL21" s="64"/>
      <c r="QPM21" s="64"/>
      <c r="QPN21" s="64"/>
      <c r="QPO21" s="64"/>
      <c r="QPP21" s="64"/>
      <c r="QPQ21" s="64"/>
      <c r="QPR21" s="64"/>
      <c r="QPS21" s="64"/>
      <c r="QPT21" s="64"/>
      <c r="QPU21" s="64"/>
      <c r="QPV21" s="64"/>
      <c r="QPW21" s="64"/>
      <c r="QPX21" s="64"/>
      <c r="QPY21" s="64"/>
      <c r="QPZ21" s="64"/>
      <c r="QQA21" s="64"/>
      <c r="QQB21" s="64"/>
      <c r="QQC21" s="64"/>
      <c r="QQD21" s="64"/>
      <c r="QQE21" s="64"/>
      <c r="QQF21" s="64"/>
      <c r="QQG21" s="64"/>
      <c r="QQH21" s="64"/>
      <c r="QQI21" s="64"/>
      <c r="QQJ21" s="64"/>
      <c r="QQK21" s="64"/>
      <c r="QQL21" s="64"/>
      <c r="QQM21" s="64"/>
      <c r="QQN21" s="64"/>
      <c r="QQO21" s="64"/>
      <c r="QQP21" s="64"/>
      <c r="QQQ21" s="64"/>
      <c r="QQR21" s="64"/>
      <c r="QQS21" s="64"/>
      <c r="QQT21" s="64"/>
      <c r="QQU21" s="64"/>
      <c r="QQV21" s="64"/>
      <c r="QQW21" s="64"/>
      <c r="QQX21" s="64"/>
      <c r="QQY21" s="64"/>
      <c r="QQZ21" s="64"/>
      <c r="QRA21" s="64"/>
      <c r="QRB21" s="64"/>
      <c r="QRC21" s="64"/>
      <c r="QRD21" s="64"/>
      <c r="QRE21" s="64"/>
      <c r="QRF21" s="64"/>
      <c r="QRG21" s="64"/>
      <c r="QRH21" s="64"/>
      <c r="QRI21" s="64"/>
      <c r="QRJ21" s="64"/>
      <c r="QRK21" s="64"/>
      <c r="QRL21" s="64"/>
      <c r="QRM21" s="64"/>
      <c r="QRN21" s="64"/>
      <c r="QRO21" s="64"/>
      <c r="QRP21" s="64"/>
      <c r="QRQ21" s="64"/>
      <c r="QRR21" s="64"/>
      <c r="QRS21" s="64"/>
      <c r="QRT21" s="64"/>
      <c r="QRU21" s="64"/>
      <c r="QRV21" s="64"/>
      <c r="QRW21" s="64"/>
      <c r="QRX21" s="64"/>
      <c r="QRY21" s="64"/>
      <c r="QRZ21" s="64"/>
      <c r="QSA21" s="64"/>
      <c r="QSB21" s="64"/>
      <c r="QSC21" s="64"/>
      <c r="QSD21" s="64"/>
      <c r="QSE21" s="64"/>
      <c r="QSF21" s="64"/>
      <c r="QSG21" s="64"/>
      <c r="QSH21" s="64"/>
      <c r="QSI21" s="64"/>
      <c r="QSJ21" s="64"/>
      <c r="QSK21" s="64"/>
      <c r="QSL21" s="64"/>
      <c r="QSM21" s="64"/>
      <c r="QSN21" s="64"/>
      <c r="QSO21" s="64"/>
      <c r="QSP21" s="64"/>
      <c r="QSQ21" s="64"/>
      <c r="QSR21" s="64"/>
      <c r="QSS21" s="64"/>
      <c r="QST21" s="64"/>
      <c r="QSU21" s="64"/>
      <c r="QSV21" s="64"/>
      <c r="QSW21" s="64"/>
      <c r="QSX21" s="64"/>
      <c r="QSY21" s="64"/>
      <c r="QSZ21" s="64"/>
      <c r="QTA21" s="64"/>
      <c r="QTB21" s="64"/>
      <c r="QTC21" s="64"/>
      <c r="QTD21" s="64"/>
      <c r="QTE21" s="64"/>
      <c r="QTF21" s="64"/>
      <c r="QTG21" s="64"/>
      <c r="QTH21" s="64"/>
      <c r="QTI21" s="64"/>
      <c r="QTJ21" s="64"/>
      <c r="QTK21" s="64"/>
      <c r="QTL21" s="64"/>
      <c r="QTM21" s="64"/>
      <c r="QTN21" s="64"/>
      <c r="QTO21" s="64"/>
      <c r="QTP21" s="64"/>
      <c r="QTQ21" s="64"/>
      <c r="QTR21" s="64"/>
      <c r="QTS21" s="64"/>
      <c r="QTT21" s="64"/>
      <c r="QTU21" s="64"/>
      <c r="QTV21" s="64"/>
      <c r="QTW21" s="64"/>
      <c r="QTX21" s="64"/>
      <c r="QTY21" s="64"/>
      <c r="QTZ21" s="64"/>
      <c r="QUA21" s="64"/>
      <c r="QUB21" s="64"/>
      <c r="QUC21" s="64"/>
      <c r="QUD21" s="64"/>
      <c r="QUE21" s="64"/>
      <c r="QUF21" s="64"/>
      <c r="QUG21" s="64"/>
      <c r="QUH21" s="64"/>
      <c r="QUI21" s="64"/>
      <c r="QUJ21" s="64"/>
      <c r="QUK21" s="64"/>
      <c r="QUL21" s="64"/>
      <c r="QUM21" s="64"/>
      <c r="QUN21" s="64"/>
      <c r="QUO21" s="64"/>
      <c r="QUP21" s="64"/>
      <c r="QUQ21" s="64"/>
      <c r="QUR21" s="64"/>
      <c r="QUS21" s="64"/>
      <c r="QUT21" s="64"/>
      <c r="QUU21" s="64"/>
      <c r="QUV21" s="64"/>
      <c r="QUW21" s="64"/>
      <c r="QUX21" s="64"/>
      <c r="QUY21" s="64"/>
      <c r="QUZ21" s="64"/>
      <c r="QVA21" s="64"/>
      <c r="QVB21" s="64"/>
      <c r="QVC21" s="64"/>
      <c r="QVD21" s="64"/>
      <c r="QVE21" s="64"/>
      <c r="QVF21" s="64"/>
      <c r="QVG21" s="64"/>
      <c r="QVH21" s="64"/>
      <c r="QVI21" s="64"/>
      <c r="QVJ21" s="64"/>
      <c r="QVK21" s="64"/>
      <c r="QVL21" s="64"/>
      <c r="QVM21" s="64"/>
      <c r="QVN21" s="64"/>
      <c r="QVO21" s="64"/>
      <c r="QVP21" s="64"/>
      <c r="QVQ21" s="64"/>
      <c r="QVR21" s="64"/>
      <c r="QVS21" s="64"/>
      <c r="QVT21" s="64"/>
      <c r="QVU21" s="64"/>
      <c r="QVV21" s="64"/>
      <c r="QVW21" s="64"/>
      <c r="QVX21" s="64"/>
      <c r="QVY21" s="64"/>
      <c r="QVZ21" s="64"/>
      <c r="QWA21" s="64"/>
      <c r="QWB21" s="64"/>
      <c r="QWC21" s="64"/>
      <c r="QWD21" s="64"/>
      <c r="QWE21" s="64"/>
      <c r="QWF21" s="64"/>
      <c r="QWG21" s="64"/>
      <c r="QWH21" s="64"/>
      <c r="QWI21" s="64"/>
      <c r="QWJ21" s="64"/>
      <c r="QWK21" s="64"/>
      <c r="QWL21" s="64"/>
      <c r="QWM21" s="64"/>
      <c r="QWN21" s="64"/>
      <c r="QWO21" s="64"/>
      <c r="QWP21" s="64"/>
      <c r="QWQ21" s="64"/>
      <c r="QWR21" s="64"/>
      <c r="QWS21" s="64"/>
      <c r="QWT21" s="64"/>
      <c r="QWU21" s="64"/>
      <c r="QWV21" s="64"/>
      <c r="QWW21" s="64"/>
      <c r="QWX21" s="64"/>
      <c r="QWY21" s="64"/>
      <c r="QWZ21" s="64"/>
      <c r="QXA21" s="64"/>
      <c r="QXB21" s="64"/>
      <c r="QXC21" s="64"/>
      <c r="QXD21" s="64"/>
      <c r="QXE21" s="64"/>
      <c r="QXF21" s="64"/>
      <c r="QXG21" s="64"/>
      <c r="QXH21" s="64"/>
      <c r="QXI21" s="64"/>
      <c r="QXJ21" s="64"/>
      <c r="QXK21" s="64"/>
      <c r="QXL21" s="64"/>
      <c r="QXM21" s="64"/>
      <c r="QXN21" s="64"/>
      <c r="QXO21" s="64"/>
      <c r="QXP21" s="64"/>
      <c r="QXQ21" s="64"/>
      <c r="QXR21" s="64"/>
      <c r="QXS21" s="64"/>
      <c r="QXT21" s="64"/>
      <c r="QXU21" s="64"/>
      <c r="QXV21" s="64"/>
      <c r="QXW21" s="64"/>
      <c r="QXX21" s="64"/>
      <c r="QXY21" s="64"/>
      <c r="QXZ21" s="64"/>
      <c r="QYA21" s="64"/>
      <c r="QYB21" s="64"/>
      <c r="QYC21" s="64"/>
      <c r="QYD21" s="64"/>
      <c r="QYE21" s="64"/>
      <c r="QYF21" s="64"/>
      <c r="QYG21" s="64"/>
      <c r="QYH21" s="64"/>
      <c r="QYI21" s="64"/>
      <c r="QYJ21" s="64"/>
      <c r="QYK21" s="64"/>
      <c r="QYL21" s="64"/>
      <c r="QYM21" s="64"/>
      <c r="QYN21" s="64"/>
      <c r="QYO21" s="64"/>
      <c r="QYP21" s="64"/>
      <c r="QYQ21" s="64"/>
      <c r="QYR21" s="64"/>
      <c r="QYS21" s="64"/>
      <c r="QYT21" s="64"/>
      <c r="QYU21" s="64"/>
      <c r="QYV21" s="64"/>
      <c r="QYW21" s="64"/>
      <c r="QYX21" s="64"/>
      <c r="QYY21" s="64"/>
      <c r="QYZ21" s="64"/>
      <c r="QZA21" s="64"/>
      <c r="QZB21" s="64"/>
      <c r="QZC21" s="64"/>
      <c r="QZD21" s="64"/>
      <c r="QZE21" s="64"/>
      <c r="QZF21" s="64"/>
      <c r="QZG21" s="64"/>
      <c r="QZH21" s="64"/>
      <c r="QZI21" s="64"/>
      <c r="QZJ21" s="64"/>
      <c r="QZK21" s="64"/>
      <c r="QZL21" s="64"/>
      <c r="QZM21" s="64"/>
      <c r="QZN21" s="64"/>
      <c r="QZO21" s="64"/>
      <c r="QZP21" s="64"/>
      <c r="QZQ21" s="64"/>
      <c r="QZR21" s="64"/>
      <c r="QZS21" s="64"/>
      <c r="QZT21" s="64"/>
      <c r="QZU21" s="64"/>
      <c r="QZV21" s="64"/>
      <c r="QZW21" s="64"/>
      <c r="QZX21" s="64"/>
      <c r="QZY21" s="64"/>
      <c r="QZZ21" s="64"/>
      <c r="RAA21" s="64"/>
      <c r="RAB21" s="64"/>
      <c r="RAC21" s="64"/>
      <c r="RAD21" s="64"/>
      <c r="RAE21" s="64"/>
      <c r="RAF21" s="64"/>
      <c r="RAG21" s="64"/>
      <c r="RAH21" s="64"/>
      <c r="RAI21" s="64"/>
      <c r="RAJ21" s="64"/>
      <c r="RAK21" s="64"/>
      <c r="RAL21" s="64"/>
      <c r="RAM21" s="64"/>
      <c r="RAN21" s="64"/>
      <c r="RAO21" s="64"/>
      <c r="RAP21" s="64"/>
      <c r="RAQ21" s="64"/>
      <c r="RAR21" s="64"/>
      <c r="RAS21" s="64"/>
      <c r="RAT21" s="64"/>
      <c r="RAU21" s="64"/>
      <c r="RAV21" s="64"/>
      <c r="RAW21" s="64"/>
      <c r="RAX21" s="64"/>
      <c r="RAY21" s="64"/>
      <c r="RAZ21" s="64"/>
      <c r="RBA21" s="64"/>
      <c r="RBB21" s="64"/>
      <c r="RBC21" s="64"/>
      <c r="RBD21" s="64"/>
      <c r="RBE21" s="64"/>
      <c r="RBF21" s="64"/>
      <c r="RBG21" s="64"/>
      <c r="RBH21" s="64"/>
      <c r="RBI21" s="64"/>
      <c r="RBJ21" s="64"/>
      <c r="RBK21" s="64"/>
      <c r="RBL21" s="64"/>
      <c r="RBM21" s="64"/>
      <c r="RBN21" s="64"/>
      <c r="RBO21" s="64"/>
      <c r="RBP21" s="64"/>
      <c r="RBQ21" s="64"/>
      <c r="RBR21" s="64"/>
      <c r="RBS21" s="64"/>
      <c r="RBT21" s="64"/>
      <c r="RBU21" s="64"/>
      <c r="RBV21" s="64"/>
      <c r="RBW21" s="64"/>
      <c r="RBX21" s="64"/>
      <c r="RBY21" s="64"/>
      <c r="RBZ21" s="64"/>
      <c r="RCA21" s="64"/>
      <c r="RCB21" s="64"/>
      <c r="RCC21" s="64"/>
      <c r="RCD21" s="64"/>
      <c r="RCE21" s="64"/>
      <c r="RCF21" s="64"/>
      <c r="RCG21" s="64"/>
      <c r="RCH21" s="64"/>
      <c r="RCI21" s="64"/>
      <c r="RCJ21" s="64"/>
      <c r="RCK21" s="64"/>
      <c r="RCL21" s="64"/>
      <c r="RCM21" s="64"/>
      <c r="RCN21" s="64"/>
      <c r="RCO21" s="64"/>
      <c r="RCP21" s="64"/>
      <c r="RCQ21" s="64"/>
      <c r="RCR21" s="64"/>
      <c r="RCS21" s="64"/>
      <c r="RCT21" s="64"/>
      <c r="RCU21" s="64"/>
      <c r="RCV21" s="64"/>
      <c r="RCW21" s="64"/>
      <c r="RCX21" s="64"/>
      <c r="RCY21" s="64"/>
      <c r="RCZ21" s="64"/>
      <c r="RDA21" s="64"/>
      <c r="RDB21" s="64"/>
      <c r="RDC21" s="64"/>
      <c r="RDD21" s="64"/>
      <c r="RDE21" s="64"/>
      <c r="RDF21" s="64"/>
      <c r="RDG21" s="64"/>
      <c r="RDH21" s="64"/>
      <c r="RDI21" s="64"/>
      <c r="RDJ21" s="64"/>
      <c r="RDK21" s="64"/>
      <c r="RDL21" s="64"/>
      <c r="RDM21" s="64"/>
      <c r="RDN21" s="64"/>
      <c r="RDO21" s="64"/>
      <c r="RDP21" s="64"/>
      <c r="RDQ21" s="64"/>
      <c r="RDR21" s="64"/>
      <c r="RDS21" s="64"/>
      <c r="RDT21" s="64"/>
      <c r="RDU21" s="64"/>
      <c r="RDV21" s="64"/>
      <c r="RDW21" s="64"/>
      <c r="RDX21" s="64"/>
      <c r="RDY21" s="64"/>
      <c r="RDZ21" s="64"/>
      <c r="REA21" s="64"/>
      <c r="REB21" s="64"/>
      <c r="REC21" s="64"/>
      <c r="RED21" s="64"/>
      <c r="REE21" s="64"/>
      <c r="REF21" s="64"/>
      <c r="REG21" s="64"/>
      <c r="REH21" s="64"/>
      <c r="REI21" s="64"/>
      <c r="REJ21" s="64"/>
      <c r="REK21" s="64"/>
      <c r="REL21" s="64"/>
      <c r="REM21" s="64"/>
      <c r="REN21" s="64"/>
      <c r="REO21" s="64"/>
      <c r="REP21" s="64"/>
      <c r="REQ21" s="64"/>
      <c r="RER21" s="64"/>
      <c r="RES21" s="64"/>
      <c r="RET21" s="64"/>
      <c r="REU21" s="64"/>
      <c r="REV21" s="64"/>
      <c r="REW21" s="64"/>
      <c r="REX21" s="64"/>
      <c r="REY21" s="64"/>
      <c r="REZ21" s="64"/>
      <c r="RFA21" s="64"/>
      <c r="RFB21" s="64"/>
      <c r="RFC21" s="64"/>
      <c r="RFD21" s="64"/>
      <c r="RFE21" s="64"/>
      <c r="RFF21" s="64"/>
      <c r="RFG21" s="64"/>
      <c r="RFH21" s="64"/>
      <c r="RFI21" s="64"/>
      <c r="RFJ21" s="64"/>
      <c r="RFK21" s="64"/>
      <c r="RFL21" s="64"/>
      <c r="RFM21" s="64"/>
      <c r="RFN21" s="64"/>
      <c r="RFO21" s="64"/>
      <c r="RFP21" s="64"/>
      <c r="RFQ21" s="64"/>
      <c r="RFR21" s="64"/>
      <c r="RFS21" s="64"/>
      <c r="RFT21" s="64"/>
      <c r="RFU21" s="64"/>
      <c r="RFV21" s="64"/>
      <c r="RFW21" s="64"/>
      <c r="RFX21" s="64"/>
      <c r="RFY21" s="64"/>
      <c r="RFZ21" s="64"/>
      <c r="RGA21" s="64"/>
      <c r="RGB21" s="64"/>
      <c r="RGC21" s="64"/>
      <c r="RGD21" s="64"/>
      <c r="RGE21" s="64"/>
      <c r="RGF21" s="64"/>
      <c r="RGG21" s="64"/>
      <c r="RGH21" s="64"/>
      <c r="RGI21" s="64"/>
      <c r="RGJ21" s="64"/>
      <c r="RGK21" s="64"/>
      <c r="RGL21" s="64"/>
      <c r="RGM21" s="64"/>
      <c r="RGN21" s="64"/>
      <c r="RGO21" s="64"/>
      <c r="RGP21" s="64"/>
      <c r="RGQ21" s="64"/>
      <c r="RGR21" s="64"/>
      <c r="RGS21" s="64"/>
      <c r="RGT21" s="64"/>
      <c r="RGU21" s="64"/>
      <c r="RGV21" s="64"/>
      <c r="RGW21" s="64"/>
      <c r="RGX21" s="64"/>
      <c r="RGY21" s="64"/>
      <c r="RGZ21" s="64"/>
      <c r="RHA21" s="64"/>
      <c r="RHB21" s="64"/>
      <c r="RHC21" s="64"/>
      <c r="RHD21" s="64"/>
      <c r="RHE21" s="64"/>
      <c r="RHF21" s="64"/>
      <c r="RHG21" s="64"/>
      <c r="RHH21" s="64"/>
      <c r="RHI21" s="64"/>
      <c r="RHJ21" s="64"/>
      <c r="RHK21" s="64"/>
      <c r="RHL21" s="64"/>
      <c r="RHM21" s="64"/>
      <c r="RHN21" s="64"/>
      <c r="RHO21" s="64"/>
      <c r="RHP21" s="64"/>
      <c r="RHQ21" s="64"/>
      <c r="RHR21" s="64"/>
      <c r="RHS21" s="64"/>
      <c r="RHT21" s="64"/>
      <c r="RHU21" s="64"/>
      <c r="RHV21" s="64"/>
      <c r="RHW21" s="64"/>
      <c r="RHX21" s="64"/>
      <c r="RHY21" s="64"/>
      <c r="RHZ21" s="64"/>
      <c r="RIA21" s="64"/>
      <c r="RIB21" s="64"/>
      <c r="RIC21" s="64"/>
      <c r="RID21" s="64"/>
      <c r="RIE21" s="64"/>
      <c r="RIF21" s="64"/>
      <c r="RIG21" s="64"/>
      <c r="RIH21" s="64"/>
      <c r="RII21" s="64"/>
      <c r="RIJ21" s="64"/>
      <c r="RIK21" s="64"/>
      <c r="RIL21" s="64"/>
      <c r="RIM21" s="64"/>
      <c r="RIN21" s="64"/>
      <c r="RIO21" s="64"/>
      <c r="RIP21" s="64"/>
      <c r="RIQ21" s="64"/>
      <c r="RIR21" s="64"/>
      <c r="RIS21" s="64"/>
      <c r="RIT21" s="64"/>
      <c r="RIU21" s="64"/>
      <c r="RIV21" s="64"/>
      <c r="RIW21" s="64"/>
      <c r="RIX21" s="64"/>
      <c r="RIY21" s="64"/>
      <c r="RIZ21" s="64"/>
      <c r="RJA21" s="64"/>
      <c r="RJB21" s="64"/>
      <c r="RJC21" s="64"/>
      <c r="RJD21" s="64"/>
      <c r="RJE21" s="64"/>
      <c r="RJF21" s="64"/>
      <c r="RJG21" s="64"/>
      <c r="RJH21" s="64"/>
      <c r="RJI21" s="64"/>
      <c r="RJJ21" s="64"/>
      <c r="RJK21" s="64"/>
      <c r="RJL21" s="64"/>
      <c r="RJM21" s="64"/>
      <c r="RJN21" s="64"/>
      <c r="RJO21" s="64"/>
      <c r="RJP21" s="64"/>
      <c r="RJQ21" s="64"/>
      <c r="RJR21" s="64"/>
      <c r="RJS21" s="64"/>
      <c r="RJT21" s="64"/>
      <c r="RJU21" s="64"/>
      <c r="RJV21" s="64"/>
      <c r="RJW21" s="64"/>
      <c r="RJX21" s="64"/>
      <c r="RJY21" s="64"/>
      <c r="RJZ21" s="64"/>
      <c r="RKA21" s="64"/>
      <c r="RKB21" s="64"/>
      <c r="RKC21" s="64"/>
      <c r="RKD21" s="64"/>
      <c r="RKE21" s="64"/>
      <c r="RKF21" s="64"/>
      <c r="RKG21" s="64"/>
      <c r="RKH21" s="64"/>
      <c r="RKI21" s="64"/>
      <c r="RKJ21" s="64"/>
      <c r="RKK21" s="64"/>
      <c r="RKL21" s="64"/>
      <c r="RKM21" s="64"/>
      <c r="RKN21" s="64"/>
      <c r="RKO21" s="64"/>
      <c r="RKP21" s="64"/>
      <c r="RKQ21" s="64"/>
      <c r="RKR21" s="64"/>
      <c r="RKS21" s="64"/>
      <c r="RKT21" s="64"/>
      <c r="RKU21" s="64"/>
      <c r="RKV21" s="64"/>
      <c r="RKW21" s="64"/>
      <c r="RKX21" s="64"/>
      <c r="RKY21" s="64"/>
      <c r="RKZ21" s="64"/>
      <c r="RLA21" s="64"/>
      <c r="RLB21" s="64"/>
      <c r="RLC21" s="64"/>
      <c r="RLD21" s="64"/>
      <c r="RLE21" s="64"/>
      <c r="RLF21" s="64"/>
      <c r="RLG21" s="64"/>
      <c r="RLH21" s="64"/>
      <c r="RLI21" s="64"/>
      <c r="RLJ21" s="64"/>
      <c r="RLK21" s="64"/>
      <c r="RLL21" s="64"/>
      <c r="RLM21" s="64"/>
      <c r="RLN21" s="64"/>
      <c r="RLO21" s="64"/>
      <c r="RLP21" s="64"/>
      <c r="RLQ21" s="64"/>
      <c r="RLR21" s="64"/>
      <c r="RLS21" s="64"/>
      <c r="RLT21" s="64"/>
      <c r="RLU21" s="64"/>
      <c r="RLV21" s="64"/>
      <c r="RLW21" s="64"/>
      <c r="RLX21" s="64"/>
      <c r="RLY21" s="64"/>
      <c r="RLZ21" s="64"/>
      <c r="RMA21" s="64"/>
      <c r="RMB21" s="64"/>
      <c r="RMC21" s="64"/>
      <c r="RMD21" s="64"/>
      <c r="RME21" s="64"/>
      <c r="RMF21" s="64"/>
      <c r="RMG21" s="64"/>
      <c r="RMH21" s="64"/>
      <c r="RMI21" s="64"/>
      <c r="RMJ21" s="64"/>
      <c r="RMK21" s="64"/>
      <c r="RML21" s="64"/>
      <c r="RMM21" s="64"/>
      <c r="RMN21" s="64"/>
      <c r="RMO21" s="64"/>
      <c r="RMP21" s="64"/>
      <c r="RMQ21" s="64"/>
      <c r="RMR21" s="64"/>
      <c r="RMS21" s="64"/>
      <c r="RMT21" s="64"/>
      <c r="RMU21" s="64"/>
      <c r="RMV21" s="64"/>
      <c r="RMW21" s="64"/>
      <c r="RMX21" s="64"/>
      <c r="RMY21" s="64"/>
      <c r="RMZ21" s="64"/>
      <c r="RNA21" s="64"/>
      <c r="RNB21" s="64"/>
      <c r="RNC21" s="64"/>
      <c r="RND21" s="64"/>
      <c r="RNE21" s="64"/>
      <c r="RNF21" s="64"/>
      <c r="RNG21" s="64"/>
      <c r="RNH21" s="64"/>
      <c r="RNI21" s="64"/>
      <c r="RNJ21" s="64"/>
      <c r="RNK21" s="64"/>
      <c r="RNL21" s="64"/>
      <c r="RNM21" s="64"/>
      <c r="RNN21" s="64"/>
      <c r="RNO21" s="64"/>
      <c r="RNP21" s="64"/>
      <c r="RNQ21" s="64"/>
      <c r="RNR21" s="64"/>
      <c r="RNS21" s="64"/>
      <c r="RNT21" s="64"/>
      <c r="RNU21" s="64"/>
      <c r="RNV21" s="64"/>
      <c r="RNW21" s="64"/>
      <c r="RNX21" s="64"/>
      <c r="RNY21" s="64"/>
      <c r="RNZ21" s="64"/>
      <c r="ROA21" s="64"/>
      <c r="ROB21" s="64"/>
      <c r="ROC21" s="64"/>
      <c r="ROD21" s="64"/>
      <c r="ROE21" s="64"/>
      <c r="ROF21" s="64"/>
      <c r="ROG21" s="64"/>
      <c r="ROH21" s="64"/>
      <c r="ROI21" s="64"/>
      <c r="ROJ21" s="64"/>
      <c r="ROK21" s="64"/>
      <c r="ROL21" s="64"/>
      <c r="ROM21" s="64"/>
      <c r="RON21" s="64"/>
      <c r="ROO21" s="64"/>
      <c r="ROP21" s="64"/>
      <c r="ROQ21" s="64"/>
      <c r="ROR21" s="64"/>
      <c r="ROS21" s="64"/>
      <c r="ROT21" s="64"/>
      <c r="ROU21" s="64"/>
      <c r="ROV21" s="64"/>
      <c r="ROW21" s="64"/>
      <c r="ROX21" s="64"/>
      <c r="ROY21" s="64"/>
      <c r="ROZ21" s="64"/>
      <c r="RPA21" s="64"/>
      <c r="RPB21" s="64"/>
      <c r="RPC21" s="64"/>
      <c r="RPD21" s="64"/>
      <c r="RPE21" s="64"/>
      <c r="RPF21" s="64"/>
      <c r="RPG21" s="64"/>
      <c r="RPH21" s="64"/>
      <c r="RPI21" s="64"/>
      <c r="RPJ21" s="64"/>
      <c r="RPK21" s="64"/>
      <c r="RPL21" s="64"/>
      <c r="RPM21" s="64"/>
      <c r="RPN21" s="64"/>
      <c r="RPO21" s="64"/>
      <c r="RPP21" s="64"/>
      <c r="RPQ21" s="64"/>
      <c r="RPR21" s="64"/>
      <c r="RPS21" s="64"/>
      <c r="RPT21" s="64"/>
      <c r="RPU21" s="64"/>
      <c r="RPV21" s="64"/>
      <c r="RPW21" s="64"/>
      <c r="RPX21" s="64"/>
      <c r="RPY21" s="64"/>
      <c r="RPZ21" s="64"/>
      <c r="RQA21" s="64"/>
      <c r="RQB21" s="64"/>
      <c r="RQC21" s="64"/>
      <c r="RQD21" s="64"/>
      <c r="RQE21" s="64"/>
      <c r="RQF21" s="64"/>
      <c r="RQG21" s="64"/>
      <c r="RQH21" s="64"/>
      <c r="RQI21" s="64"/>
      <c r="RQJ21" s="64"/>
      <c r="RQK21" s="64"/>
      <c r="RQL21" s="64"/>
      <c r="RQM21" s="64"/>
      <c r="RQN21" s="64"/>
      <c r="RQO21" s="64"/>
      <c r="RQP21" s="64"/>
      <c r="RQQ21" s="64"/>
      <c r="RQR21" s="64"/>
      <c r="RQS21" s="64"/>
      <c r="RQT21" s="64"/>
      <c r="RQU21" s="64"/>
      <c r="RQV21" s="64"/>
      <c r="RQW21" s="64"/>
      <c r="RQX21" s="64"/>
      <c r="RQY21" s="64"/>
      <c r="RQZ21" s="64"/>
      <c r="RRA21" s="64"/>
      <c r="RRB21" s="64"/>
      <c r="RRC21" s="64"/>
      <c r="RRD21" s="64"/>
      <c r="RRE21" s="64"/>
      <c r="RRF21" s="64"/>
      <c r="RRG21" s="64"/>
      <c r="RRH21" s="64"/>
      <c r="RRI21" s="64"/>
      <c r="RRJ21" s="64"/>
      <c r="RRK21" s="64"/>
      <c r="RRL21" s="64"/>
      <c r="RRM21" s="64"/>
      <c r="RRN21" s="64"/>
      <c r="RRO21" s="64"/>
      <c r="RRP21" s="64"/>
      <c r="RRQ21" s="64"/>
      <c r="RRR21" s="64"/>
      <c r="RRS21" s="64"/>
      <c r="RRT21" s="64"/>
      <c r="RRU21" s="64"/>
      <c r="RRV21" s="64"/>
      <c r="RRW21" s="64"/>
      <c r="RRX21" s="64"/>
      <c r="RRY21" s="64"/>
      <c r="RRZ21" s="64"/>
      <c r="RSA21" s="64"/>
      <c r="RSB21" s="64"/>
      <c r="RSC21" s="64"/>
      <c r="RSD21" s="64"/>
      <c r="RSE21" s="64"/>
      <c r="RSF21" s="64"/>
      <c r="RSG21" s="64"/>
      <c r="RSH21" s="64"/>
      <c r="RSI21" s="64"/>
      <c r="RSJ21" s="64"/>
      <c r="RSK21" s="64"/>
      <c r="RSL21" s="64"/>
      <c r="RSM21" s="64"/>
      <c r="RSN21" s="64"/>
      <c r="RSO21" s="64"/>
      <c r="RSP21" s="64"/>
      <c r="RSQ21" s="64"/>
      <c r="RSR21" s="64"/>
      <c r="RSS21" s="64"/>
      <c r="RST21" s="64"/>
      <c r="RSU21" s="64"/>
      <c r="RSV21" s="64"/>
      <c r="RSW21" s="64"/>
      <c r="RSX21" s="64"/>
      <c r="RSY21" s="64"/>
      <c r="RSZ21" s="64"/>
      <c r="RTA21" s="64"/>
      <c r="RTB21" s="64"/>
      <c r="RTC21" s="64"/>
      <c r="RTD21" s="64"/>
      <c r="RTE21" s="64"/>
      <c r="RTF21" s="64"/>
      <c r="RTG21" s="64"/>
      <c r="RTH21" s="64"/>
      <c r="RTI21" s="64"/>
      <c r="RTJ21" s="64"/>
      <c r="RTK21" s="64"/>
      <c r="RTL21" s="64"/>
      <c r="RTM21" s="64"/>
      <c r="RTN21" s="64"/>
      <c r="RTO21" s="64"/>
      <c r="RTP21" s="64"/>
      <c r="RTQ21" s="64"/>
      <c r="RTR21" s="64"/>
      <c r="RTS21" s="64"/>
      <c r="RTT21" s="64"/>
      <c r="RTU21" s="64"/>
      <c r="RTV21" s="64"/>
      <c r="RTW21" s="64"/>
      <c r="RTX21" s="64"/>
      <c r="RTY21" s="64"/>
      <c r="RTZ21" s="64"/>
      <c r="RUA21" s="64"/>
      <c r="RUB21" s="64"/>
      <c r="RUC21" s="64"/>
      <c r="RUD21" s="64"/>
      <c r="RUE21" s="64"/>
      <c r="RUF21" s="64"/>
      <c r="RUG21" s="64"/>
      <c r="RUH21" s="64"/>
      <c r="RUI21" s="64"/>
      <c r="RUJ21" s="64"/>
      <c r="RUK21" s="64"/>
      <c r="RUL21" s="64"/>
      <c r="RUM21" s="64"/>
      <c r="RUN21" s="64"/>
      <c r="RUO21" s="64"/>
      <c r="RUP21" s="64"/>
      <c r="RUQ21" s="64"/>
      <c r="RUR21" s="64"/>
      <c r="RUS21" s="64"/>
      <c r="RUT21" s="64"/>
      <c r="RUU21" s="64"/>
      <c r="RUV21" s="64"/>
      <c r="RUW21" s="64"/>
      <c r="RUX21" s="64"/>
      <c r="RUY21" s="64"/>
      <c r="RUZ21" s="64"/>
      <c r="RVA21" s="64"/>
      <c r="RVB21" s="64"/>
      <c r="RVC21" s="64"/>
      <c r="RVD21" s="64"/>
      <c r="RVE21" s="64"/>
      <c r="RVF21" s="64"/>
      <c r="RVG21" s="64"/>
      <c r="RVH21" s="64"/>
      <c r="RVI21" s="64"/>
      <c r="RVJ21" s="64"/>
      <c r="RVK21" s="64"/>
      <c r="RVL21" s="64"/>
      <c r="RVM21" s="64"/>
      <c r="RVN21" s="64"/>
      <c r="RVO21" s="64"/>
      <c r="RVP21" s="64"/>
      <c r="RVQ21" s="64"/>
      <c r="RVR21" s="64"/>
      <c r="RVS21" s="64"/>
      <c r="RVT21" s="64"/>
      <c r="RVU21" s="64"/>
      <c r="RVV21" s="64"/>
      <c r="RVW21" s="64"/>
      <c r="RVX21" s="64"/>
      <c r="RVY21" s="64"/>
      <c r="RVZ21" s="64"/>
      <c r="RWA21" s="64"/>
      <c r="RWB21" s="64"/>
      <c r="RWC21" s="64"/>
      <c r="RWD21" s="64"/>
      <c r="RWE21" s="64"/>
      <c r="RWF21" s="64"/>
      <c r="RWG21" s="64"/>
      <c r="RWH21" s="64"/>
      <c r="RWI21" s="64"/>
      <c r="RWJ21" s="64"/>
      <c r="RWK21" s="64"/>
      <c r="RWL21" s="64"/>
      <c r="RWM21" s="64"/>
      <c r="RWN21" s="64"/>
      <c r="RWO21" s="64"/>
      <c r="RWP21" s="64"/>
      <c r="RWQ21" s="64"/>
      <c r="RWR21" s="64"/>
      <c r="RWS21" s="64"/>
      <c r="RWT21" s="64"/>
      <c r="RWU21" s="64"/>
      <c r="RWV21" s="64"/>
      <c r="RWW21" s="64"/>
      <c r="RWX21" s="64"/>
      <c r="RWY21" s="64"/>
      <c r="RWZ21" s="64"/>
      <c r="RXA21" s="64"/>
      <c r="RXB21" s="64"/>
      <c r="RXC21" s="64"/>
      <c r="RXD21" s="64"/>
      <c r="RXE21" s="64"/>
      <c r="RXF21" s="64"/>
      <c r="RXG21" s="64"/>
      <c r="RXH21" s="64"/>
      <c r="RXI21" s="64"/>
      <c r="RXJ21" s="64"/>
      <c r="RXK21" s="64"/>
      <c r="RXL21" s="64"/>
      <c r="RXM21" s="64"/>
      <c r="RXN21" s="64"/>
      <c r="RXO21" s="64"/>
      <c r="RXP21" s="64"/>
      <c r="RXQ21" s="64"/>
      <c r="RXR21" s="64"/>
      <c r="RXS21" s="64"/>
      <c r="RXT21" s="64"/>
      <c r="RXU21" s="64"/>
      <c r="RXV21" s="64"/>
      <c r="RXW21" s="64"/>
      <c r="RXX21" s="64"/>
      <c r="RXY21" s="64"/>
      <c r="RXZ21" s="64"/>
      <c r="RYA21" s="64"/>
      <c r="RYB21" s="64"/>
      <c r="RYC21" s="64"/>
      <c r="RYD21" s="64"/>
      <c r="RYE21" s="64"/>
      <c r="RYF21" s="64"/>
      <c r="RYG21" s="64"/>
      <c r="RYH21" s="64"/>
      <c r="RYI21" s="64"/>
      <c r="RYJ21" s="64"/>
      <c r="RYK21" s="64"/>
      <c r="RYL21" s="64"/>
      <c r="RYM21" s="64"/>
      <c r="RYN21" s="64"/>
      <c r="RYO21" s="64"/>
      <c r="RYP21" s="64"/>
      <c r="RYQ21" s="64"/>
      <c r="RYR21" s="64"/>
      <c r="RYS21" s="64"/>
      <c r="RYT21" s="64"/>
      <c r="RYU21" s="64"/>
      <c r="RYV21" s="64"/>
      <c r="RYW21" s="64"/>
      <c r="RYX21" s="64"/>
      <c r="RYY21" s="64"/>
      <c r="RYZ21" s="64"/>
      <c r="RZA21" s="64"/>
      <c r="RZB21" s="64"/>
      <c r="RZC21" s="64"/>
      <c r="RZD21" s="64"/>
      <c r="RZE21" s="64"/>
      <c r="RZF21" s="64"/>
      <c r="RZG21" s="64"/>
      <c r="RZH21" s="64"/>
      <c r="RZI21" s="64"/>
      <c r="RZJ21" s="64"/>
      <c r="RZK21" s="64"/>
      <c r="RZL21" s="64"/>
      <c r="RZM21" s="64"/>
      <c r="RZN21" s="64"/>
      <c r="RZO21" s="64"/>
      <c r="RZP21" s="64"/>
      <c r="RZQ21" s="64"/>
      <c r="RZR21" s="64"/>
      <c r="RZS21" s="64"/>
      <c r="RZT21" s="64"/>
      <c r="RZU21" s="64"/>
      <c r="RZV21" s="64"/>
      <c r="RZW21" s="64"/>
      <c r="RZX21" s="64"/>
      <c r="RZY21" s="64"/>
      <c r="RZZ21" s="64"/>
      <c r="SAA21" s="64"/>
      <c r="SAB21" s="64"/>
      <c r="SAC21" s="64"/>
      <c r="SAD21" s="64"/>
      <c r="SAE21" s="64"/>
      <c r="SAF21" s="64"/>
      <c r="SAG21" s="64"/>
      <c r="SAH21" s="64"/>
      <c r="SAI21" s="64"/>
      <c r="SAJ21" s="64"/>
      <c r="SAK21" s="64"/>
      <c r="SAL21" s="64"/>
      <c r="SAM21" s="64"/>
      <c r="SAN21" s="64"/>
      <c r="SAO21" s="64"/>
      <c r="SAP21" s="64"/>
      <c r="SAQ21" s="64"/>
      <c r="SAR21" s="64"/>
      <c r="SAS21" s="64"/>
      <c r="SAT21" s="64"/>
      <c r="SAU21" s="64"/>
      <c r="SAV21" s="64"/>
      <c r="SAW21" s="64"/>
      <c r="SAX21" s="64"/>
      <c r="SAY21" s="64"/>
      <c r="SAZ21" s="64"/>
      <c r="SBA21" s="64"/>
      <c r="SBB21" s="64"/>
      <c r="SBC21" s="64"/>
      <c r="SBD21" s="64"/>
      <c r="SBE21" s="64"/>
      <c r="SBF21" s="64"/>
      <c r="SBG21" s="64"/>
      <c r="SBH21" s="64"/>
      <c r="SBI21" s="64"/>
      <c r="SBJ21" s="64"/>
      <c r="SBK21" s="64"/>
      <c r="SBL21" s="64"/>
      <c r="SBM21" s="64"/>
      <c r="SBN21" s="64"/>
      <c r="SBO21" s="64"/>
      <c r="SBP21" s="64"/>
      <c r="SBQ21" s="64"/>
      <c r="SBR21" s="64"/>
      <c r="SBS21" s="64"/>
      <c r="SBT21" s="64"/>
      <c r="SBU21" s="64"/>
      <c r="SBV21" s="64"/>
      <c r="SBW21" s="64"/>
      <c r="SBX21" s="64"/>
      <c r="SBY21" s="64"/>
      <c r="SBZ21" s="64"/>
      <c r="SCA21" s="64"/>
      <c r="SCB21" s="64"/>
      <c r="SCC21" s="64"/>
      <c r="SCD21" s="64"/>
      <c r="SCE21" s="64"/>
      <c r="SCF21" s="64"/>
      <c r="SCG21" s="64"/>
      <c r="SCH21" s="64"/>
      <c r="SCI21" s="64"/>
      <c r="SCJ21" s="64"/>
      <c r="SCK21" s="64"/>
      <c r="SCL21" s="64"/>
      <c r="SCM21" s="64"/>
      <c r="SCN21" s="64"/>
      <c r="SCO21" s="64"/>
      <c r="SCP21" s="64"/>
      <c r="SCQ21" s="64"/>
      <c r="SCR21" s="64"/>
      <c r="SCS21" s="64"/>
      <c r="SCT21" s="64"/>
      <c r="SCU21" s="64"/>
      <c r="SCV21" s="64"/>
      <c r="SCW21" s="64"/>
      <c r="SCX21" s="64"/>
      <c r="SCY21" s="64"/>
      <c r="SCZ21" s="64"/>
      <c r="SDA21" s="64"/>
      <c r="SDB21" s="64"/>
      <c r="SDC21" s="64"/>
      <c r="SDD21" s="64"/>
      <c r="SDE21" s="64"/>
      <c r="SDF21" s="64"/>
      <c r="SDG21" s="64"/>
      <c r="SDH21" s="64"/>
      <c r="SDI21" s="64"/>
      <c r="SDJ21" s="64"/>
      <c r="SDK21" s="64"/>
      <c r="SDL21" s="64"/>
      <c r="SDM21" s="64"/>
      <c r="SDN21" s="64"/>
      <c r="SDO21" s="64"/>
      <c r="SDP21" s="64"/>
      <c r="SDQ21" s="64"/>
      <c r="SDR21" s="64"/>
      <c r="SDS21" s="64"/>
      <c r="SDT21" s="64"/>
      <c r="SDU21" s="64"/>
      <c r="SDV21" s="64"/>
      <c r="SDW21" s="64"/>
      <c r="SDX21" s="64"/>
      <c r="SDY21" s="64"/>
      <c r="SDZ21" s="64"/>
      <c r="SEA21" s="64"/>
      <c r="SEB21" s="64"/>
      <c r="SEC21" s="64"/>
      <c r="SED21" s="64"/>
      <c r="SEE21" s="64"/>
      <c r="SEF21" s="64"/>
      <c r="SEG21" s="64"/>
      <c r="SEH21" s="64"/>
      <c r="SEI21" s="64"/>
      <c r="SEJ21" s="64"/>
      <c r="SEK21" s="64"/>
      <c r="SEL21" s="64"/>
      <c r="SEM21" s="64"/>
      <c r="SEN21" s="64"/>
      <c r="SEO21" s="64"/>
      <c r="SEP21" s="64"/>
      <c r="SEQ21" s="64"/>
      <c r="SER21" s="64"/>
      <c r="SES21" s="64"/>
      <c r="SET21" s="64"/>
      <c r="SEU21" s="64"/>
      <c r="SEV21" s="64"/>
      <c r="SEW21" s="64"/>
      <c r="SEX21" s="64"/>
      <c r="SEY21" s="64"/>
      <c r="SEZ21" s="64"/>
      <c r="SFA21" s="64"/>
      <c r="SFB21" s="64"/>
      <c r="SFC21" s="64"/>
      <c r="SFD21" s="64"/>
      <c r="SFE21" s="64"/>
      <c r="SFF21" s="64"/>
      <c r="SFG21" s="64"/>
      <c r="SFH21" s="64"/>
      <c r="SFI21" s="64"/>
      <c r="SFJ21" s="64"/>
      <c r="SFK21" s="64"/>
      <c r="SFL21" s="64"/>
      <c r="SFM21" s="64"/>
      <c r="SFN21" s="64"/>
      <c r="SFO21" s="64"/>
      <c r="SFP21" s="64"/>
      <c r="SFQ21" s="64"/>
      <c r="SFR21" s="64"/>
      <c r="SFS21" s="64"/>
      <c r="SFT21" s="64"/>
      <c r="SFU21" s="64"/>
      <c r="SFV21" s="64"/>
      <c r="SFW21" s="64"/>
      <c r="SFX21" s="64"/>
      <c r="SFY21" s="64"/>
      <c r="SFZ21" s="64"/>
      <c r="SGA21" s="64"/>
      <c r="SGB21" s="64"/>
      <c r="SGC21" s="64"/>
      <c r="SGD21" s="64"/>
      <c r="SGE21" s="64"/>
      <c r="SGF21" s="64"/>
      <c r="SGG21" s="64"/>
      <c r="SGH21" s="64"/>
      <c r="SGI21" s="64"/>
      <c r="SGJ21" s="64"/>
      <c r="SGK21" s="64"/>
      <c r="SGL21" s="64"/>
      <c r="SGM21" s="64"/>
      <c r="SGN21" s="64"/>
      <c r="SGO21" s="64"/>
      <c r="SGP21" s="64"/>
      <c r="SGQ21" s="64"/>
      <c r="SGR21" s="64"/>
      <c r="SGS21" s="64"/>
      <c r="SGT21" s="64"/>
      <c r="SGU21" s="64"/>
      <c r="SGV21" s="64"/>
      <c r="SGW21" s="64"/>
      <c r="SGX21" s="64"/>
      <c r="SGY21" s="64"/>
      <c r="SGZ21" s="64"/>
      <c r="SHA21" s="64"/>
      <c r="SHB21" s="64"/>
      <c r="SHC21" s="64"/>
      <c r="SHD21" s="64"/>
      <c r="SHE21" s="64"/>
      <c r="SHF21" s="64"/>
      <c r="SHG21" s="64"/>
      <c r="SHH21" s="64"/>
      <c r="SHI21" s="64"/>
      <c r="SHJ21" s="64"/>
      <c r="SHK21" s="64"/>
      <c r="SHL21" s="64"/>
      <c r="SHM21" s="64"/>
      <c r="SHN21" s="64"/>
      <c r="SHO21" s="64"/>
      <c r="SHP21" s="64"/>
      <c r="SHQ21" s="64"/>
      <c r="SHR21" s="64"/>
      <c r="SHS21" s="64"/>
      <c r="SHT21" s="64"/>
      <c r="SHU21" s="64"/>
      <c r="SHV21" s="64"/>
      <c r="SHW21" s="64"/>
      <c r="SHX21" s="64"/>
      <c r="SHY21" s="64"/>
      <c r="SHZ21" s="64"/>
      <c r="SIA21" s="64"/>
      <c r="SIB21" s="64"/>
      <c r="SIC21" s="64"/>
      <c r="SID21" s="64"/>
      <c r="SIE21" s="64"/>
      <c r="SIF21" s="64"/>
      <c r="SIG21" s="64"/>
      <c r="SIH21" s="64"/>
      <c r="SII21" s="64"/>
      <c r="SIJ21" s="64"/>
      <c r="SIK21" s="64"/>
      <c r="SIL21" s="64"/>
      <c r="SIM21" s="64"/>
      <c r="SIN21" s="64"/>
      <c r="SIO21" s="64"/>
      <c r="SIP21" s="64"/>
      <c r="SIQ21" s="64"/>
      <c r="SIR21" s="64"/>
      <c r="SIS21" s="64"/>
      <c r="SIT21" s="64"/>
      <c r="SIU21" s="64"/>
      <c r="SIV21" s="64"/>
      <c r="SIW21" s="64"/>
      <c r="SIX21" s="64"/>
      <c r="SIY21" s="64"/>
      <c r="SIZ21" s="64"/>
      <c r="SJA21" s="64"/>
      <c r="SJB21" s="64"/>
      <c r="SJC21" s="64"/>
      <c r="SJD21" s="64"/>
      <c r="SJE21" s="64"/>
      <c r="SJF21" s="64"/>
      <c r="SJG21" s="64"/>
      <c r="SJH21" s="64"/>
      <c r="SJI21" s="64"/>
      <c r="SJJ21" s="64"/>
      <c r="SJK21" s="64"/>
      <c r="SJL21" s="64"/>
      <c r="SJM21" s="64"/>
      <c r="SJN21" s="64"/>
      <c r="SJO21" s="64"/>
      <c r="SJP21" s="64"/>
      <c r="SJQ21" s="64"/>
      <c r="SJR21" s="64"/>
      <c r="SJS21" s="64"/>
      <c r="SJT21" s="64"/>
      <c r="SJU21" s="64"/>
      <c r="SJV21" s="64"/>
      <c r="SJW21" s="64"/>
      <c r="SJX21" s="64"/>
      <c r="SJY21" s="64"/>
      <c r="SJZ21" s="64"/>
      <c r="SKA21" s="64"/>
      <c r="SKB21" s="64"/>
      <c r="SKC21" s="64"/>
      <c r="SKD21" s="64"/>
      <c r="SKE21" s="64"/>
      <c r="SKF21" s="64"/>
      <c r="SKG21" s="64"/>
      <c r="SKH21" s="64"/>
      <c r="SKI21" s="64"/>
      <c r="SKJ21" s="64"/>
      <c r="SKK21" s="64"/>
      <c r="SKL21" s="64"/>
      <c r="SKM21" s="64"/>
      <c r="SKN21" s="64"/>
      <c r="SKO21" s="64"/>
      <c r="SKP21" s="64"/>
      <c r="SKQ21" s="64"/>
      <c r="SKR21" s="64"/>
      <c r="SKS21" s="64"/>
      <c r="SKT21" s="64"/>
      <c r="SKU21" s="64"/>
      <c r="SKV21" s="64"/>
      <c r="SKW21" s="64"/>
      <c r="SKX21" s="64"/>
      <c r="SKY21" s="64"/>
      <c r="SKZ21" s="64"/>
      <c r="SLA21" s="64"/>
      <c r="SLB21" s="64"/>
      <c r="SLC21" s="64"/>
      <c r="SLD21" s="64"/>
      <c r="SLE21" s="64"/>
      <c r="SLF21" s="64"/>
      <c r="SLG21" s="64"/>
      <c r="SLH21" s="64"/>
      <c r="SLI21" s="64"/>
      <c r="SLJ21" s="64"/>
      <c r="SLK21" s="64"/>
      <c r="SLL21" s="64"/>
      <c r="SLM21" s="64"/>
      <c r="SLN21" s="64"/>
      <c r="SLO21" s="64"/>
      <c r="SLP21" s="64"/>
      <c r="SLQ21" s="64"/>
      <c r="SLR21" s="64"/>
      <c r="SLS21" s="64"/>
      <c r="SLT21" s="64"/>
      <c r="SLU21" s="64"/>
      <c r="SLV21" s="64"/>
      <c r="SLW21" s="64"/>
      <c r="SLX21" s="64"/>
      <c r="SLY21" s="64"/>
      <c r="SLZ21" s="64"/>
      <c r="SMA21" s="64"/>
      <c r="SMB21" s="64"/>
      <c r="SMC21" s="64"/>
      <c r="SMD21" s="64"/>
      <c r="SME21" s="64"/>
      <c r="SMF21" s="64"/>
      <c r="SMG21" s="64"/>
      <c r="SMH21" s="64"/>
      <c r="SMI21" s="64"/>
      <c r="SMJ21" s="64"/>
      <c r="SMK21" s="64"/>
      <c r="SML21" s="64"/>
      <c r="SMM21" s="64"/>
      <c r="SMN21" s="64"/>
      <c r="SMO21" s="64"/>
      <c r="SMP21" s="64"/>
      <c r="SMQ21" s="64"/>
      <c r="SMR21" s="64"/>
      <c r="SMS21" s="64"/>
      <c r="SMT21" s="64"/>
      <c r="SMU21" s="64"/>
      <c r="SMV21" s="64"/>
      <c r="SMW21" s="64"/>
      <c r="SMX21" s="64"/>
      <c r="SMY21" s="64"/>
      <c r="SMZ21" s="64"/>
      <c r="SNA21" s="64"/>
      <c r="SNB21" s="64"/>
      <c r="SNC21" s="64"/>
      <c r="SND21" s="64"/>
      <c r="SNE21" s="64"/>
      <c r="SNF21" s="64"/>
      <c r="SNG21" s="64"/>
      <c r="SNH21" s="64"/>
      <c r="SNI21" s="64"/>
      <c r="SNJ21" s="64"/>
      <c r="SNK21" s="64"/>
      <c r="SNL21" s="64"/>
      <c r="SNM21" s="64"/>
      <c r="SNN21" s="64"/>
      <c r="SNO21" s="64"/>
      <c r="SNP21" s="64"/>
      <c r="SNQ21" s="64"/>
      <c r="SNR21" s="64"/>
      <c r="SNS21" s="64"/>
      <c r="SNT21" s="64"/>
      <c r="SNU21" s="64"/>
      <c r="SNV21" s="64"/>
      <c r="SNW21" s="64"/>
      <c r="SNX21" s="64"/>
      <c r="SNY21" s="64"/>
      <c r="SNZ21" s="64"/>
      <c r="SOA21" s="64"/>
      <c r="SOB21" s="64"/>
      <c r="SOC21" s="64"/>
      <c r="SOD21" s="64"/>
      <c r="SOE21" s="64"/>
      <c r="SOF21" s="64"/>
      <c r="SOG21" s="64"/>
      <c r="SOH21" s="64"/>
      <c r="SOI21" s="64"/>
      <c r="SOJ21" s="64"/>
      <c r="SOK21" s="64"/>
      <c r="SOL21" s="64"/>
      <c r="SOM21" s="64"/>
      <c r="SON21" s="64"/>
      <c r="SOO21" s="64"/>
      <c r="SOP21" s="64"/>
      <c r="SOQ21" s="64"/>
      <c r="SOR21" s="64"/>
      <c r="SOS21" s="64"/>
      <c r="SOT21" s="64"/>
      <c r="SOU21" s="64"/>
      <c r="SOV21" s="64"/>
      <c r="SOW21" s="64"/>
      <c r="SOX21" s="64"/>
      <c r="SOY21" s="64"/>
      <c r="SOZ21" s="64"/>
      <c r="SPA21" s="64"/>
      <c r="SPB21" s="64"/>
      <c r="SPC21" s="64"/>
      <c r="SPD21" s="64"/>
      <c r="SPE21" s="64"/>
      <c r="SPF21" s="64"/>
      <c r="SPG21" s="64"/>
      <c r="SPH21" s="64"/>
      <c r="SPI21" s="64"/>
      <c r="SPJ21" s="64"/>
      <c r="SPK21" s="64"/>
      <c r="SPL21" s="64"/>
      <c r="SPM21" s="64"/>
      <c r="SPN21" s="64"/>
      <c r="SPO21" s="64"/>
      <c r="SPP21" s="64"/>
      <c r="SPQ21" s="64"/>
      <c r="SPR21" s="64"/>
      <c r="SPS21" s="64"/>
      <c r="SPT21" s="64"/>
      <c r="SPU21" s="64"/>
      <c r="SPV21" s="64"/>
      <c r="SPW21" s="64"/>
      <c r="SPX21" s="64"/>
      <c r="SPY21" s="64"/>
      <c r="SPZ21" s="64"/>
      <c r="SQA21" s="64"/>
      <c r="SQB21" s="64"/>
      <c r="SQC21" s="64"/>
      <c r="SQD21" s="64"/>
      <c r="SQE21" s="64"/>
      <c r="SQF21" s="64"/>
      <c r="SQG21" s="64"/>
      <c r="SQH21" s="64"/>
      <c r="SQI21" s="64"/>
      <c r="SQJ21" s="64"/>
      <c r="SQK21" s="64"/>
      <c r="SQL21" s="64"/>
      <c r="SQM21" s="64"/>
      <c r="SQN21" s="64"/>
      <c r="SQO21" s="64"/>
      <c r="SQP21" s="64"/>
      <c r="SQQ21" s="64"/>
      <c r="SQR21" s="64"/>
      <c r="SQS21" s="64"/>
      <c r="SQT21" s="64"/>
      <c r="SQU21" s="64"/>
      <c r="SQV21" s="64"/>
      <c r="SQW21" s="64"/>
      <c r="SQX21" s="64"/>
      <c r="SQY21" s="64"/>
      <c r="SQZ21" s="64"/>
      <c r="SRA21" s="64"/>
      <c r="SRB21" s="64"/>
      <c r="SRC21" s="64"/>
      <c r="SRD21" s="64"/>
      <c r="SRE21" s="64"/>
      <c r="SRF21" s="64"/>
      <c r="SRG21" s="64"/>
      <c r="SRH21" s="64"/>
      <c r="SRI21" s="64"/>
      <c r="SRJ21" s="64"/>
      <c r="SRK21" s="64"/>
      <c r="SRL21" s="64"/>
      <c r="SRM21" s="64"/>
      <c r="SRN21" s="64"/>
      <c r="SRO21" s="64"/>
      <c r="SRP21" s="64"/>
      <c r="SRQ21" s="64"/>
      <c r="SRR21" s="64"/>
      <c r="SRS21" s="64"/>
      <c r="SRT21" s="64"/>
      <c r="SRU21" s="64"/>
      <c r="SRV21" s="64"/>
      <c r="SRW21" s="64"/>
      <c r="SRX21" s="64"/>
      <c r="SRY21" s="64"/>
      <c r="SRZ21" s="64"/>
      <c r="SSA21" s="64"/>
      <c r="SSB21" s="64"/>
      <c r="SSC21" s="64"/>
      <c r="SSD21" s="64"/>
      <c r="SSE21" s="64"/>
      <c r="SSF21" s="64"/>
      <c r="SSG21" s="64"/>
      <c r="SSH21" s="64"/>
      <c r="SSI21" s="64"/>
      <c r="SSJ21" s="64"/>
      <c r="SSK21" s="64"/>
      <c r="SSL21" s="64"/>
      <c r="SSM21" s="64"/>
      <c r="SSN21" s="64"/>
      <c r="SSO21" s="64"/>
      <c r="SSP21" s="64"/>
      <c r="SSQ21" s="64"/>
      <c r="SSR21" s="64"/>
      <c r="SSS21" s="64"/>
      <c r="SST21" s="64"/>
      <c r="SSU21" s="64"/>
      <c r="SSV21" s="64"/>
      <c r="SSW21" s="64"/>
      <c r="SSX21" s="64"/>
      <c r="SSY21" s="64"/>
      <c r="SSZ21" s="64"/>
      <c r="STA21" s="64"/>
      <c r="STB21" s="64"/>
      <c r="STC21" s="64"/>
      <c r="STD21" s="64"/>
      <c r="STE21" s="64"/>
      <c r="STF21" s="64"/>
      <c r="STG21" s="64"/>
      <c r="STH21" s="64"/>
      <c r="STI21" s="64"/>
      <c r="STJ21" s="64"/>
      <c r="STK21" s="64"/>
      <c r="STL21" s="64"/>
      <c r="STM21" s="64"/>
      <c r="STN21" s="64"/>
      <c r="STO21" s="64"/>
      <c r="STP21" s="64"/>
      <c r="STQ21" s="64"/>
      <c r="STR21" s="64"/>
      <c r="STS21" s="64"/>
      <c r="STT21" s="64"/>
      <c r="STU21" s="64"/>
      <c r="STV21" s="64"/>
      <c r="STW21" s="64"/>
      <c r="STX21" s="64"/>
      <c r="STY21" s="64"/>
      <c r="STZ21" s="64"/>
      <c r="SUA21" s="64"/>
      <c r="SUB21" s="64"/>
      <c r="SUC21" s="64"/>
      <c r="SUD21" s="64"/>
      <c r="SUE21" s="64"/>
      <c r="SUF21" s="64"/>
      <c r="SUG21" s="64"/>
      <c r="SUH21" s="64"/>
      <c r="SUI21" s="64"/>
      <c r="SUJ21" s="64"/>
      <c r="SUK21" s="64"/>
      <c r="SUL21" s="64"/>
      <c r="SUM21" s="64"/>
      <c r="SUN21" s="64"/>
      <c r="SUO21" s="64"/>
      <c r="SUP21" s="64"/>
      <c r="SUQ21" s="64"/>
      <c r="SUR21" s="64"/>
      <c r="SUS21" s="64"/>
      <c r="SUT21" s="64"/>
      <c r="SUU21" s="64"/>
      <c r="SUV21" s="64"/>
      <c r="SUW21" s="64"/>
      <c r="SUX21" s="64"/>
      <c r="SUY21" s="64"/>
      <c r="SUZ21" s="64"/>
      <c r="SVA21" s="64"/>
      <c r="SVB21" s="64"/>
      <c r="SVC21" s="64"/>
      <c r="SVD21" s="64"/>
      <c r="SVE21" s="64"/>
      <c r="SVF21" s="64"/>
      <c r="SVG21" s="64"/>
      <c r="SVH21" s="64"/>
      <c r="SVI21" s="64"/>
      <c r="SVJ21" s="64"/>
      <c r="SVK21" s="64"/>
      <c r="SVL21" s="64"/>
      <c r="SVM21" s="64"/>
      <c r="SVN21" s="64"/>
      <c r="SVO21" s="64"/>
      <c r="SVP21" s="64"/>
      <c r="SVQ21" s="64"/>
      <c r="SVR21" s="64"/>
      <c r="SVS21" s="64"/>
      <c r="SVT21" s="64"/>
      <c r="SVU21" s="64"/>
      <c r="SVV21" s="64"/>
      <c r="SVW21" s="64"/>
      <c r="SVX21" s="64"/>
      <c r="SVY21" s="64"/>
      <c r="SVZ21" s="64"/>
      <c r="SWA21" s="64"/>
      <c r="SWB21" s="64"/>
      <c r="SWC21" s="64"/>
      <c r="SWD21" s="64"/>
      <c r="SWE21" s="64"/>
      <c r="SWF21" s="64"/>
      <c r="SWG21" s="64"/>
      <c r="SWH21" s="64"/>
      <c r="SWI21" s="64"/>
      <c r="SWJ21" s="64"/>
      <c r="SWK21" s="64"/>
      <c r="SWL21" s="64"/>
      <c r="SWM21" s="64"/>
      <c r="SWN21" s="64"/>
      <c r="SWO21" s="64"/>
      <c r="SWP21" s="64"/>
      <c r="SWQ21" s="64"/>
      <c r="SWR21" s="64"/>
      <c r="SWS21" s="64"/>
      <c r="SWT21" s="64"/>
      <c r="SWU21" s="64"/>
      <c r="SWV21" s="64"/>
      <c r="SWW21" s="64"/>
      <c r="SWX21" s="64"/>
      <c r="SWY21" s="64"/>
      <c r="SWZ21" s="64"/>
      <c r="SXA21" s="64"/>
      <c r="SXB21" s="64"/>
      <c r="SXC21" s="64"/>
      <c r="SXD21" s="64"/>
      <c r="SXE21" s="64"/>
      <c r="SXF21" s="64"/>
      <c r="SXG21" s="64"/>
      <c r="SXH21" s="64"/>
      <c r="SXI21" s="64"/>
      <c r="SXJ21" s="64"/>
      <c r="SXK21" s="64"/>
      <c r="SXL21" s="64"/>
      <c r="SXM21" s="64"/>
      <c r="SXN21" s="64"/>
      <c r="SXO21" s="64"/>
      <c r="SXP21" s="64"/>
      <c r="SXQ21" s="64"/>
      <c r="SXR21" s="64"/>
      <c r="SXS21" s="64"/>
      <c r="SXT21" s="64"/>
      <c r="SXU21" s="64"/>
      <c r="SXV21" s="64"/>
      <c r="SXW21" s="64"/>
      <c r="SXX21" s="64"/>
      <c r="SXY21" s="64"/>
      <c r="SXZ21" s="64"/>
      <c r="SYA21" s="64"/>
      <c r="SYB21" s="64"/>
      <c r="SYC21" s="64"/>
      <c r="SYD21" s="64"/>
      <c r="SYE21" s="64"/>
      <c r="SYF21" s="64"/>
      <c r="SYG21" s="64"/>
      <c r="SYH21" s="64"/>
      <c r="SYI21" s="64"/>
      <c r="SYJ21" s="64"/>
      <c r="SYK21" s="64"/>
      <c r="SYL21" s="64"/>
      <c r="SYM21" s="64"/>
      <c r="SYN21" s="64"/>
      <c r="SYO21" s="64"/>
      <c r="SYP21" s="64"/>
      <c r="SYQ21" s="64"/>
      <c r="SYR21" s="64"/>
      <c r="SYS21" s="64"/>
      <c r="SYT21" s="64"/>
      <c r="SYU21" s="64"/>
      <c r="SYV21" s="64"/>
      <c r="SYW21" s="64"/>
      <c r="SYX21" s="64"/>
      <c r="SYY21" s="64"/>
      <c r="SYZ21" s="64"/>
      <c r="SZA21" s="64"/>
      <c r="SZB21" s="64"/>
      <c r="SZC21" s="64"/>
      <c r="SZD21" s="64"/>
      <c r="SZE21" s="64"/>
      <c r="SZF21" s="64"/>
      <c r="SZG21" s="64"/>
      <c r="SZH21" s="64"/>
      <c r="SZI21" s="64"/>
      <c r="SZJ21" s="64"/>
      <c r="SZK21" s="64"/>
      <c r="SZL21" s="64"/>
      <c r="SZM21" s="64"/>
      <c r="SZN21" s="64"/>
      <c r="SZO21" s="64"/>
      <c r="SZP21" s="64"/>
      <c r="SZQ21" s="64"/>
      <c r="SZR21" s="64"/>
      <c r="SZS21" s="64"/>
      <c r="SZT21" s="64"/>
      <c r="SZU21" s="64"/>
      <c r="SZV21" s="64"/>
      <c r="SZW21" s="64"/>
      <c r="SZX21" s="64"/>
      <c r="SZY21" s="64"/>
      <c r="SZZ21" s="64"/>
      <c r="TAA21" s="64"/>
      <c r="TAB21" s="64"/>
      <c r="TAC21" s="64"/>
      <c r="TAD21" s="64"/>
      <c r="TAE21" s="64"/>
      <c r="TAF21" s="64"/>
      <c r="TAG21" s="64"/>
      <c r="TAH21" s="64"/>
      <c r="TAI21" s="64"/>
      <c r="TAJ21" s="64"/>
      <c r="TAK21" s="64"/>
      <c r="TAL21" s="64"/>
      <c r="TAM21" s="64"/>
      <c r="TAN21" s="64"/>
      <c r="TAO21" s="64"/>
      <c r="TAP21" s="64"/>
      <c r="TAQ21" s="64"/>
      <c r="TAR21" s="64"/>
      <c r="TAS21" s="64"/>
      <c r="TAT21" s="64"/>
      <c r="TAU21" s="64"/>
      <c r="TAV21" s="64"/>
      <c r="TAW21" s="64"/>
      <c r="TAX21" s="64"/>
      <c r="TAY21" s="64"/>
      <c r="TAZ21" s="64"/>
      <c r="TBA21" s="64"/>
      <c r="TBB21" s="64"/>
      <c r="TBC21" s="64"/>
      <c r="TBD21" s="64"/>
      <c r="TBE21" s="64"/>
      <c r="TBF21" s="64"/>
      <c r="TBG21" s="64"/>
      <c r="TBH21" s="64"/>
      <c r="TBI21" s="64"/>
      <c r="TBJ21" s="64"/>
      <c r="TBK21" s="64"/>
      <c r="TBL21" s="64"/>
      <c r="TBM21" s="64"/>
      <c r="TBN21" s="64"/>
      <c r="TBO21" s="64"/>
      <c r="TBP21" s="64"/>
      <c r="TBQ21" s="64"/>
      <c r="TBR21" s="64"/>
      <c r="TBS21" s="64"/>
      <c r="TBT21" s="64"/>
      <c r="TBU21" s="64"/>
      <c r="TBV21" s="64"/>
      <c r="TBW21" s="64"/>
      <c r="TBX21" s="64"/>
      <c r="TBY21" s="64"/>
      <c r="TBZ21" s="64"/>
      <c r="TCA21" s="64"/>
      <c r="TCB21" s="64"/>
      <c r="TCC21" s="64"/>
      <c r="TCD21" s="64"/>
      <c r="TCE21" s="64"/>
      <c r="TCF21" s="64"/>
      <c r="TCG21" s="64"/>
      <c r="TCH21" s="64"/>
      <c r="TCI21" s="64"/>
      <c r="TCJ21" s="64"/>
      <c r="TCK21" s="64"/>
      <c r="TCL21" s="64"/>
      <c r="TCM21" s="64"/>
      <c r="TCN21" s="64"/>
      <c r="TCO21" s="64"/>
      <c r="TCP21" s="64"/>
      <c r="TCQ21" s="64"/>
      <c r="TCR21" s="64"/>
      <c r="TCS21" s="64"/>
      <c r="TCT21" s="64"/>
      <c r="TCU21" s="64"/>
      <c r="TCV21" s="64"/>
      <c r="TCW21" s="64"/>
      <c r="TCX21" s="64"/>
      <c r="TCY21" s="64"/>
      <c r="TCZ21" s="64"/>
      <c r="TDA21" s="64"/>
      <c r="TDB21" s="64"/>
      <c r="TDC21" s="64"/>
      <c r="TDD21" s="64"/>
      <c r="TDE21" s="64"/>
      <c r="TDF21" s="64"/>
      <c r="TDG21" s="64"/>
      <c r="TDH21" s="64"/>
      <c r="TDI21" s="64"/>
      <c r="TDJ21" s="64"/>
      <c r="TDK21" s="64"/>
      <c r="TDL21" s="64"/>
      <c r="TDM21" s="64"/>
      <c r="TDN21" s="64"/>
      <c r="TDO21" s="64"/>
      <c r="TDP21" s="64"/>
      <c r="TDQ21" s="64"/>
      <c r="TDR21" s="64"/>
      <c r="TDS21" s="64"/>
      <c r="TDT21" s="64"/>
      <c r="TDU21" s="64"/>
      <c r="TDV21" s="64"/>
      <c r="TDW21" s="64"/>
      <c r="TDX21" s="64"/>
      <c r="TDY21" s="64"/>
      <c r="TDZ21" s="64"/>
      <c r="TEA21" s="64"/>
      <c r="TEB21" s="64"/>
      <c r="TEC21" s="64"/>
      <c r="TED21" s="64"/>
      <c r="TEE21" s="64"/>
      <c r="TEF21" s="64"/>
      <c r="TEG21" s="64"/>
      <c r="TEH21" s="64"/>
      <c r="TEI21" s="64"/>
      <c r="TEJ21" s="64"/>
      <c r="TEK21" s="64"/>
      <c r="TEL21" s="64"/>
      <c r="TEM21" s="64"/>
      <c r="TEN21" s="64"/>
      <c r="TEO21" s="64"/>
      <c r="TEP21" s="64"/>
      <c r="TEQ21" s="64"/>
      <c r="TER21" s="64"/>
      <c r="TES21" s="64"/>
      <c r="TET21" s="64"/>
      <c r="TEU21" s="64"/>
      <c r="TEV21" s="64"/>
      <c r="TEW21" s="64"/>
      <c r="TEX21" s="64"/>
      <c r="TEY21" s="64"/>
      <c r="TEZ21" s="64"/>
      <c r="TFA21" s="64"/>
      <c r="TFB21" s="64"/>
      <c r="TFC21" s="64"/>
      <c r="TFD21" s="64"/>
      <c r="TFE21" s="64"/>
      <c r="TFF21" s="64"/>
      <c r="TFG21" s="64"/>
      <c r="TFH21" s="64"/>
      <c r="TFI21" s="64"/>
      <c r="TFJ21" s="64"/>
      <c r="TFK21" s="64"/>
      <c r="TFL21" s="64"/>
      <c r="TFM21" s="64"/>
      <c r="TFN21" s="64"/>
      <c r="TFO21" s="64"/>
      <c r="TFP21" s="64"/>
      <c r="TFQ21" s="64"/>
      <c r="TFR21" s="64"/>
      <c r="TFS21" s="64"/>
      <c r="TFT21" s="64"/>
      <c r="TFU21" s="64"/>
      <c r="TFV21" s="64"/>
      <c r="TFW21" s="64"/>
      <c r="TFX21" s="64"/>
      <c r="TFY21" s="64"/>
      <c r="TFZ21" s="64"/>
      <c r="TGA21" s="64"/>
      <c r="TGB21" s="64"/>
      <c r="TGC21" s="64"/>
      <c r="TGD21" s="64"/>
      <c r="TGE21" s="64"/>
      <c r="TGF21" s="64"/>
      <c r="TGG21" s="64"/>
      <c r="TGH21" s="64"/>
      <c r="TGI21" s="64"/>
      <c r="TGJ21" s="64"/>
      <c r="TGK21" s="64"/>
      <c r="TGL21" s="64"/>
      <c r="TGM21" s="64"/>
      <c r="TGN21" s="64"/>
      <c r="TGO21" s="64"/>
      <c r="TGP21" s="64"/>
      <c r="TGQ21" s="64"/>
      <c r="TGR21" s="64"/>
      <c r="TGS21" s="64"/>
      <c r="TGT21" s="64"/>
      <c r="TGU21" s="64"/>
      <c r="TGV21" s="64"/>
      <c r="TGW21" s="64"/>
      <c r="TGX21" s="64"/>
      <c r="TGY21" s="64"/>
      <c r="TGZ21" s="64"/>
      <c r="THA21" s="64"/>
      <c r="THB21" s="64"/>
      <c r="THC21" s="64"/>
      <c r="THD21" s="64"/>
      <c r="THE21" s="64"/>
      <c r="THF21" s="64"/>
      <c r="THG21" s="64"/>
      <c r="THH21" s="64"/>
      <c r="THI21" s="64"/>
      <c r="THJ21" s="64"/>
      <c r="THK21" s="64"/>
      <c r="THL21" s="64"/>
      <c r="THM21" s="64"/>
      <c r="THN21" s="64"/>
      <c r="THO21" s="64"/>
      <c r="THP21" s="64"/>
      <c r="THQ21" s="64"/>
      <c r="THR21" s="64"/>
      <c r="THS21" s="64"/>
      <c r="THT21" s="64"/>
      <c r="THU21" s="64"/>
      <c r="THV21" s="64"/>
      <c r="THW21" s="64"/>
      <c r="THX21" s="64"/>
      <c r="THY21" s="64"/>
      <c r="THZ21" s="64"/>
      <c r="TIA21" s="64"/>
      <c r="TIB21" s="64"/>
      <c r="TIC21" s="64"/>
      <c r="TID21" s="64"/>
      <c r="TIE21" s="64"/>
      <c r="TIF21" s="64"/>
      <c r="TIG21" s="64"/>
      <c r="TIH21" s="64"/>
      <c r="TII21" s="64"/>
      <c r="TIJ21" s="64"/>
      <c r="TIK21" s="64"/>
      <c r="TIL21" s="64"/>
      <c r="TIM21" s="64"/>
      <c r="TIN21" s="64"/>
      <c r="TIO21" s="64"/>
      <c r="TIP21" s="64"/>
      <c r="TIQ21" s="64"/>
      <c r="TIR21" s="64"/>
      <c r="TIS21" s="64"/>
      <c r="TIT21" s="64"/>
      <c r="TIU21" s="64"/>
      <c r="TIV21" s="64"/>
      <c r="TIW21" s="64"/>
      <c r="TIX21" s="64"/>
      <c r="TIY21" s="64"/>
      <c r="TIZ21" s="64"/>
      <c r="TJA21" s="64"/>
      <c r="TJB21" s="64"/>
      <c r="TJC21" s="64"/>
      <c r="TJD21" s="64"/>
      <c r="TJE21" s="64"/>
      <c r="TJF21" s="64"/>
      <c r="TJG21" s="64"/>
      <c r="TJH21" s="64"/>
      <c r="TJI21" s="64"/>
      <c r="TJJ21" s="64"/>
      <c r="TJK21" s="64"/>
      <c r="TJL21" s="64"/>
      <c r="TJM21" s="64"/>
      <c r="TJN21" s="64"/>
      <c r="TJO21" s="64"/>
      <c r="TJP21" s="64"/>
      <c r="TJQ21" s="64"/>
      <c r="TJR21" s="64"/>
      <c r="TJS21" s="64"/>
      <c r="TJT21" s="64"/>
      <c r="TJU21" s="64"/>
      <c r="TJV21" s="64"/>
      <c r="TJW21" s="64"/>
      <c r="TJX21" s="64"/>
      <c r="TJY21" s="64"/>
      <c r="TJZ21" s="64"/>
      <c r="TKA21" s="64"/>
      <c r="TKB21" s="64"/>
      <c r="TKC21" s="64"/>
      <c r="TKD21" s="64"/>
      <c r="TKE21" s="64"/>
      <c r="TKF21" s="64"/>
      <c r="TKG21" s="64"/>
      <c r="TKH21" s="64"/>
      <c r="TKI21" s="64"/>
      <c r="TKJ21" s="64"/>
      <c r="TKK21" s="64"/>
      <c r="TKL21" s="64"/>
      <c r="TKM21" s="64"/>
      <c r="TKN21" s="64"/>
      <c r="TKO21" s="64"/>
      <c r="TKP21" s="64"/>
      <c r="TKQ21" s="64"/>
      <c r="TKR21" s="64"/>
      <c r="TKS21" s="64"/>
      <c r="TKT21" s="64"/>
      <c r="TKU21" s="64"/>
      <c r="TKV21" s="64"/>
      <c r="TKW21" s="64"/>
      <c r="TKX21" s="64"/>
      <c r="TKY21" s="64"/>
      <c r="TKZ21" s="64"/>
      <c r="TLA21" s="64"/>
      <c r="TLB21" s="64"/>
      <c r="TLC21" s="64"/>
      <c r="TLD21" s="64"/>
      <c r="TLE21" s="64"/>
      <c r="TLF21" s="64"/>
      <c r="TLG21" s="64"/>
      <c r="TLH21" s="64"/>
      <c r="TLI21" s="64"/>
      <c r="TLJ21" s="64"/>
      <c r="TLK21" s="64"/>
      <c r="TLL21" s="64"/>
      <c r="TLM21" s="64"/>
      <c r="TLN21" s="64"/>
      <c r="TLO21" s="64"/>
      <c r="TLP21" s="64"/>
      <c r="TLQ21" s="64"/>
      <c r="TLR21" s="64"/>
      <c r="TLS21" s="64"/>
      <c r="TLT21" s="64"/>
      <c r="TLU21" s="64"/>
      <c r="TLV21" s="64"/>
      <c r="TLW21" s="64"/>
      <c r="TLX21" s="64"/>
      <c r="TLY21" s="64"/>
      <c r="TLZ21" s="64"/>
      <c r="TMA21" s="64"/>
      <c r="TMB21" s="64"/>
      <c r="TMC21" s="64"/>
      <c r="TMD21" s="64"/>
      <c r="TME21" s="64"/>
      <c r="TMF21" s="64"/>
      <c r="TMG21" s="64"/>
      <c r="TMH21" s="64"/>
      <c r="TMI21" s="64"/>
      <c r="TMJ21" s="64"/>
      <c r="TMK21" s="64"/>
      <c r="TML21" s="64"/>
      <c r="TMM21" s="64"/>
      <c r="TMN21" s="64"/>
      <c r="TMO21" s="64"/>
      <c r="TMP21" s="64"/>
      <c r="TMQ21" s="64"/>
      <c r="TMR21" s="64"/>
      <c r="TMS21" s="64"/>
      <c r="TMT21" s="64"/>
      <c r="TMU21" s="64"/>
      <c r="TMV21" s="64"/>
      <c r="TMW21" s="64"/>
      <c r="TMX21" s="64"/>
      <c r="TMY21" s="64"/>
      <c r="TMZ21" s="64"/>
      <c r="TNA21" s="64"/>
      <c r="TNB21" s="64"/>
      <c r="TNC21" s="64"/>
      <c r="TND21" s="64"/>
      <c r="TNE21" s="64"/>
      <c r="TNF21" s="64"/>
      <c r="TNG21" s="64"/>
      <c r="TNH21" s="64"/>
      <c r="TNI21" s="64"/>
      <c r="TNJ21" s="64"/>
      <c r="TNK21" s="64"/>
      <c r="TNL21" s="64"/>
      <c r="TNM21" s="64"/>
      <c r="TNN21" s="64"/>
      <c r="TNO21" s="64"/>
      <c r="TNP21" s="64"/>
      <c r="TNQ21" s="64"/>
      <c r="TNR21" s="64"/>
      <c r="TNS21" s="64"/>
      <c r="TNT21" s="64"/>
      <c r="TNU21" s="64"/>
      <c r="TNV21" s="64"/>
      <c r="TNW21" s="64"/>
      <c r="TNX21" s="64"/>
      <c r="TNY21" s="64"/>
      <c r="TNZ21" s="64"/>
      <c r="TOA21" s="64"/>
      <c r="TOB21" s="64"/>
      <c r="TOC21" s="64"/>
      <c r="TOD21" s="64"/>
      <c r="TOE21" s="64"/>
      <c r="TOF21" s="64"/>
      <c r="TOG21" s="64"/>
      <c r="TOH21" s="64"/>
      <c r="TOI21" s="64"/>
      <c r="TOJ21" s="64"/>
      <c r="TOK21" s="64"/>
      <c r="TOL21" s="64"/>
      <c r="TOM21" s="64"/>
      <c r="TON21" s="64"/>
      <c r="TOO21" s="64"/>
      <c r="TOP21" s="64"/>
      <c r="TOQ21" s="64"/>
      <c r="TOR21" s="64"/>
      <c r="TOS21" s="64"/>
      <c r="TOT21" s="64"/>
      <c r="TOU21" s="64"/>
      <c r="TOV21" s="64"/>
      <c r="TOW21" s="64"/>
      <c r="TOX21" s="64"/>
      <c r="TOY21" s="64"/>
      <c r="TOZ21" s="64"/>
      <c r="TPA21" s="64"/>
      <c r="TPB21" s="64"/>
      <c r="TPC21" s="64"/>
      <c r="TPD21" s="64"/>
      <c r="TPE21" s="64"/>
      <c r="TPF21" s="64"/>
      <c r="TPG21" s="64"/>
      <c r="TPH21" s="64"/>
      <c r="TPI21" s="64"/>
      <c r="TPJ21" s="64"/>
      <c r="TPK21" s="64"/>
      <c r="TPL21" s="64"/>
      <c r="TPM21" s="64"/>
      <c r="TPN21" s="64"/>
      <c r="TPO21" s="64"/>
      <c r="TPP21" s="64"/>
      <c r="TPQ21" s="64"/>
      <c r="TPR21" s="64"/>
      <c r="TPS21" s="64"/>
      <c r="TPT21" s="64"/>
      <c r="TPU21" s="64"/>
      <c r="TPV21" s="64"/>
      <c r="TPW21" s="64"/>
      <c r="TPX21" s="64"/>
      <c r="TPY21" s="64"/>
      <c r="TPZ21" s="64"/>
      <c r="TQA21" s="64"/>
      <c r="TQB21" s="64"/>
      <c r="TQC21" s="64"/>
      <c r="TQD21" s="64"/>
      <c r="TQE21" s="64"/>
      <c r="TQF21" s="64"/>
      <c r="TQG21" s="64"/>
      <c r="TQH21" s="64"/>
      <c r="TQI21" s="64"/>
      <c r="TQJ21" s="64"/>
      <c r="TQK21" s="64"/>
      <c r="TQL21" s="64"/>
      <c r="TQM21" s="64"/>
      <c r="TQN21" s="64"/>
      <c r="TQO21" s="64"/>
      <c r="TQP21" s="64"/>
      <c r="TQQ21" s="64"/>
      <c r="TQR21" s="64"/>
      <c r="TQS21" s="64"/>
      <c r="TQT21" s="64"/>
      <c r="TQU21" s="64"/>
      <c r="TQV21" s="64"/>
      <c r="TQW21" s="64"/>
      <c r="TQX21" s="64"/>
      <c r="TQY21" s="64"/>
      <c r="TQZ21" s="64"/>
      <c r="TRA21" s="64"/>
      <c r="TRB21" s="64"/>
      <c r="TRC21" s="64"/>
      <c r="TRD21" s="64"/>
      <c r="TRE21" s="64"/>
      <c r="TRF21" s="64"/>
      <c r="TRG21" s="64"/>
      <c r="TRH21" s="64"/>
      <c r="TRI21" s="64"/>
      <c r="TRJ21" s="64"/>
      <c r="TRK21" s="64"/>
      <c r="TRL21" s="64"/>
      <c r="TRM21" s="64"/>
      <c r="TRN21" s="64"/>
      <c r="TRO21" s="64"/>
      <c r="TRP21" s="64"/>
      <c r="TRQ21" s="64"/>
      <c r="TRR21" s="64"/>
      <c r="TRS21" s="64"/>
      <c r="TRT21" s="64"/>
      <c r="TRU21" s="64"/>
      <c r="TRV21" s="64"/>
      <c r="TRW21" s="64"/>
      <c r="TRX21" s="64"/>
      <c r="TRY21" s="64"/>
      <c r="TRZ21" s="64"/>
      <c r="TSA21" s="64"/>
      <c r="TSB21" s="64"/>
      <c r="TSC21" s="64"/>
      <c r="TSD21" s="64"/>
      <c r="TSE21" s="64"/>
      <c r="TSF21" s="64"/>
      <c r="TSG21" s="64"/>
      <c r="TSH21" s="64"/>
      <c r="TSI21" s="64"/>
      <c r="TSJ21" s="64"/>
      <c r="TSK21" s="64"/>
      <c r="TSL21" s="64"/>
      <c r="TSM21" s="64"/>
      <c r="TSN21" s="64"/>
      <c r="TSO21" s="64"/>
      <c r="TSP21" s="64"/>
      <c r="TSQ21" s="64"/>
      <c r="TSR21" s="64"/>
      <c r="TSS21" s="64"/>
      <c r="TST21" s="64"/>
      <c r="TSU21" s="64"/>
      <c r="TSV21" s="64"/>
      <c r="TSW21" s="64"/>
      <c r="TSX21" s="64"/>
      <c r="TSY21" s="64"/>
      <c r="TSZ21" s="64"/>
      <c r="TTA21" s="64"/>
      <c r="TTB21" s="64"/>
      <c r="TTC21" s="64"/>
      <c r="TTD21" s="64"/>
      <c r="TTE21" s="64"/>
      <c r="TTF21" s="64"/>
      <c r="TTG21" s="64"/>
      <c r="TTH21" s="64"/>
      <c r="TTI21" s="64"/>
      <c r="TTJ21" s="64"/>
      <c r="TTK21" s="64"/>
      <c r="TTL21" s="64"/>
      <c r="TTM21" s="64"/>
      <c r="TTN21" s="64"/>
      <c r="TTO21" s="64"/>
      <c r="TTP21" s="64"/>
      <c r="TTQ21" s="64"/>
      <c r="TTR21" s="64"/>
      <c r="TTS21" s="64"/>
      <c r="TTT21" s="64"/>
      <c r="TTU21" s="64"/>
      <c r="TTV21" s="64"/>
      <c r="TTW21" s="64"/>
      <c r="TTX21" s="64"/>
      <c r="TTY21" s="64"/>
      <c r="TTZ21" s="64"/>
      <c r="TUA21" s="64"/>
      <c r="TUB21" s="64"/>
      <c r="TUC21" s="64"/>
      <c r="TUD21" s="64"/>
      <c r="TUE21" s="64"/>
      <c r="TUF21" s="64"/>
      <c r="TUG21" s="64"/>
      <c r="TUH21" s="64"/>
      <c r="TUI21" s="64"/>
      <c r="TUJ21" s="64"/>
      <c r="TUK21" s="64"/>
      <c r="TUL21" s="64"/>
      <c r="TUM21" s="64"/>
      <c r="TUN21" s="64"/>
      <c r="TUO21" s="64"/>
      <c r="TUP21" s="64"/>
      <c r="TUQ21" s="64"/>
      <c r="TUR21" s="64"/>
      <c r="TUS21" s="64"/>
      <c r="TUT21" s="64"/>
      <c r="TUU21" s="64"/>
      <c r="TUV21" s="64"/>
      <c r="TUW21" s="64"/>
      <c r="TUX21" s="64"/>
      <c r="TUY21" s="64"/>
      <c r="TUZ21" s="64"/>
      <c r="TVA21" s="64"/>
      <c r="TVB21" s="64"/>
      <c r="TVC21" s="64"/>
      <c r="TVD21" s="64"/>
      <c r="TVE21" s="64"/>
      <c r="TVF21" s="64"/>
      <c r="TVG21" s="64"/>
      <c r="TVH21" s="64"/>
      <c r="TVI21" s="64"/>
      <c r="TVJ21" s="64"/>
      <c r="TVK21" s="64"/>
      <c r="TVL21" s="64"/>
      <c r="TVM21" s="64"/>
      <c r="TVN21" s="64"/>
      <c r="TVO21" s="64"/>
      <c r="TVP21" s="64"/>
      <c r="TVQ21" s="64"/>
      <c r="TVR21" s="64"/>
      <c r="TVS21" s="64"/>
      <c r="TVT21" s="64"/>
      <c r="TVU21" s="64"/>
      <c r="TVV21" s="64"/>
      <c r="TVW21" s="64"/>
      <c r="TVX21" s="64"/>
      <c r="TVY21" s="64"/>
      <c r="TVZ21" s="64"/>
      <c r="TWA21" s="64"/>
      <c r="TWB21" s="64"/>
      <c r="TWC21" s="64"/>
      <c r="TWD21" s="64"/>
      <c r="TWE21" s="64"/>
      <c r="TWF21" s="64"/>
      <c r="TWG21" s="64"/>
      <c r="TWH21" s="64"/>
      <c r="TWI21" s="64"/>
      <c r="TWJ21" s="64"/>
      <c r="TWK21" s="64"/>
      <c r="TWL21" s="64"/>
      <c r="TWM21" s="64"/>
      <c r="TWN21" s="64"/>
      <c r="TWO21" s="64"/>
      <c r="TWP21" s="64"/>
      <c r="TWQ21" s="64"/>
      <c r="TWR21" s="64"/>
      <c r="TWS21" s="64"/>
      <c r="TWT21" s="64"/>
      <c r="TWU21" s="64"/>
      <c r="TWV21" s="64"/>
      <c r="TWW21" s="64"/>
      <c r="TWX21" s="64"/>
      <c r="TWY21" s="64"/>
      <c r="TWZ21" s="64"/>
      <c r="TXA21" s="64"/>
      <c r="TXB21" s="64"/>
      <c r="TXC21" s="64"/>
      <c r="TXD21" s="64"/>
      <c r="TXE21" s="64"/>
      <c r="TXF21" s="64"/>
      <c r="TXG21" s="64"/>
      <c r="TXH21" s="64"/>
      <c r="TXI21" s="64"/>
      <c r="TXJ21" s="64"/>
      <c r="TXK21" s="64"/>
      <c r="TXL21" s="64"/>
      <c r="TXM21" s="64"/>
      <c r="TXN21" s="64"/>
      <c r="TXO21" s="64"/>
      <c r="TXP21" s="64"/>
      <c r="TXQ21" s="64"/>
      <c r="TXR21" s="64"/>
      <c r="TXS21" s="64"/>
      <c r="TXT21" s="64"/>
      <c r="TXU21" s="64"/>
      <c r="TXV21" s="64"/>
      <c r="TXW21" s="64"/>
      <c r="TXX21" s="64"/>
      <c r="TXY21" s="64"/>
      <c r="TXZ21" s="64"/>
      <c r="TYA21" s="64"/>
      <c r="TYB21" s="64"/>
      <c r="TYC21" s="64"/>
      <c r="TYD21" s="64"/>
      <c r="TYE21" s="64"/>
      <c r="TYF21" s="64"/>
      <c r="TYG21" s="64"/>
      <c r="TYH21" s="64"/>
      <c r="TYI21" s="64"/>
      <c r="TYJ21" s="64"/>
      <c r="TYK21" s="64"/>
      <c r="TYL21" s="64"/>
      <c r="TYM21" s="64"/>
      <c r="TYN21" s="64"/>
      <c r="TYO21" s="64"/>
      <c r="TYP21" s="64"/>
      <c r="TYQ21" s="64"/>
      <c r="TYR21" s="64"/>
      <c r="TYS21" s="64"/>
      <c r="TYT21" s="64"/>
      <c r="TYU21" s="64"/>
      <c r="TYV21" s="64"/>
      <c r="TYW21" s="64"/>
      <c r="TYX21" s="64"/>
      <c r="TYY21" s="64"/>
      <c r="TYZ21" s="64"/>
      <c r="TZA21" s="64"/>
      <c r="TZB21" s="64"/>
      <c r="TZC21" s="64"/>
      <c r="TZD21" s="64"/>
      <c r="TZE21" s="64"/>
      <c r="TZF21" s="64"/>
      <c r="TZG21" s="64"/>
      <c r="TZH21" s="64"/>
      <c r="TZI21" s="64"/>
      <c r="TZJ21" s="64"/>
      <c r="TZK21" s="64"/>
      <c r="TZL21" s="64"/>
      <c r="TZM21" s="64"/>
      <c r="TZN21" s="64"/>
      <c r="TZO21" s="64"/>
      <c r="TZP21" s="64"/>
      <c r="TZQ21" s="64"/>
      <c r="TZR21" s="64"/>
      <c r="TZS21" s="64"/>
      <c r="TZT21" s="64"/>
      <c r="TZU21" s="64"/>
      <c r="TZV21" s="64"/>
      <c r="TZW21" s="64"/>
      <c r="TZX21" s="64"/>
      <c r="TZY21" s="64"/>
      <c r="TZZ21" s="64"/>
      <c r="UAA21" s="64"/>
      <c r="UAB21" s="64"/>
      <c r="UAC21" s="64"/>
      <c r="UAD21" s="64"/>
      <c r="UAE21" s="64"/>
      <c r="UAF21" s="64"/>
      <c r="UAG21" s="64"/>
      <c r="UAH21" s="64"/>
      <c r="UAI21" s="64"/>
      <c r="UAJ21" s="64"/>
      <c r="UAK21" s="64"/>
      <c r="UAL21" s="64"/>
      <c r="UAM21" s="64"/>
      <c r="UAN21" s="64"/>
      <c r="UAO21" s="64"/>
      <c r="UAP21" s="64"/>
      <c r="UAQ21" s="64"/>
      <c r="UAR21" s="64"/>
      <c r="UAS21" s="64"/>
      <c r="UAT21" s="64"/>
      <c r="UAU21" s="64"/>
      <c r="UAV21" s="64"/>
      <c r="UAW21" s="64"/>
      <c r="UAX21" s="64"/>
      <c r="UAY21" s="64"/>
      <c r="UAZ21" s="64"/>
      <c r="UBA21" s="64"/>
      <c r="UBB21" s="64"/>
      <c r="UBC21" s="64"/>
      <c r="UBD21" s="64"/>
      <c r="UBE21" s="64"/>
      <c r="UBF21" s="64"/>
      <c r="UBG21" s="64"/>
      <c r="UBH21" s="64"/>
      <c r="UBI21" s="64"/>
      <c r="UBJ21" s="64"/>
      <c r="UBK21" s="64"/>
      <c r="UBL21" s="64"/>
      <c r="UBM21" s="64"/>
      <c r="UBN21" s="64"/>
      <c r="UBO21" s="64"/>
      <c r="UBP21" s="64"/>
      <c r="UBQ21" s="64"/>
      <c r="UBR21" s="64"/>
      <c r="UBS21" s="64"/>
      <c r="UBT21" s="64"/>
      <c r="UBU21" s="64"/>
      <c r="UBV21" s="64"/>
      <c r="UBW21" s="64"/>
      <c r="UBX21" s="64"/>
      <c r="UBY21" s="64"/>
      <c r="UBZ21" s="64"/>
      <c r="UCA21" s="64"/>
      <c r="UCB21" s="64"/>
      <c r="UCC21" s="64"/>
      <c r="UCD21" s="64"/>
      <c r="UCE21" s="64"/>
      <c r="UCF21" s="64"/>
      <c r="UCG21" s="64"/>
      <c r="UCH21" s="64"/>
      <c r="UCI21" s="64"/>
      <c r="UCJ21" s="64"/>
      <c r="UCK21" s="64"/>
      <c r="UCL21" s="64"/>
      <c r="UCM21" s="64"/>
      <c r="UCN21" s="64"/>
      <c r="UCO21" s="64"/>
      <c r="UCP21" s="64"/>
      <c r="UCQ21" s="64"/>
      <c r="UCR21" s="64"/>
      <c r="UCS21" s="64"/>
      <c r="UCT21" s="64"/>
      <c r="UCU21" s="64"/>
      <c r="UCV21" s="64"/>
      <c r="UCW21" s="64"/>
      <c r="UCX21" s="64"/>
      <c r="UCY21" s="64"/>
      <c r="UCZ21" s="64"/>
      <c r="UDA21" s="64"/>
      <c r="UDB21" s="64"/>
      <c r="UDC21" s="64"/>
      <c r="UDD21" s="64"/>
      <c r="UDE21" s="64"/>
      <c r="UDF21" s="64"/>
      <c r="UDG21" s="64"/>
      <c r="UDH21" s="64"/>
      <c r="UDI21" s="64"/>
      <c r="UDJ21" s="64"/>
      <c r="UDK21" s="64"/>
      <c r="UDL21" s="64"/>
      <c r="UDM21" s="64"/>
      <c r="UDN21" s="64"/>
      <c r="UDO21" s="64"/>
      <c r="UDP21" s="64"/>
      <c r="UDQ21" s="64"/>
      <c r="UDR21" s="64"/>
      <c r="UDS21" s="64"/>
      <c r="UDT21" s="64"/>
      <c r="UDU21" s="64"/>
      <c r="UDV21" s="64"/>
      <c r="UDW21" s="64"/>
      <c r="UDX21" s="64"/>
      <c r="UDY21" s="64"/>
      <c r="UDZ21" s="64"/>
      <c r="UEA21" s="64"/>
      <c r="UEB21" s="64"/>
      <c r="UEC21" s="64"/>
      <c r="UED21" s="64"/>
      <c r="UEE21" s="64"/>
      <c r="UEF21" s="64"/>
      <c r="UEG21" s="64"/>
      <c r="UEH21" s="64"/>
      <c r="UEI21" s="64"/>
      <c r="UEJ21" s="64"/>
      <c r="UEK21" s="64"/>
      <c r="UEL21" s="64"/>
      <c r="UEM21" s="64"/>
      <c r="UEN21" s="64"/>
      <c r="UEO21" s="64"/>
      <c r="UEP21" s="64"/>
      <c r="UEQ21" s="64"/>
      <c r="UER21" s="64"/>
      <c r="UES21" s="64"/>
      <c r="UET21" s="64"/>
      <c r="UEU21" s="64"/>
      <c r="UEV21" s="64"/>
      <c r="UEW21" s="64"/>
      <c r="UEX21" s="64"/>
      <c r="UEY21" s="64"/>
      <c r="UEZ21" s="64"/>
      <c r="UFA21" s="64"/>
      <c r="UFB21" s="64"/>
      <c r="UFC21" s="64"/>
      <c r="UFD21" s="64"/>
      <c r="UFE21" s="64"/>
      <c r="UFF21" s="64"/>
      <c r="UFG21" s="64"/>
      <c r="UFH21" s="64"/>
      <c r="UFI21" s="64"/>
      <c r="UFJ21" s="64"/>
      <c r="UFK21" s="64"/>
      <c r="UFL21" s="64"/>
      <c r="UFM21" s="64"/>
      <c r="UFN21" s="64"/>
      <c r="UFO21" s="64"/>
      <c r="UFP21" s="64"/>
      <c r="UFQ21" s="64"/>
      <c r="UFR21" s="64"/>
      <c r="UFS21" s="64"/>
      <c r="UFT21" s="64"/>
      <c r="UFU21" s="64"/>
      <c r="UFV21" s="64"/>
      <c r="UFW21" s="64"/>
      <c r="UFX21" s="64"/>
      <c r="UFY21" s="64"/>
      <c r="UFZ21" s="64"/>
      <c r="UGA21" s="64"/>
      <c r="UGB21" s="64"/>
      <c r="UGC21" s="64"/>
      <c r="UGD21" s="64"/>
      <c r="UGE21" s="64"/>
      <c r="UGF21" s="64"/>
      <c r="UGG21" s="64"/>
      <c r="UGH21" s="64"/>
      <c r="UGI21" s="64"/>
      <c r="UGJ21" s="64"/>
      <c r="UGK21" s="64"/>
      <c r="UGL21" s="64"/>
      <c r="UGM21" s="64"/>
      <c r="UGN21" s="64"/>
      <c r="UGO21" s="64"/>
      <c r="UGP21" s="64"/>
      <c r="UGQ21" s="64"/>
      <c r="UGR21" s="64"/>
      <c r="UGS21" s="64"/>
      <c r="UGT21" s="64"/>
      <c r="UGU21" s="64"/>
      <c r="UGV21" s="64"/>
      <c r="UGW21" s="64"/>
      <c r="UGX21" s="64"/>
      <c r="UGY21" s="64"/>
      <c r="UGZ21" s="64"/>
      <c r="UHA21" s="64"/>
      <c r="UHB21" s="64"/>
      <c r="UHC21" s="64"/>
      <c r="UHD21" s="64"/>
      <c r="UHE21" s="64"/>
      <c r="UHF21" s="64"/>
      <c r="UHG21" s="64"/>
      <c r="UHH21" s="64"/>
      <c r="UHI21" s="64"/>
      <c r="UHJ21" s="64"/>
      <c r="UHK21" s="64"/>
      <c r="UHL21" s="64"/>
      <c r="UHM21" s="64"/>
      <c r="UHN21" s="64"/>
      <c r="UHO21" s="64"/>
      <c r="UHP21" s="64"/>
      <c r="UHQ21" s="64"/>
      <c r="UHR21" s="64"/>
      <c r="UHS21" s="64"/>
      <c r="UHT21" s="64"/>
      <c r="UHU21" s="64"/>
      <c r="UHV21" s="64"/>
      <c r="UHW21" s="64"/>
      <c r="UHX21" s="64"/>
      <c r="UHY21" s="64"/>
      <c r="UHZ21" s="64"/>
      <c r="UIA21" s="64"/>
      <c r="UIB21" s="64"/>
      <c r="UIC21" s="64"/>
      <c r="UID21" s="64"/>
      <c r="UIE21" s="64"/>
      <c r="UIF21" s="64"/>
      <c r="UIG21" s="64"/>
      <c r="UIH21" s="64"/>
      <c r="UII21" s="64"/>
      <c r="UIJ21" s="64"/>
      <c r="UIK21" s="64"/>
      <c r="UIL21" s="64"/>
      <c r="UIM21" s="64"/>
      <c r="UIN21" s="64"/>
      <c r="UIO21" s="64"/>
      <c r="UIP21" s="64"/>
      <c r="UIQ21" s="64"/>
      <c r="UIR21" s="64"/>
      <c r="UIS21" s="64"/>
      <c r="UIT21" s="64"/>
      <c r="UIU21" s="64"/>
      <c r="UIV21" s="64"/>
      <c r="UIW21" s="64"/>
      <c r="UIX21" s="64"/>
      <c r="UIY21" s="64"/>
      <c r="UIZ21" s="64"/>
      <c r="UJA21" s="64"/>
      <c r="UJB21" s="64"/>
      <c r="UJC21" s="64"/>
      <c r="UJD21" s="64"/>
      <c r="UJE21" s="64"/>
      <c r="UJF21" s="64"/>
      <c r="UJG21" s="64"/>
      <c r="UJH21" s="64"/>
      <c r="UJI21" s="64"/>
      <c r="UJJ21" s="64"/>
      <c r="UJK21" s="64"/>
      <c r="UJL21" s="64"/>
      <c r="UJM21" s="64"/>
      <c r="UJN21" s="64"/>
      <c r="UJO21" s="64"/>
      <c r="UJP21" s="64"/>
      <c r="UJQ21" s="64"/>
      <c r="UJR21" s="64"/>
      <c r="UJS21" s="64"/>
      <c r="UJT21" s="64"/>
      <c r="UJU21" s="64"/>
      <c r="UJV21" s="64"/>
      <c r="UJW21" s="64"/>
      <c r="UJX21" s="64"/>
      <c r="UJY21" s="64"/>
      <c r="UJZ21" s="64"/>
      <c r="UKA21" s="64"/>
      <c r="UKB21" s="64"/>
      <c r="UKC21" s="64"/>
      <c r="UKD21" s="64"/>
      <c r="UKE21" s="64"/>
      <c r="UKF21" s="64"/>
      <c r="UKG21" s="64"/>
      <c r="UKH21" s="64"/>
      <c r="UKI21" s="64"/>
      <c r="UKJ21" s="64"/>
      <c r="UKK21" s="64"/>
      <c r="UKL21" s="64"/>
      <c r="UKM21" s="64"/>
      <c r="UKN21" s="64"/>
      <c r="UKO21" s="64"/>
      <c r="UKP21" s="64"/>
      <c r="UKQ21" s="64"/>
      <c r="UKR21" s="64"/>
      <c r="UKS21" s="64"/>
      <c r="UKT21" s="64"/>
      <c r="UKU21" s="64"/>
      <c r="UKV21" s="64"/>
      <c r="UKW21" s="64"/>
      <c r="UKX21" s="64"/>
      <c r="UKY21" s="64"/>
      <c r="UKZ21" s="64"/>
      <c r="ULA21" s="64"/>
      <c r="ULB21" s="64"/>
      <c r="ULC21" s="64"/>
      <c r="ULD21" s="64"/>
      <c r="ULE21" s="64"/>
      <c r="ULF21" s="64"/>
      <c r="ULG21" s="64"/>
      <c r="ULH21" s="64"/>
      <c r="ULI21" s="64"/>
      <c r="ULJ21" s="64"/>
      <c r="ULK21" s="64"/>
      <c r="ULL21" s="64"/>
      <c r="ULM21" s="64"/>
      <c r="ULN21" s="64"/>
      <c r="ULO21" s="64"/>
      <c r="ULP21" s="64"/>
      <c r="ULQ21" s="64"/>
      <c r="ULR21" s="64"/>
      <c r="ULS21" s="64"/>
      <c r="ULT21" s="64"/>
      <c r="ULU21" s="64"/>
      <c r="ULV21" s="64"/>
      <c r="ULW21" s="64"/>
      <c r="ULX21" s="64"/>
      <c r="ULY21" s="64"/>
      <c r="ULZ21" s="64"/>
      <c r="UMA21" s="64"/>
      <c r="UMB21" s="64"/>
      <c r="UMC21" s="64"/>
      <c r="UMD21" s="64"/>
      <c r="UME21" s="64"/>
      <c r="UMF21" s="64"/>
      <c r="UMG21" s="64"/>
      <c r="UMH21" s="64"/>
      <c r="UMI21" s="64"/>
      <c r="UMJ21" s="64"/>
      <c r="UMK21" s="64"/>
      <c r="UML21" s="64"/>
      <c r="UMM21" s="64"/>
      <c r="UMN21" s="64"/>
      <c r="UMO21" s="64"/>
      <c r="UMP21" s="64"/>
      <c r="UMQ21" s="64"/>
      <c r="UMR21" s="64"/>
      <c r="UMS21" s="64"/>
      <c r="UMT21" s="64"/>
      <c r="UMU21" s="64"/>
      <c r="UMV21" s="64"/>
      <c r="UMW21" s="64"/>
      <c r="UMX21" s="64"/>
      <c r="UMY21" s="64"/>
      <c r="UMZ21" s="64"/>
      <c r="UNA21" s="64"/>
      <c r="UNB21" s="64"/>
      <c r="UNC21" s="64"/>
      <c r="UND21" s="64"/>
      <c r="UNE21" s="64"/>
      <c r="UNF21" s="64"/>
      <c r="UNG21" s="64"/>
      <c r="UNH21" s="64"/>
      <c r="UNI21" s="64"/>
      <c r="UNJ21" s="64"/>
      <c r="UNK21" s="64"/>
      <c r="UNL21" s="64"/>
      <c r="UNM21" s="64"/>
      <c r="UNN21" s="64"/>
      <c r="UNO21" s="64"/>
      <c r="UNP21" s="64"/>
      <c r="UNQ21" s="64"/>
      <c r="UNR21" s="64"/>
      <c r="UNS21" s="64"/>
      <c r="UNT21" s="64"/>
      <c r="UNU21" s="64"/>
      <c r="UNV21" s="64"/>
      <c r="UNW21" s="64"/>
      <c r="UNX21" s="64"/>
      <c r="UNY21" s="64"/>
      <c r="UNZ21" s="64"/>
      <c r="UOA21" s="64"/>
      <c r="UOB21" s="64"/>
      <c r="UOC21" s="64"/>
      <c r="UOD21" s="64"/>
      <c r="UOE21" s="64"/>
      <c r="UOF21" s="64"/>
      <c r="UOG21" s="64"/>
      <c r="UOH21" s="64"/>
      <c r="UOI21" s="64"/>
      <c r="UOJ21" s="64"/>
      <c r="UOK21" s="64"/>
      <c r="UOL21" s="64"/>
      <c r="UOM21" s="64"/>
      <c r="UON21" s="64"/>
      <c r="UOO21" s="64"/>
      <c r="UOP21" s="64"/>
      <c r="UOQ21" s="64"/>
      <c r="UOR21" s="64"/>
      <c r="UOS21" s="64"/>
      <c r="UOT21" s="64"/>
      <c r="UOU21" s="64"/>
      <c r="UOV21" s="64"/>
      <c r="UOW21" s="64"/>
      <c r="UOX21" s="64"/>
      <c r="UOY21" s="64"/>
      <c r="UOZ21" s="64"/>
      <c r="UPA21" s="64"/>
      <c r="UPB21" s="64"/>
      <c r="UPC21" s="64"/>
      <c r="UPD21" s="64"/>
      <c r="UPE21" s="64"/>
      <c r="UPF21" s="64"/>
      <c r="UPG21" s="64"/>
      <c r="UPH21" s="64"/>
      <c r="UPI21" s="64"/>
      <c r="UPJ21" s="64"/>
      <c r="UPK21" s="64"/>
      <c r="UPL21" s="64"/>
      <c r="UPM21" s="64"/>
      <c r="UPN21" s="64"/>
      <c r="UPO21" s="64"/>
      <c r="UPP21" s="64"/>
      <c r="UPQ21" s="64"/>
      <c r="UPR21" s="64"/>
      <c r="UPS21" s="64"/>
      <c r="UPT21" s="64"/>
      <c r="UPU21" s="64"/>
      <c r="UPV21" s="64"/>
      <c r="UPW21" s="64"/>
      <c r="UPX21" s="64"/>
      <c r="UPY21" s="64"/>
      <c r="UPZ21" s="64"/>
      <c r="UQA21" s="64"/>
      <c r="UQB21" s="64"/>
      <c r="UQC21" s="64"/>
      <c r="UQD21" s="64"/>
      <c r="UQE21" s="64"/>
      <c r="UQF21" s="64"/>
      <c r="UQG21" s="64"/>
      <c r="UQH21" s="64"/>
      <c r="UQI21" s="64"/>
      <c r="UQJ21" s="64"/>
      <c r="UQK21" s="64"/>
      <c r="UQL21" s="64"/>
      <c r="UQM21" s="64"/>
      <c r="UQN21" s="64"/>
      <c r="UQO21" s="64"/>
      <c r="UQP21" s="64"/>
      <c r="UQQ21" s="64"/>
      <c r="UQR21" s="64"/>
      <c r="UQS21" s="64"/>
      <c r="UQT21" s="64"/>
      <c r="UQU21" s="64"/>
      <c r="UQV21" s="64"/>
      <c r="UQW21" s="64"/>
      <c r="UQX21" s="64"/>
      <c r="UQY21" s="64"/>
      <c r="UQZ21" s="64"/>
      <c r="URA21" s="64"/>
      <c r="URB21" s="64"/>
      <c r="URC21" s="64"/>
      <c r="URD21" s="64"/>
      <c r="URE21" s="64"/>
      <c r="URF21" s="64"/>
      <c r="URG21" s="64"/>
      <c r="URH21" s="64"/>
      <c r="URI21" s="64"/>
      <c r="URJ21" s="64"/>
      <c r="URK21" s="64"/>
      <c r="URL21" s="64"/>
      <c r="URM21" s="64"/>
      <c r="URN21" s="64"/>
      <c r="URO21" s="64"/>
      <c r="URP21" s="64"/>
      <c r="URQ21" s="64"/>
      <c r="URR21" s="64"/>
      <c r="URS21" s="64"/>
      <c r="URT21" s="64"/>
      <c r="URU21" s="64"/>
      <c r="URV21" s="64"/>
      <c r="URW21" s="64"/>
      <c r="URX21" s="64"/>
      <c r="URY21" s="64"/>
      <c r="URZ21" s="64"/>
      <c r="USA21" s="64"/>
      <c r="USB21" s="64"/>
      <c r="USC21" s="64"/>
      <c r="USD21" s="64"/>
      <c r="USE21" s="64"/>
      <c r="USF21" s="64"/>
      <c r="USG21" s="64"/>
      <c r="USH21" s="64"/>
      <c r="USI21" s="64"/>
      <c r="USJ21" s="64"/>
      <c r="USK21" s="64"/>
      <c r="USL21" s="64"/>
      <c r="USM21" s="64"/>
      <c r="USN21" s="64"/>
      <c r="USO21" s="64"/>
      <c r="USP21" s="64"/>
      <c r="USQ21" s="64"/>
      <c r="USR21" s="64"/>
      <c r="USS21" s="64"/>
      <c r="UST21" s="64"/>
      <c r="USU21" s="64"/>
      <c r="USV21" s="64"/>
      <c r="USW21" s="64"/>
      <c r="USX21" s="64"/>
      <c r="USY21" s="64"/>
      <c r="USZ21" s="64"/>
      <c r="UTA21" s="64"/>
      <c r="UTB21" s="64"/>
      <c r="UTC21" s="64"/>
      <c r="UTD21" s="64"/>
      <c r="UTE21" s="64"/>
      <c r="UTF21" s="64"/>
      <c r="UTG21" s="64"/>
      <c r="UTH21" s="64"/>
      <c r="UTI21" s="64"/>
      <c r="UTJ21" s="64"/>
      <c r="UTK21" s="64"/>
      <c r="UTL21" s="64"/>
      <c r="UTM21" s="64"/>
      <c r="UTN21" s="64"/>
      <c r="UTO21" s="64"/>
      <c r="UTP21" s="64"/>
      <c r="UTQ21" s="64"/>
      <c r="UTR21" s="64"/>
      <c r="UTS21" s="64"/>
      <c r="UTT21" s="64"/>
      <c r="UTU21" s="64"/>
      <c r="UTV21" s="64"/>
      <c r="UTW21" s="64"/>
      <c r="UTX21" s="64"/>
      <c r="UTY21" s="64"/>
      <c r="UTZ21" s="64"/>
      <c r="UUA21" s="64"/>
      <c r="UUB21" s="64"/>
      <c r="UUC21" s="64"/>
      <c r="UUD21" s="64"/>
      <c r="UUE21" s="64"/>
      <c r="UUF21" s="64"/>
      <c r="UUG21" s="64"/>
      <c r="UUH21" s="64"/>
      <c r="UUI21" s="64"/>
      <c r="UUJ21" s="64"/>
      <c r="UUK21" s="64"/>
      <c r="UUL21" s="64"/>
      <c r="UUM21" s="64"/>
      <c r="UUN21" s="64"/>
      <c r="UUO21" s="64"/>
      <c r="UUP21" s="64"/>
      <c r="UUQ21" s="64"/>
      <c r="UUR21" s="64"/>
      <c r="UUS21" s="64"/>
      <c r="UUT21" s="64"/>
      <c r="UUU21" s="64"/>
      <c r="UUV21" s="64"/>
      <c r="UUW21" s="64"/>
      <c r="UUX21" s="64"/>
      <c r="UUY21" s="64"/>
      <c r="UUZ21" s="64"/>
      <c r="UVA21" s="64"/>
      <c r="UVB21" s="64"/>
      <c r="UVC21" s="64"/>
      <c r="UVD21" s="64"/>
      <c r="UVE21" s="64"/>
      <c r="UVF21" s="64"/>
      <c r="UVG21" s="64"/>
      <c r="UVH21" s="64"/>
      <c r="UVI21" s="64"/>
      <c r="UVJ21" s="64"/>
      <c r="UVK21" s="64"/>
      <c r="UVL21" s="64"/>
      <c r="UVM21" s="64"/>
      <c r="UVN21" s="64"/>
      <c r="UVO21" s="64"/>
      <c r="UVP21" s="64"/>
      <c r="UVQ21" s="64"/>
      <c r="UVR21" s="64"/>
      <c r="UVS21" s="64"/>
      <c r="UVT21" s="64"/>
      <c r="UVU21" s="64"/>
      <c r="UVV21" s="64"/>
      <c r="UVW21" s="64"/>
      <c r="UVX21" s="64"/>
      <c r="UVY21" s="64"/>
      <c r="UVZ21" s="64"/>
      <c r="UWA21" s="64"/>
      <c r="UWB21" s="64"/>
      <c r="UWC21" s="64"/>
      <c r="UWD21" s="64"/>
      <c r="UWE21" s="64"/>
      <c r="UWF21" s="64"/>
      <c r="UWG21" s="64"/>
      <c r="UWH21" s="64"/>
      <c r="UWI21" s="64"/>
      <c r="UWJ21" s="64"/>
      <c r="UWK21" s="64"/>
      <c r="UWL21" s="64"/>
      <c r="UWM21" s="64"/>
      <c r="UWN21" s="64"/>
      <c r="UWO21" s="64"/>
      <c r="UWP21" s="64"/>
      <c r="UWQ21" s="64"/>
      <c r="UWR21" s="64"/>
      <c r="UWS21" s="64"/>
      <c r="UWT21" s="64"/>
      <c r="UWU21" s="64"/>
      <c r="UWV21" s="64"/>
      <c r="UWW21" s="64"/>
      <c r="UWX21" s="64"/>
      <c r="UWY21" s="64"/>
      <c r="UWZ21" s="64"/>
      <c r="UXA21" s="64"/>
      <c r="UXB21" s="64"/>
      <c r="UXC21" s="64"/>
      <c r="UXD21" s="64"/>
      <c r="UXE21" s="64"/>
      <c r="UXF21" s="64"/>
      <c r="UXG21" s="64"/>
      <c r="UXH21" s="64"/>
      <c r="UXI21" s="64"/>
      <c r="UXJ21" s="64"/>
      <c r="UXK21" s="64"/>
      <c r="UXL21" s="64"/>
      <c r="UXM21" s="64"/>
      <c r="UXN21" s="64"/>
      <c r="UXO21" s="64"/>
      <c r="UXP21" s="64"/>
      <c r="UXQ21" s="64"/>
      <c r="UXR21" s="64"/>
      <c r="UXS21" s="64"/>
      <c r="UXT21" s="64"/>
      <c r="UXU21" s="64"/>
      <c r="UXV21" s="64"/>
      <c r="UXW21" s="64"/>
      <c r="UXX21" s="64"/>
      <c r="UXY21" s="64"/>
      <c r="UXZ21" s="64"/>
      <c r="UYA21" s="64"/>
      <c r="UYB21" s="64"/>
      <c r="UYC21" s="64"/>
      <c r="UYD21" s="64"/>
      <c r="UYE21" s="64"/>
      <c r="UYF21" s="64"/>
      <c r="UYG21" s="64"/>
      <c r="UYH21" s="64"/>
      <c r="UYI21" s="64"/>
      <c r="UYJ21" s="64"/>
      <c r="UYK21" s="64"/>
      <c r="UYL21" s="64"/>
      <c r="UYM21" s="64"/>
      <c r="UYN21" s="64"/>
      <c r="UYO21" s="64"/>
      <c r="UYP21" s="64"/>
      <c r="UYQ21" s="64"/>
      <c r="UYR21" s="64"/>
      <c r="UYS21" s="64"/>
      <c r="UYT21" s="64"/>
      <c r="UYU21" s="64"/>
      <c r="UYV21" s="64"/>
      <c r="UYW21" s="64"/>
      <c r="UYX21" s="64"/>
      <c r="UYY21" s="64"/>
      <c r="UYZ21" s="64"/>
      <c r="UZA21" s="64"/>
      <c r="UZB21" s="64"/>
      <c r="UZC21" s="64"/>
      <c r="UZD21" s="64"/>
      <c r="UZE21" s="64"/>
      <c r="UZF21" s="64"/>
      <c r="UZG21" s="64"/>
      <c r="UZH21" s="64"/>
      <c r="UZI21" s="64"/>
      <c r="UZJ21" s="64"/>
      <c r="UZK21" s="64"/>
      <c r="UZL21" s="64"/>
      <c r="UZM21" s="64"/>
      <c r="UZN21" s="64"/>
      <c r="UZO21" s="64"/>
      <c r="UZP21" s="64"/>
      <c r="UZQ21" s="64"/>
      <c r="UZR21" s="64"/>
      <c r="UZS21" s="64"/>
      <c r="UZT21" s="64"/>
      <c r="UZU21" s="64"/>
      <c r="UZV21" s="64"/>
      <c r="UZW21" s="64"/>
      <c r="UZX21" s="64"/>
      <c r="UZY21" s="64"/>
      <c r="UZZ21" s="64"/>
      <c r="VAA21" s="64"/>
      <c r="VAB21" s="64"/>
      <c r="VAC21" s="64"/>
      <c r="VAD21" s="64"/>
      <c r="VAE21" s="64"/>
      <c r="VAF21" s="64"/>
      <c r="VAG21" s="64"/>
      <c r="VAH21" s="64"/>
      <c r="VAI21" s="64"/>
      <c r="VAJ21" s="64"/>
      <c r="VAK21" s="64"/>
      <c r="VAL21" s="64"/>
      <c r="VAM21" s="64"/>
      <c r="VAN21" s="64"/>
      <c r="VAO21" s="64"/>
      <c r="VAP21" s="64"/>
      <c r="VAQ21" s="64"/>
      <c r="VAR21" s="64"/>
      <c r="VAS21" s="64"/>
      <c r="VAT21" s="64"/>
      <c r="VAU21" s="64"/>
      <c r="VAV21" s="64"/>
      <c r="VAW21" s="64"/>
      <c r="VAX21" s="64"/>
      <c r="VAY21" s="64"/>
      <c r="VAZ21" s="64"/>
      <c r="VBA21" s="64"/>
      <c r="VBB21" s="64"/>
      <c r="VBC21" s="64"/>
      <c r="VBD21" s="64"/>
      <c r="VBE21" s="64"/>
      <c r="VBF21" s="64"/>
      <c r="VBG21" s="64"/>
      <c r="VBH21" s="64"/>
      <c r="VBI21" s="64"/>
      <c r="VBJ21" s="64"/>
      <c r="VBK21" s="64"/>
      <c r="VBL21" s="64"/>
      <c r="VBM21" s="64"/>
      <c r="VBN21" s="64"/>
      <c r="VBO21" s="64"/>
      <c r="VBP21" s="64"/>
      <c r="VBQ21" s="64"/>
      <c r="VBR21" s="64"/>
      <c r="VBS21" s="64"/>
      <c r="VBT21" s="64"/>
      <c r="VBU21" s="64"/>
      <c r="VBV21" s="64"/>
      <c r="VBW21" s="64"/>
      <c r="VBX21" s="64"/>
      <c r="VBY21" s="64"/>
      <c r="VBZ21" s="64"/>
      <c r="VCA21" s="64"/>
      <c r="VCB21" s="64"/>
      <c r="VCC21" s="64"/>
      <c r="VCD21" s="64"/>
      <c r="VCE21" s="64"/>
      <c r="VCF21" s="64"/>
      <c r="VCG21" s="64"/>
      <c r="VCH21" s="64"/>
      <c r="VCI21" s="64"/>
      <c r="VCJ21" s="64"/>
      <c r="VCK21" s="64"/>
      <c r="VCL21" s="64"/>
      <c r="VCM21" s="64"/>
      <c r="VCN21" s="64"/>
      <c r="VCO21" s="64"/>
      <c r="VCP21" s="64"/>
      <c r="VCQ21" s="64"/>
      <c r="VCR21" s="64"/>
      <c r="VCS21" s="64"/>
      <c r="VCT21" s="64"/>
      <c r="VCU21" s="64"/>
      <c r="VCV21" s="64"/>
      <c r="VCW21" s="64"/>
      <c r="VCX21" s="64"/>
      <c r="VCY21" s="64"/>
      <c r="VCZ21" s="64"/>
      <c r="VDA21" s="64"/>
      <c r="VDB21" s="64"/>
      <c r="VDC21" s="64"/>
      <c r="VDD21" s="64"/>
      <c r="VDE21" s="64"/>
      <c r="VDF21" s="64"/>
      <c r="VDG21" s="64"/>
      <c r="VDH21" s="64"/>
      <c r="VDI21" s="64"/>
      <c r="VDJ21" s="64"/>
      <c r="VDK21" s="64"/>
      <c r="VDL21" s="64"/>
      <c r="VDM21" s="64"/>
      <c r="VDN21" s="64"/>
      <c r="VDO21" s="64"/>
      <c r="VDP21" s="64"/>
      <c r="VDQ21" s="64"/>
      <c r="VDR21" s="64"/>
      <c r="VDS21" s="64"/>
      <c r="VDT21" s="64"/>
      <c r="VDU21" s="64"/>
      <c r="VDV21" s="64"/>
      <c r="VDW21" s="64"/>
      <c r="VDX21" s="64"/>
      <c r="VDY21" s="64"/>
      <c r="VDZ21" s="64"/>
      <c r="VEA21" s="64"/>
      <c r="VEB21" s="64"/>
      <c r="VEC21" s="64"/>
      <c r="VED21" s="64"/>
      <c r="VEE21" s="64"/>
      <c r="VEF21" s="64"/>
      <c r="VEG21" s="64"/>
      <c r="VEH21" s="64"/>
      <c r="VEI21" s="64"/>
      <c r="VEJ21" s="64"/>
      <c r="VEK21" s="64"/>
      <c r="VEL21" s="64"/>
      <c r="VEM21" s="64"/>
      <c r="VEN21" s="64"/>
      <c r="VEO21" s="64"/>
      <c r="VEP21" s="64"/>
      <c r="VEQ21" s="64"/>
      <c r="VER21" s="64"/>
      <c r="VES21" s="64"/>
      <c r="VET21" s="64"/>
      <c r="VEU21" s="64"/>
      <c r="VEV21" s="64"/>
      <c r="VEW21" s="64"/>
      <c r="VEX21" s="64"/>
      <c r="VEY21" s="64"/>
      <c r="VEZ21" s="64"/>
      <c r="VFA21" s="64"/>
      <c r="VFB21" s="64"/>
      <c r="VFC21" s="64"/>
      <c r="VFD21" s="64"/>
      <c r="VFE21" s="64"/>
      <c r="VFF21" s="64"/>
      <c r="VFG21" s="64"/>
      <c r="VFH21" s="64"/>
      <c r="VFI21" s="64"/>
      <c r="VFJ21" s="64"/>
      <c r="VFK21" s="64"/>
      <c r="VFL21" s="64"/>
      <c r="VFM21" s="64"/>
      <c r="VFN21" s="64"/>
      <c r="VFO21" s="64"/>
      <c r="VFP21" s="64"/>
      <c r="VFQ21" s="64"/>
      <c r="VFR21" s="64"/>
      <c r="VFS21" s="64"/>
      <c r="VFT21" s="64"/>
      <c r="VFU21" s="64"/>
      <c r="VFV21" s="64"/>
      <c r="VFW21" s="64"/>
      <c r="VFX21" s="64"/>
      <c r="VFY21" s="64"/>
      <c r="VFZ21" s="64"/>
      <c r="VGA21" s="64"/>
      <c r="VGB21" s="64"/>
      <c r="VGC21" s="64"/>
      <c r="VGD21" s="64"/>
      <c r="VGE21" s="64"/>
      <c r="VGF21" s="64"/>
      <c r="VGG21" s="64"/>
      <c r="VGH21" s="64"/>
      <c r="VGI21" s="64"/>
      <c r="VGJ21" s="64"/>
      <c r="VGK21" s="64"/>
      <c r="VGL21" s="64"/>
      <c r="VGM21" s="64"/>
      <c r="VGN21" s="64"/>
      <c r="VGO21" s="64"/>
      <c r="VGP21" s="64"/>
      <c r="VGQ21" s="64"/>
      <c r="VGR21" s="64"/>
      <c r="VGS21" s="64"/>
      <c r="VGT21" s="64"/>
      <c r="VGU21" s="64"/>
      <c r="VGV21" s="64"/>
      <c r="VGW21" s="64"/>
      <c r="VGX21" s="64"/>
      <c r="VGY21" s="64"/>
      <c r="VGZ21" s="64"/>
      <c r="VHA21" s="64"/>
      <c r="VHB21" s="64"/>
      <c r="VHC21" s="64"/>
      <c r="VHD21" s="64"/>
      <c r="VHE21" s="64"/>
      <c r="VHF21" s="64"/>
      <c r="VHG21" s="64"/>
      <c r="VHH21" s="64"/>
      <c r="VHI21" s="64"/>
      <c r="VHJ21" s="64"/>
      <c r="VHK21" s="64"/>
      <c r="VHL21" s="64"/>
      <c r="VHM21" s="64"/>
      <c r="VHN21" s="64"/>
      <c r="VHO21" s="64"/>
      <c r="VHP21" s="64"/>
      <c r="VHQ21" s="64"/>
      <c r="VHR21" s="64"/>
      <c r="VHS21" s="64"/>
      <c r="VHT21" s="64"/>
      <c r="VHU21" s="64"/>
      <c r="VHV21" s="64"/>
      <c r="VHW21" s="64"/>
      <c r="VHX21" s="64"/>
      <c r="VHY21" s="64"/>
      <c r="VHZ21" s="64"/>
      <c r="VIA21" s="64"/>
      <c r="VIB21" s="64"/>
      <c r="VIC21" s="64"/>
      <c r="VID21" s="64"/>
      <c r="VIE21" s="64"/>
      <c r="VIF21" s="64"/>
      <c r="VIG21" s="64"/>
      <c r="VIH21" s="64"/>
      <c r="VII21" s="64"/>
      <c r="VIJ21" s="64"/>
      <c r="VIK21" s="64"/>
      <c r="VIL21" s="64"/>
      <c r="VIM21" s="64"/>
      <c r="VIN21" s="64"/>
      <c r="VIO21" s="64"/>
      <c r="VIP21" s="64"/>
      <c r="VIQ21" s="64"/>
      <c r="VIR21" s="64"/>
      <c r="VIS21" s="64"/>
      <c r="VIT21" s="64"/>
      <c r="VIU21" s="64"/>
      <c r="VIV21" s="64"/>
      <c r="VIW21" s="64"/>
      <c r="VIX21" s="64"/>
      <c r="VIY21" s="64"/>
      <c r="VIZ21" s="64"/>
      <c r="VJA21" s="64"/>
      <c r="VJB21" s="64"/>
      <c r="VJC21" s="64"/>
      <c r="VJD21" s="64"/>
      <c r="VJE21" s="64"/>
      <c r="VJF21" s="64"/>
      <c r="VJG21" s="64"/>
      <c r="VJH21" s="64"/>
      <c r="VJI21" s="64"/>
      <c r="VJJ21" s="64"/>
      <c r="VJK21" s="64"/>
      <c r="VJL21" s="64"/>
      <c r="VJM21" s="64"/>
      <c r="VJN21" s="64"/>
      <c r="VJO21" s="64"/>
      <c r="VJP21" s="64"/>
      <c r="VJQ21" s="64"/>
      <c r="VJR21" s="64"/>
      <c r="VJS21" s="64"/>
      <c r="VJT21" s="64"/>
      <c r="VJU21" s="64"/>
      <c r="VJV21" s="64"/>
      <c r="VJW21" s="64"/>
      <c r="VJX21" s="64"/>
      <c r="VJY21" s="64"/>
      <c r="VJZ21" s="64"/>
      <c r="VKA21" s="64"/>
      <c r="VKB21" s="64"/>
      <c r="VKC21" s="64"/>
      <c r="VKD21" s="64"/>
      <c r="VKE21" s="64"/>
      <c r="VKF21" s="64"/>
      <c r="VKG21" s="64"/>
      <c r="VKH21" s="64"/>
      <c r="VKI21" s="64"/>
      <c r="VKJ21" s="64"/>
      <c r="VKK21" s="64"/>
      <c r="VKL21" s="64"/>
      <c r="VKM21" s="64"/>
      <c r="VKN21" s="64"/>
      <c r="VKO21" s="64"/>
      <c r="VKP21" s="64"/>
      <c r="VKQ21" s="64"/>
      <c r="VKR21" s="64"/>
      <c r="VKS21" s="64"/>
      <c r="VKT21" s="64"/>
      <c r="VKU21" s="64"/>
      <c r="VKV21" s="64"/>
      <c r="VKW21" s="64"/>
      <c r="VKX21" s="64"/>
      <c r="VKY21" s="64"/>
      <c r="VKZ21" s="64"/>
      <c r="VLA21" s="64"/>
      <c r="VLB21" s="64"/>
      <c r="VLC21" s="64"/>
      <c r="VLD21" s="64"/>
      <c r="VLE21" s="64"/>
      <c r="VLF21" s="64"/>
      <c r="VLG21" s="64"/>
      <c r="VLH21" s="64"/>
      <c r="VLI21" s="64"/>
      <c r="VLJ21" s="64"/>
      <c r="VLK21" s="64"/>
      <c r="VLL21" s="64"/>
      <c r="VLM21" s="64"/>
      <c r="VLN21" s="64"/>
      <c r="VLO21" s="64"/>
      <c r="VLP21" s="64"/>
      <c r="VLQ21" s="64"/>
      <c r="VLR21" s="64"/>
      <c r="VLS21" s="64"/>
      <c r="VLT21" s="64"/>
      <c r="VLU21" s="64"/>
      <c r="VLV21" s="64"/>
      <c r="VLW21" s="64"/>
      <c r="VLX21" s="64"/>
      <c r="VLY21" s="64"/>
      <c r="VLZ21" s="64"/>
      <c r="VMA21" s="64"/>
      <c r="VMB21" s="64"/>
      <c r="VMC21" s="64"/>
      <c r="VMD21" s="64"/>
      <c r="VME21" s="64"/>
      <c r="VMF21" s="64"/>
      <c r="VMG21" s="64"/>
      <c r="VMH21" s="64"/>
      <c r="VMI21" s="64"/>
      <c r="VMJ21" s="64"/>
      <c r="VMK21" s="64"/>
      <c r="VML21" s="64"/>
      <c r="VMM21" s="64"/>
      <c r="VMN21" s="64"/>
      <c r="VMO21" s="64"/>
      <c r="VMP21" s="64"/>
      <c r="VMQ21" s="64"/>
      <c r="VMR21" s="64"/>
      <c r="VMS21" s="64"/>
      <c r="VMT21" s="64"/>
      <c r="VMU21" s="64"/>
      <c r="VMV21" s="64"/>
      <c r="VMW21" s="64"/>
      <c r="VMX21" s="64"/>
      <c r="VMY21" s="64"/>
      <c r="VMZ21" s="64"/>
      <c r="VNA21" s="64"/>
      <c r="VNB21" s="64"/>
      <c r="VNC21" s="64"/>
      <c r="VND21" s="64"/>
      <c r="VNE21" s="64"/>
      <c r="VNF21" s="64"/>
      <c r="VNG21" s="64"/>
      <c r="VNH21" s="64"/>
      <c r="VNI21" s="64"/>
      <c r="VNJ21" s="64"/>
      <c r="VNK21" s="64"/>
      <c r="VNL21" s="64"/>
      <c r="VNM21" s="64"/>
      <c r="VNN21" s="64"/>
      <c r="VNO21" s="64"/>
      <c r="VNP21" s="64"/>
      <c r="VNQ21" s="64"/>
      <c r="VNR21" s="64"/>
      <c r="VNS21" s="64"/>
      <c r="VNT21" s="64"/>
      <c r="VNU21" s="64"/>
      <c r="VNV21" s="64"/>
      <c r="VNW21" s="64"/>
      <c r="VNX21" s="64"/>
      <c r="VNY21" s="64"/>
      <c r="VNZ21" s="64"/>
      <c r="VOA21" s="64"/>
      <c r="VOB21" s="64"/>
      <c r="VOC21" s="64"/>
      <c r="VOD21" s="64"/>
      <c r="VOE21" s="64"/>
      <c r="VOF21" s="64"/>
      <c r="VOG21" s="64"/>
      <c r="VOH21" s="64"/>
      <c r="VOI21" s="64"/>
      <c r="VOJ21" s="64"/>
      <c r="VOK21" s="64"/>
      <c r="VOL21" s="64"/>
      <c r="VOM21" s="64"/>
      <c r="VON21" s="64"/>
      <c r="VOO21" s="64"/>
      <c r="VOP21" s="64"/>
      <c r="VOQ21" s="64"/>
      <c r="VOR21" s="64"/>
      <c r="VOS21" s="64"/>
      <c r="VOT21" s="64"/>
      <c r="VOU21" s="64"/>
      <c r="VOV21" s="64"/>
      <c r="VOW21" s="64"/>
      <c r="VOX21" s="64"/>
      <c r="VOY21" s="64"/>
      <c r="VOZ21" s="64"/>
      <c r="VPA21" s="64"/>
      <c r="VPB21" s="64"/>
      <c r="VPC21" s="64"/>
      <c r="VPD21" s="64"/>
      <c r="VPE21" s="64"/>
      <c r="VPF21" s="64"/>
      <c r="VPG21" s="64"/>
      <c r="VPH21" s="64"/>
      <c r="VPI21" s="64"/>
      <c r="VPJ21" s="64"/>
      <c r="VPK21" s="64"/>
      <c r="VPL21" s="64"/>
      <c r="VPM21" s="64"/>
      <c r="VPN21" s="64"/>
      <c r="VPO21" s="64"/>
      <c r="VPP21" s="64"/>
      <c r="VPQ21" s="64"/>
      <c r="VPR21" s="64"/>
      <c r="VPS21" s="64"/>
      <c r="VPT21" s="64"/>
      <c r="VPU21" s="64"/>
      <c r="VPV21" s="64"/>
      <c r="VPW21" s="64"/>
      <c r="VPX21" s="64"/>
      <c r="VPY21" s="64"/>
      <c r="VPZ21" s="64"/>
      <c r="VQA21" s="64"/>
      <c r="VQB21" s="64"/>
      <c r="VQC21" s="64"/>
      <c r="VQD21" s="64"/>
      <c r="VQE21" s="64"/>
      <c r="VQF21" s="64"/>
      <c r="VQG21" s="64"/>
      <c r="VQH21" s="64"/>
      <c r="VQI21" s="64"/>
      <c r="VQJ21" s="64"/>
      <c r="VQK21" s="64"/>
      <c r="VQL21" s="64"/>
      <c r="VQM21" s="64"/>
      <c r="VQN21" s="64"/>
      <c r="VQO21" s="64"/>
      <c r="VQP21" s="64"/>
      <c r="VQQ21" s="64"/>
      <c r="VQR21" s="64"/>
      <c r="VQS21" s="64"/>
      <c r="VQT21" s="64"/>
      <c r="VQU21" s="64"/>
      <c r="VQV21" s="64"/>
      <c r="VQW21" s="64"/>
      <c r="VQX21" s="64"/>
      <c r="VQY21" s="64"/>
      <c r="VQZ21" s="64"/>
      <c r="VRA21" s="64"/>
      <c r="VRB21" s="64"/>
      <c r="VRC21" s="64"/>
      <c r="VRD21" s="64"/>
      <c r="VRE21" s="64"/>
      <c r="VRF21" s="64"/>
      <c r="VRG21" s="64"/>
      <c r="VRH21" s="64"/>
      <c r="VRI21" s="64"/>
      <c r="VRJ21" s="64"/>
      <c r="VRK21" s="64"/>
      <c r="VRL21" s="64"/>
      <c r="VRM21" s="64"/>
      <c r="VRN21" s="64"/>
      <c r="VRO21" s="64"/>
      <c r="VRP21" s="64"/>
      <c r="VRQ21" s="64"/>
      <c r="VRR21" s="64"/>
      <c r="VRS21" s="64"/>
      <c r="VRT21" s="64"/>
      <c r="VRU21" s="64"/>
      <c r="VRV21" s="64"/>
      <c r="VRW21" s="64"/>
      <c r="VRX21" s="64"/>
      <c r="VRY21" s="64"/>
      <c r="VRZ21" s="64"/>
      <c r="VSA21" s="64"/>
      <c r="VSB21" s="64"/>
      <c r="VSC21" s="64"/>
      <c r="VSD21" s="64"/>
      <c r="VSE21" s="64"/>
      <c r="VSF21" s="64"/>
      <c r="VSG21" s="64"/>
      <c r="VSH21" s="64"/>
      <c r="VSI21" s="64"/>
      <c r="VSJ21" s="64"/>
      <c r="VSK21" s="64"/>
      <c r="VSL21" s="64"/>
      <c r="VSM21" s="64"/>
      <c r="VSN21" s="64"/>
      <c r="VSO21" s="64"/>
      <c r="VSP21" s="64"/>
      <c r="VSQ21" s="64"/>
      <c r="VSR21" s="64"/>
      <c r="VSS21" s="64"/>
      <c r="VST21" s="64"/>
      <c r="VSU21" s="64"/>
      <c r="VSV21" s="64"/>
      <c r="VSW21" s="64"/>
      <c r="VSX21" s="64"/>
      <c r="VSY21" s="64"/>
      <c r="VSZ21" s="64"/>
      <c r="VTA21" s="64"/>
      <c r="VTB21" s="64"/>
      <c r="VTC21" s="64"/>
      <c r="VTD21" s="64"/>
      <c r="VTE21" s="64"/>
      <c r="VTF21" s="64"/>
      <c r="VTG21" s="64"/>
      <c r="VTH21" s="64"/>
      <c r="VTI21" s="64"/>
      <c r="VTJ21" s="64"/>
      <c r="VTK21" s="64"/>
      <c r="VTL21" s="64"/>
      <c r="VTM21" s="64"/>
      <c r="VTN21" s="64"/>
      <c r="VTO21" s="64"/>
      <c r="VTP21" s="64"/>
      <c r="VTQ21" s="64"/>
      <c r="VTR21" s="64"/>
      <c r="VTS21" s="64"/>
      <c r="VTT21" s="64"/>
      <c r="VTU21" s="64"/>
      <c r="VTV21" s="64"/>
      <c r="VTW21" s="64"/>
      <c r="VTX21" s="64"/>
      <c r="VTY21" s="64"/>
      <c r="VTZ21" s="64"/>
      <c r="VUA21" s="64"/>
      <c r="VUB21" s="64"/>
      <c r="VUC21" s="64"/>
      <c r="VUD21" s="64"/>
      <c r="VUE21" s="64"/>
      <c r="VUF21" s="64"/>
      <c r="VUG21" s="64"/>
      <c r="VUH21" s="64"/>
      <c r="VUI21" s="64"/>
      <c r="VUJ21" s="64"/>
      <c r="VUK21" s="64"/>
      <c r="VUL21" s="64"/>
      <c r="VUM21" s="64"/>
      <c r="VUN21" s="64"/>
      <c r="VUO21" s="64"/>
      <c r="VUP21" s="64"/>
      <c r="VUQ21" s="64"/>
      <c r="VUR21" s="64"/>
      <c r="VUS21" s="64"/>
      <c r="VUT21" s="64"/>
      <c r="VUU21" s="64"/>
      <c r="VUV21" s="64"/>
      <c r="VUW21" s="64"/>
      <c r="VUX21" s="64"/>
      <c r="VUY21" s="64"/>
      <c r="VUZ21" s="64"/>
      <c r="VVA21" s="64"/>
      <c r="VVB21" s="64"/>
      <c r="VVC21" s="64"/>
      <c r="VVD21" s="64"/>
      <c r="VVE21" s="64"/>
      <c r="VVF21" s="64"/>
      <c r="VVG21" s="64"/>
      <c r="VVH21" s="64"/>
      <c r="VVI21" s="64"/>
      <c r="VVJ21" s="64"/>
      <c r="VVK21" s="64"/>
      <c r="VVL21" s="64"/>
      <c r="VVM21" s="64"/>
      <c r="VVN21" s="64"/>
      <c r="VVO21" s="64"/>
      <c r="VVP21" s="64"/>
      <c r="VVQ21" s="64"/>
      <c r="VVR21" s="64"/>
      <c r="VVS21" s="64"/>
      <c r="VVT21" s="64"/>
      <c r="VVU21" s="64"/>
      <c r="VVV21" s="64"/>
      <c r="VVW21" s="64"/>
      <c r="VVX21" s="64"/>
      <c r="VVY21" s="64"/>
      <c r="VVZ21" s="64"/>
      <c r="VWA21" s="64"/>
      <c r="VWB21" s="64"/>
      <c r="VWC21" s="64"/>
      <c r="VWD21" s="64"/>
      <c r="VWE21" s="64"/>
      <c r="VWF21" s="64"/>
      <c r="VWG21" s="64"/>
      <c r="VWH21" s="64"/>
      <c r="VWI21" s="64"/>
      <c r="VWJ21" s="64"/>
      <c r="VWK21" s="64"/>
      <c r="VWL21" s="64"/>
      <c r="VWM21" s="64"/>
      <c r="VWN21" s="64"/>
      <c r="VWO21" s="64"/>
      <c r="VWP21" s="64"/>
      <c r="VWQ21" s="64"/>
      <c r="VWR21" s="64"/>
      <c r="VWS21" s="64"/>
      <c r="VWT21" s="64"/>
      <c r="VWU21" s="64"/>
      <c r="VWV21" s="64"/>
      <c r="VWW21" s="64"/>
      <c r="VWX21" s="64"/>
      <c r="VWY21" s="64"/>
      <c r="VWZ21" s="64"/>
      <c r="VXA21" s="64"/>
      <c r="VXB21" s="64"/>
      <c r="VXC21" s="64"/>
      <c r="VXD21" s="64"/>
      <c r="VXE21" s="64"/>
      <c r="VXF21" s="64"/>
      <c r="VXG21" s="64"/>
      <c r="VXH21" s="64"/>
      <c r="VXI21" s="64"/>
      <c r="VXJ21" s="64"/>
      <c r="VXK21" s="64"/>
      <c r="VXL21" s="64"/>
      <c r="VXM21" s="64"/>
      <c r="VXN21" s="64"/>
      <c r="VXO21" s="64"/>
      <c r="VXP21" s="64"/>
      <c r="VXQ21" s="64"/>
      <c r="VXR21" s="64"/>
      <c r="VXS21" s="64"/>
      <c r="VXT21" s="64"/>
      <c r="VXU21" s="64"/>
      <c r="VXV21" s="64"/>
      <c r="VXW21" s="64"/>
      <c r="VXX21" s="64"/>
      <c r="VXY21" s="64"/>
      <c r="VXZ21" s="64"/>
      <c r="VYA21" s="64"/>
      <c r="VYB21" s="64"/>
      <c r="VYC21" s="64"/>
      <c r="VYD21" s="64"/>
      <c r="VYE21" s="64"/>
      <c r="VYF21" s="64"/>
      <c r="VYG21" s="64"/>
      <c r="VYH21" s="64"/>
      <c r="VYI21" s="64"/>
      <c r="VYJ21" s="64"/>
      <c r="VYK21" s="64"/>
      <c r="VYL21" s="64"/>
      <c r="VYM21" s="64"/>
      <c r="VYN21" s="64"/>
      <c r="VYO21" s="64"/>
      <c r="VYP21" s="64"/>
      <c r="VYQ21" s="64"/>
      <c r="VYR21" s="64"/>
      <c r="VYS21" s="64"/>
      <c r="VYT21" s="64"/>
      <c r="VYU21" s="64"/>
      <c r="VYV21" s="64"/>
      <c r="VYW21" s="64"/>
      <c r="VYX21" s="64"/>
      <c r="VYY21" s="64"/>
      <c r="VYZ21" s="64"/>
      <c r="VZA21" s="64"/>
      <c r="VZB21" s="64"/>
      <c r="VZC21" s="64"/>
      <c r="VZD21" s="64"/>
      <c r="VZE21" s="64"/>
      <c r="VZF21" s="64"/>
      <c r="VZG21" s="64"/>
      <c r="VZH21" s="64"/>
      <c r="VZI21" s="64"/>
      <c r="VZJ21" s="64"/>
      <c r="VZK21" s="64"/>
      <c r="VZL21" s="64"/>
      <c r="VZM21" s="64"/>
      <c r="VZN21" s="64"/>
      <c r="VZO21" s="64"/>
      <c r="VZP21" s="64"/>
      <c r="VZQ21" s="64"/>
      <c r="VZR21" s="64"/>
      <c r="VZS21" s="64"/>
      <c r="VZT21" s="64"/>
      <c r="VZU21" s="64"/>
      <c r="VZV21" s="64"/>
      <c r="VZW21" s="64"/>
      <c r="VZX21" s="64"/>
      <c r="VZY21" s="64"/>
      <c r="VZZ21" s="64"/>
      <c r="WAA21" s="64"/>
      <c r="WAB21" s="64"/>
      <c r="WAC21" s="64"/>
      <c r="WAD21" s="64"/>
      <c r="WAE21" s="64"/>
      <c r="WAF21" s="64"/>
      <c r="WAG21" s="64"/>
      <c r="WAH21" s="64"/>
      <c r="WAI21" s="64"/>
      <c r="WAJ21" s="64"/>
      <c r="WAK21" s="64"/>
      <c r="WAL21" s="64"/>
      <c r="WAM21" s="64"/>
      <c r="WAN21" s="64"/>
      <c r="WAO21" s="64"/>
      <c r="WAP21" s="64"/>
      <c r="WAQ21" s="64"/>
      <c r="WAR21" s="64"/>
      <c r="WAS21" s="64"/>
      <c r="WAT21" s="64"/>
      <c r="WAU21" s="64"/>
      <c r="WAV21" s="64"/>
      <c r="WAW21" s="64"/>
      <c r="WAX21" s="64"/>
      <c r="WAY21" s="64"/>
      <c r="WAZ21" s="64"/>
      <c r="WBA21" s="64"/>
      <c r="WBB21" s="64"/>
      <c r="WBC21" s="64"/>
      <c r="WBD21" s="64"/>
      <c r="WBE21" s="64"/>
      <c r="WBF21" s="64"/>
      <c r="WBG21" s="64"/>
      <c r="WBH21" s="64"/>
      <c r="WBI21" s="64"/>
      <c r="WBJ21" s="64"/>
      <c r="WBK21" s="64"/>
      <c r="WBL21" s="64"/>
      <c r="WBM21" s="64"/>
      <c r="WBN21" s="64"/>
      <c r="WBO21" s="64"/>
      <c r="WBP21" s="64"/>
      <c r="WBQ21" s="64"/>
      <c r="WBR21" s="64"/>
      <c r="WBS21" s="64"/>
      <c r="WBT21" s="64"/>
      <c r="WBU21" s="64"/>
      <c r="WBV21" s="64"/>
      <c r="WBW21" s="64"/>
      <c r="WBX21" s="64"/>
      <c r="WBY21" s="64"/>
      <c r="WBZ21" s="64"/>
      <c r="WCA21" s="64"/>
      <c r="WCB21" s="64"/>
      <c r="WCC21" s="64"/>
      <c r="WCD21" s="64"/>
      <c r="WCE21" s="64"/>
      <c r="WCF21" s="64"/>
      <c r="WCG21" s="64"/>
      <c r="WCH21" s="64"/>
      <c r="WCI21" s="64"/>
      <c r="WCJ21" s="64"/>
      <c r="WCK21" s="64"/>
      <c r="WCL21" s="64"/>
      <c r="WCM21" s="64"/>
      <c r="WCN21" s="64"/>
      <c r="WCO21" s="64"/>
      <c r="WCP21" s="64"/>
      <c r="WCQ21" s="64"/>
      <c r="WCR21" s="64"/>
      <c r="WCS21" s="64"/>
      <c r="WCT21" s="64"/>
      <c r="WCU21" s="64"/>
      <c r="WCV21" s="64"/>
      <c r="WCW21" s="64"/>
      <c r="WCX21" s="64"/>
      <c r="WCY21" s="64"/>
      <c r="WCZ21" s="64"/>
      <c r="WDA21" s="64"/>
      <c r="WDB21" s="64"/>
      <c r="WDC21" s="64"/>
      <c r="WDD21" s="64"/>
      <c r="WDE21" s="64"/>
      <c r="WDF21" s="64"/>
      <c r="WDG21" s="64"/>
      <c r="WDH21" s="64"/>
      <c r="WDI21" s="64"/>
      <c r="WDJ21" s="64"/>
      <c r="WDK21" s="64"/>
      <c r="WDL21" s="64"/>
      <c r="WDM21" s="64"/>
      <c r="WDN21" s="64"/>
      <c r="WDO21" s="64"/>
      <c r="WDP21" s="64"/>
      <c r="WDQ21" s="64"/>
      <c r="WDR21" s="64"/>
      <c r="WDS21" s="64"/>
      <c r="WDT21" s="64"/>
      <c r="WDU21" s="64"/>
      <c r="WDV21" s="64"/>
      <c r="WDW21" s="64"/>
      <c r="WDX21" s="64"/>
      <c r="WDY21" s="64"/>
      <c r="WDZ21" s="64"/>
      <c r="WEA21" s="64"/>
      <c r="WEB21" s="64"/>
      <c r="WEC21" s="64"/>
      <c r="WED21" s="64"/>
      <c r="WEE21" s="64"/>
      <c r="WEF21" s="64"/>
      <c r="WEG21" s="64"/>
      <c r="WEH21" s="64"/>
      <c r="WEI21" s="64"/>
      <c r="WEJ21" s="64"/>
      <c r="WEK21" s="64"/>
      <c r="WEL21" s="64"/>
      <c r="WEM21" s="64"/>
      <c r="WEN21" s="64"/>
      <c r="WEO21" s="64"/>
      <c r="WEP21" s="64"/>
      <c r="WEQ21" s="64"/>
      <c r="WER21" s="64"/>
      <c r="WES21" s="64"/>
      <c r="WET21" s="64"/>
      <c r="WEU21" s="64"/>
      <c r="WEV21" s="64"/>
      <c r="WEW21" s="64"/>
      <c r="WEX21" s="64"/>
      <c r="WEY21" s="64"/>
      <c r="WEZ21" s="64"/>
      <c r="WFA21" s="64"/>
      <c r="WFB21" s="64"/>
      <c r="WFC21" s="64"/>
      <c r="WFD21" s="64"/>
      <c r="WFE21" s="64"/>
      <c r="WFF21" s="64"/>
      <c r="WFG21" s="64"/>
      <c r="WFH21" s="64"/>
      <c r="WFI21" s="64"/>
      <c r="WFJ21" s="64"/>
      <c r="WFK21" s="64"/>
      <c r="WFL21" s="64"/>
      <c r="WFM21" s="64"/>
      <c r="WFN21" s="64"/>
      <c r="WFO21" s="64"/>
      <c r="WFP21" s="64"/>
      <c r="WFQ21" s="64"/>
      <c r="WFR21" s="64"/>
      <c r="WFS21" s="64"/>
      <c r="WFT21" s="64"/>
      <c r="WFU21" s="64"/>
      <c r="WFV21" s="64"/>
      <c r="WFW21" s="64"/>
      <c r="WFX21" s="64"/>
      <c r="WFY21" s="64"/>
      <c r="WFZ21" s="64"/>
      <c r="WGA21" s="64"/>
      <c r="WGB21" s="64"/>
      <c r="WGC21" s="64"/>
      <c r="WGD21" s="64"/>
      <c r="WGE21" s="64"/>
      <c r="WGF21" s="64"/>
      <c r="WGG21" s="64"/>
      <c r="WGH21" s="64"/>
      <c r="WGI21" s="64"/>
      <c r="WGJ21" s="64"/>
      <c r="WGK21" s="64"/>
      <c r="WGL21" s="64"/>
      <c r="WGM21" s="64"/>
      <c r="WGN21" s="64"/>
      <c r="WGO21" s="64"/>
      <c r="WGP21" s="64"/>
      <c r="WGQ21" s="64"/>
      <c r="WGR21" s="64"/>
      <c r="WGS21" s="64"/>
      <c r="WGT21" s="64"/>
      <c r="WGU21" s="64"/>
      <c r="WGV21" s="64"/>
      <c r="WGW21" s="64"/>
      <c r="WGX21" s="64"/>
      <c r="WGY21" s="64"/>
      <c r="WGZ21" s="64"/>
      <c r="WHA21" s="64"/>
      <c r="WHB21" s="64"/>
      <c r="WHC21" s="64"/>
      <c r="WHD21" s="64"/>
      <c r="WHE21" s="64"/>
      <c r="WHF21" s="64"/>
      <c r="WHG21" s="64"/>
      <c r="WHH21" s="64"/>
      <c r="WHI21" s="64"/>
      <c r="WHJ21" s="64"/>
      <c r="WHK21" s="64"/>
      <c r="WHL21" s="64"/>
      <c r="WHM21" s="64"/>
      <c r="WHN21" s="64"/>
      <c r="WHO21" s="64"/>
      <c r="WHP21" s="64"/>
      <c r="WHQ21" s="64"/>
      <c r="WHR21" s="64"/>
      <c r="WHS21" s="64"/>
      <c r="WHT21" s="64"/>
      <c r="WHU21" s="64"/>
      <c r="WHV21" s="64"/>
      <c r="WHW21" s="64"/>
      <c r="WHX21" s="64"/>
      <c r="WHY21" s="64"/>
      <c r="WHZ21" s="64"/>
      <c r="WIA21" s="64"/>
      <c r="WIB21" s="64"/>
      <c r="WIC21" s="64"/>
      <c r="WID21" s="64"/>
      <c r="WIE21" s="64"/>
      <c r="WIF21" s="64"/>
      <c r="WIG21" s="64"/>
      <c r="WIH21" s="64"/>
      <c r="WII21" s="64"/>
      <c r="WIJ21" s="64"/>
      <c r="WIK21" s="64"/>
      <c r="WIL21" s="64"/>
      <c r="WIM21" s="64"/>
      <c r="WIN21" s="64"/>
      <c r="WIO21" s="64"/>
      <c r="WIP21" s="64"/>
      <c r="WIQ21" s="64"/>
      <c r="WIR21" s="64"/>
      <c r="WIS21" s="64"/>
      <c r="WIT21" s="64"/>
      <c r="WIU21" s="64"/>
      <c r="WIV21" s="64"/>
      <c r="WIW21" s="64"/>
      <c r="WIX21" s="64"/>
      <c r="WIY21" s="64"/>
      <c r="WIZ21" s="64"/>
      <c r="WJA21" s="64"/>
      <c r="WJB21" s="64"/>
      <c r="WJC21" s="64"/>
      <c r="WJD21" s="64"/>
      <c r="WJE21" s="64"/>
      <c r="WJF21" s="64"/>
      <c r="WJG21" s="64"/>
      <c r="WJH21" s="64"/>
      <c r="WJI21" s="64"/>
      <c r="WJJ21" s="64"/>
      <c r="WJK21" s="64"/>
      <c r="WJL21" s="64"/>
      <c r="WJM21" s="64"/>
      <c r="WJN21" s="64"/>
      <c r="WJO21" s="64"/>
      <c r="WJP21" s="64"/>
      <c r="WJQ21" s="64"/>
      <c r="WJR21" s="64"/>
      <c r="WJS21" s="64"/>
      <c r="WJT21" s="64"/>
      <c r="WJU21" s="64"/>
      <c r="WJV21" s="64"/>
      <c r="WJW21" s="64"/>
      <c r="WJX21" s="64"/>
      <c r="WJY21" s="64"/>
      <c r="WJZ21" s="64"/>
      <c r="WKA21" s="64"/>
      <c r="WKB21" s="64"/>
      <c r="WKC21" s="64"/>
      <c r="WKD21" s="64"/>
      <c r="WKE21" s="64"/>
      <c r="WKF21" s="64"/>
      <c r="WKG21" s="64"/>
      <c r="WKH21" s="64"/>
      <c r="WKI21" s="64"/>
      <c r="WKJ21" s="64"/>
      <c r="WKK21" s="64"/>
      <c r="WKL21" s="64"/>
      <c r="WKM21" s="64"/>
      <c r="WKN21" s="64"/>
      <c r="WKO21" s="64"/>
      <c r="WKP21" s="64"/>
      <c r="WKQ21" s="64"/>
      <c r="WKR21" s="64"/>
      <c r="WKS21" s="64"/>
      <c r="WKT21" s="64"/>
      <c r="WKU21" s="64"/>
      <c r="WKV21" s="64"/>
      <c r="WKW21" s="64"/>
      <c r="WKX21" s="64"/>
      <c r="WKY21" s="64"/>
      <c r="WKZ21" s="64"/>
      <c r="WLA21" s="64"/>
      <c r="WLB21" s="64"/>
      <c r="WLC21" s="64"/>
      <c r="WLD21" s="64"/>
      <c r="WLE21" s="64"/>
      <c r="WLF21" s="64"/>
      <c r="WLG21" s="64"/>
      <c r="WLH21" s="64"/>
      <c r="WLI21" s="64"/>
      <c r="WLJ21" s="64"/>
      <c r="WLK21" s="64"/>
      <c r="WLL21" s="64"/>
      <c r="WLM21" s="64"/>
      <c r="WLN21" s="64"/>
      <c r="WLO21" s="64"/>
      <c r="WLP21" s="64"/>
      <c r="WLQ21" s="64"/>
      <c r="WLR21" s="64"/>
      <c r="WLS21" s="64"/>
      <c r="WLT21" s="64"/>
      <c r="WLU21" s="64"/>
      <c r="WLV21" s="64"/>
      <c r="WLW21" s="64"/>
      <c r="WLX21" s="64"/>
      <c r="WLY21" s="64"/>
      <c r="WLZ21" s="64"/>
      <c r="WMA21" s="64"/>
      <c r="WMB21" s="64"/>
      <c r="WMC21" s="64"/>
      <c r="WMD21" s="64"/>
      <c r="WME21" s="64"/>
      <c r="WMF21" s="64"/>
      <c r="WMG21" s="64"/>
      <c r="WMH21" s="64"/>
      <c r="WMI21" s="64"/>
      <c r="WMJ21" s="64"/>
      <c r="WMK21" s="64"/>
      <c r="WML21" s="64"/>
      <c r="WMM21" s="64"/>
      <c r="WMN21" s="64"/>
      <c r="WMO21" s="64"/>
      <c r="WMP21" s="64"/>
      <c r="WMQ21" s="64"/>
      <c r="WMR21" s="64"/>
      <c r="WMS21" s="64"/>
      <c r="WMT21" s="64"/>
      <c r="WMU21" s="64"/>
      <c r="WMV21" s="64"/>
      <c r="WMW21" s="64"/>
      <c r="WMX21" s="64"/>
      <c r="WMY21" s="64"/>
      <c r="WMZ21" s="64"/>
      <c r="WNA21" s="64"/>
      <c r="WNB21" s="64"/>
      <c r="WNC21" s="64"/>
      <c r="WND21" s="64"/>
      <c r="WNE21" s="64"/>
      <c r="WNF21" s="64"/>
      <c r="WNG21" s="64"/>
      <c r="WNH21" s="64"/>
      <c r="WNI21" s="64"/>
      <c r="WNJ21" s="64"/>
      <c r="WNK21" s="64"/>
      <c r="WNL21" s="64"/>
      <c r="WNM21" s="64"/>
      <c r="WNN21" s="64"/>
      <c r="WNO21" s="64"/>
      <c r="WNP21" s="64"/>
      <c r="WNQ21" s="64"/>
      <c r="WNR21" s="64"/>
      <c r="WNS21" s="64"/>
      <c r="WNT21" s="64"/>
      <c r="WNU21" s="64"/>
      <c r="WNV21" s="64"/>
      <c r="WNW21" s="64"/>
      <c r="WNX21" s="64"/>
      <c r="WNY21" s="64"/>
      <c r="WNZ21" s="64"/>
      <c r="WOA21" s="64"/>
      <c r="WOB21" s="64"/>
      <c r="WOC21" s="64"/>
      <c r="WOD21" s="64"/>
      <c r="WOE21" s="64"/>
      <c r="WOF21" s="64"/>
      <c r="WOG21" s="64"/>
      <c r="WOH21" s="64"/>
      <c r="WOI21" s="64"/>
      <c r="WOJ21" s="64"/>
      <c r="WOK21" s="64"/>
      <c r="WOL21" s="64"/>
      <c r="WOM21" s="64"/>
      <c r="WON21" s="64"/>
      <c r="WOO21" s="64"/>
      <c r="WOP21" s="64"/>
      <c r="WOQ21" s="64"/>
      <c r="WOR21" s="64"/>
      <c r="WOS21" s="64"/>
      <c r="WOT21" s="64"/>
      <c r="WOU21" s="64"/>
      <c r="WOV21" s="64"/>
      <c r="WOW21" s="64"/>
      <c r="WOX21" s="64"/>
      <c r="WOY21" s="64"/>
      <c r="WOZ21" s="64"/>
      <c r="WPA21" s="64"/>
      <c r="WPB21" s="64"/>
      <c r="WPC21" s="64"/>
      <c r="WPD21" s="64"/>
      <c r="WPE21" s="64"/>
      <c r="WPF21" s="64"/>
      <c r="WPG21" s="64"/>
      <c r="WPH21" s="64"/>
      <c r="WPI21" s="64"/>
      <c r="WPJ21" s="64"/>
      <c r="WPK21" s="64"/>
      <c r="WPL21" s="64"/>
      <c r="WPM21" s="64"/>
      <c r="WPN21" s="64"/>
      <c r="WPO21" s="64"/>
      <c r="WPP21" s="64"/>
      <c r="WPQ21" s="64"/>
      <c r="WPR21" s="64"/>
      <c r="WPS21" s="64"/>
      <c r="WPT21" s="64"/>
      <c r="WPU21" s="64"/>
      <c r="WPV21" s="64"/>
      <c r="WPW21" s="64"/>
      <c r="WPX21" s="64"/>
      <c r="WPY21" s="64"/>
      <c r="WPZ21" s="64"/>
      <c r="WQA21" s="64"/>
      <c r="WQB21" s="64"/>
      <c r="WQC21" s="64"/>
      <c r="WQD21" s="64"/>
      <c r="WQE21" s="64"/>
      <c r="WQF21" s="64"/>
      <c r="WQG21" s="64"/>
      <c r="WQH21" s="64"/>
      <c r="WQI21" s="64"/>
      <c r="WQJ21" s="64"/>
      <c r="WQK21" s="64"/>
      <c r="WQL21" s="64"/>
      <c r="WQM21" s="64"/>
      <c r="WQN21" s="64"/>
      <c r="WQO21" s="64"/>
      <c r="WQP21" s="64"/>
      <c r="WQQ21" s="64"/>
      <c r="WQR21" s="64"/>
      <c r="WQS21" s="64"/>
      <c r="WQT21" s="64"/>
      <c r="WQU21" s="64"/>
      <c r="WQV21" s="64"/>
      <c r="WQW21" s="64"/>
      <c r="WQX21" s="64"/>
      <c r="WQY21" s="64"/>
      <c r="WQZ21" s="64"/>
      <c r="WRA21" s="64"/>
      <c r="WRB21" s="64"/>
      <c r="WRC21" s="64"/>
      <c r="WRD21" s="64"/>
      <c r="WRE21" s="64"/>
      <c r="WRF21" s="64"/>
      <c r="WRG21" s="64"/>
      <c r="WRH21" s="64"/>
      <c r="WRI21" s="64"/>
      <c r="WRJ21" s="64"/>
      <c r="WRK21" s="64"/>
      <c r="WRL21" s="64"/>
      <c r="WRM21" s="64"/>
      <c r="WRN21" s="64"/>
      <c r="WRO21" s="64"/>
      <c r="WRP21" s="64"/>
      <c r="WRQ21" s="64"/>
      <c r="WRR21" s="64"/>
      <c r="WRS21" s="64"/>
      <c r="WRT21" s="64"/>
      <c r="WRU21" s="64"/>
      <c r="WRV21" s="64"/>
      <c r="WRW21" s="64"/>
      <c r="WRX21" s="64"/>
      <c r="WRY21" s="64"/>
      <c r="WRZ21" s="64"/>
      <c r="WSA21" s="64"/>
      <c r="WSB21" s="64"/>
      <c r="WSC21" s="64"/>
      <c r="WSD21" s="64"/>
      <c r="WSE21" s="64"/>
      <c r="WSF21" s="64"/>
      <c r="WSG21" s="64"/>
      <c r="WSH21" s="64"/>
      <c r="WSI21" s="64"/>
      <c r="WSJ21" s="64"/>
      <c r="WSK21" s="64"/>
      <c r="WSL21" s="64"/>
      <c r="WSM21" s="64"/>
      <c r="WSN21" s="64"/>
      <c r="WSO21" s="64"/>
      <c r="WSP21" s="64"/>
      <c r="WSQ21" s="64"/>
      <c r="WSR21" s="64"/>
      <c r="WSS21" s="64"/>
      <c r="WST21" s="64"/>
      <c r="WSU21" s="64"/>
      <c r="WSV21" s="64"/>
      <c r="WSW21" s="64"/>
      <c r="WSX21" s="64"/>
      <c r="WSY21" s="64"/>
      <c r="WSZ21" s="64"/>
      <c r="WTA21" s="64"/>
      <c r="WTB21" s="64"/>
      <c r="WTC21" s="64"/>
      <c r="WTD21" s="64"/>
      <c r="WTE21" s="64"/>
      <c r="WTF21" s="64"/>
      <c r="WTG21" s="64"/>
      <c r="WTH21" s="64"/>
      <c r="WTI21" s="64"/>
      <c r="WTJ21" s="64"/>
      <c r="WTK21" s="64"/>
      <c r="WTL21" s="64"/>
      <c r="WTM21" s="64"/>
      <c r="WTN21" s="64"/>
      <c r="WTO21" s="64"/>
      <c r="WTP21" s="64"/>
      <c r="WTQ21" s="64"/>
      <c r="WTR21" s="64"/>
      <c r="WTS21" s="64"/>
      <c r="WTT21" s="64"/>
      <c r="WTU21" s="64"/>
      <c r="WTV21" s="64"/>
      <c r="WTW21" s="64"/>
      <c r="WTX21" s="64"/>
      <c r="WTY21" s="64"/>
      <c r="WTZ21" s="64"/>
      <c r="WUA21" s="64"/>
      <c r="WUB21" s="64"/>
      <c r="WUC21" s="64"/>
      <c r="WUD21" s="64"/>
      <c r="WUE21" s="64"/>
      <c r="WUF21" s="64"/>
      <c r="WUG21" s="64"/>
      <c r="WUH21" s="64"/>
      <c r="WUI21" s="64"/>
      <c r="WUJ21" s="64"/>
      <c r="WUK21" s="64"/>
      <c r="WUL21" s="64"/>
      <c r="WUM21" s="64"/>
      <c r="WUN21" s="64"/>
      <c r="WUO21" s="64"/>
      <c r="WUP21" s="64"/>
      <c r="WUQ21" s="64"/>
      <c r="WUR21" s="64"/>
      <c r="WUS21" s="64"/>
      <c r="WUT21" s="64"/>
      <c r="WUU21" s="64"/>
      <c r="WUV21" s="64"/>
      <c r="WUW21" s="64"/>
      <c r="WUX21" s="64"/>
      <c r="WUY21" s="64"/>
      <c r="WUZ21" s="64"/>
      <c r="WVA21" s="64"/>
      <c r="WVB21" s="64"/>
      <c r="WVC21" s="64"/>
      <c r="WVD21" s="64"/>
      <c r="WVE21" s="64"/>
      <c r="WVF21" s="64"/>
      <c r="WVG21" s="64"/>
      <c r="WVH21" s="64"/>
      <c r="WVI21" s="64"/>
      <c r="WVJ21" s="64"/>
      <c r="WVK21" s="64"/>
      <c r="WVL21" s="64"/>
      <c r="WVM21" s="64"/>
      <c r="WVN21" s="64"/>
      <c r="WVO21" s="64"/>
      <c r="WVP21" s="64"/>
      <c r="WVQ21" s="64"/>
      <c r="WVR21" s="64"/>
      <c r="WVS21" s="64"/>
      <c r="WVT21" s="64"/>
      <c r="WVU21" s="64"/>
      <c r="WVV21" s="64"/>
      <c r="WVW21" s="64"/>
      <c r="WVX21" s="64"/>
      <c r="WVY21" s="64"/>
      <c r="WVZ21" s="64"/>
      <c r="WWA21" s="64"/>
      <c r="WWB21" s="64"/>
      <c r="WWC21" s="64"/>
      <c r="WWD21" s="64"/>
      <c r="WWE21" s="64"/>
      <c r="WWF21" s="64"/>
      <c r="WWG21" s="64"/>
      <c r="WWH21" s="64"/>
      <c r="WWI21" s="64"/>
      <c r="WWJ21" s="64"/>
      <c r="WWK21" s="64"/>
      <c r="WWL21" s="64"/>
      <c r="WWM21" s="64"/>
      <c r="WWN21" s="64"/>
      <c r="WWO21" s="64"/>
      <c r="WWP21" s="64"/>
      <c r="WWQ21" s="64"/>
      <c r="WWR21" s="64"/>
      <c r="WWS21" s="64"/>
      <c r="WWT21" s="64"/>
      <c r="WWU21" s="64"/>
      <c r="WWV21" s="64"/>
      <c r="WWW21" s="64"/>
      <c r="WWX21" s="64"/>
      <c r="WWY21" s="64"/>
      <c r="WWZ21" s="64"/>
      <c r="WXA21" s="64"/>
      <c r="WXB21" s="64"/>
      <c r="WXC21" s="64"/>
      <c r="WXD21" s="64"/>
      <c r="WXE21" s="64"/>
      <c r="WXF21" s="64"/>
      <c r="WXG21" s="64"/>
      <c r="WXH21" s="64"/>
      <c r="WXI21" s="64"/>
      <c r="WXJ21" s="64"/>
      <c r="WXK21" s="64"/>
      <c r="WXL21" s="64"/>
      <c r="WXM21" s="64"/>
      <c r="WXN21" s="64"/>
      <c r="WXO21" s="64"/>
      <c r="WXP21" s="64"/>
      <c r="WXQ21" s="64"/>
      <c r="WXR21" s="64"/>
      <c r="WXS21" s="64"/>
      <c r="WXT21" s="64"/>
      <c r="WXU21" s="64"/>
      <c r="WXV21" s="64"/>
      <c r="WXW21" s="64"/>
      <c r="WXX21" s="64"/>
      <c r="WXY21" s="64"/>
      <c r="WXZ21" s="64"/>
      <c r="WYA21" s="64"/>
      <c r="WYB21" s="64"/>
      <c r="WYC21" s="64"/>
      <c r="WYD21" s="64"/>
      <c r="WYE21" s="64"/>
      <c r="WYF21" s="64"/>
      <c r="WYG21" s="64"/>
      <c r="WYH21" s="64"/>
      <c r="WYI21" s="64"/>
      <c r="WYJ21" s="64"/>
      <c r="WYK21" s="64"/>
      <c r="WYL21" s="64"/>
      <c r="WYM21" s="64"/>
      <c r="WYN21" s="64"/>
      <c r="WYO21" s="64"/>
      <c r="WYP21" s="64"/>
      <c r="WYQ21" s="64"/>
      <c r="WYR21" s="64"/>
      <c r="WYS21" s="64"/>
      <c r="WYT21" s="64"/>
      <c r="WYU21" s="64"/>
      <c r="WYV21" s="64"/>
      <c r="WYW21" s="64"/>
      <c r="WYX21" s="64"/>
      <c r="WYY21" s="64"/>
      <c r="WYZ21" s="64"/>
      <c r="WZA21" s="64"/>
      <c r="WZB21" s="64"/>
      <c r="WZC21" s="64"/>
      <c r="WZD21" s="64"/>
      <c r="WZE21" s="64"/>
      <c r="WZF21" s="64"/>
      <c r="WZG21" s="64"/>
      <c r="WZH21" s="64"/>
      <c r="WZI21" s="64"/>
      <c r="WZJ21" s="64"/>
      <c r="WZK21" s="64"/>
      <c r="WZL21" s="64"/>
      <c r="WZM21" s="64"/>
      <c r="WZN21" s="64"/>
      <c r="WZO21" s="64"/>
      <c r="WZP21" s="64"/>
      <c r="WZQ21" s="64"/>
      <c r="WZR21" s="64"/>
      <c r="WZS21" s="64"/>
      <c r="WZT21" s="64"/>
      <c r="WZU21" s="64"/>
      <c r="WZV21" s="64"/>
      <c r="WZW21" s="64"/>
      <c r="WZX21" s="64"/>
      <c r="WZY21" s="64"/>
      <c r="WZZ21" s="64"/>
      <c r="XAA21" s="64"/>
      <c r="XAB21" s="64"/>
      <c r="XAC21" s="64"/>
      <c r="XAD21" s="64"/>
      <c r="XAE21" s="64"/>
      <c r="XAF21" s="64"/>
      <c r="XAG21" s="64"/>
      <c r="XAH21" s="64"/>
      <c r="XAI21" s="64"/>
      <c r="XAJ21" s="64"/>
      <c r="XAK21" s="64"/>
      <c r="XAL21" s="64"/>
      <c r="XAM21" s="64"/>
      <c r="XAN21" s="64"/>
      <c r="XAO21" s="64"/>
      <c r="XAP21" s="64"/>
      <c r="XAQ21" s="64"/>
      <c r="XAR21" s="64"/>
      <c r="XAS21" s="64"/>
      <c r="XAT21" s="64"/>
      <c r="XAU21" s="64"/>
      <c r="XAV21" s="64"/>
      <c r="XAW21" s="64"/>
      <c r="XAX21" s="64"/>
      <c r="XAY21" s="64"/>
      <c r="XAZ21" s="64"/>
      <c r="XBA21" s="64"/>
      <c r="XBB21" s="64"/>
      <c r="XBC21" s="64"/>
      <c r="XBD21" s="64"/>
      <c r="XBE21" s="64"/>
      <c r="XBF21" s="64"/>
      <c r="XBG21" s="64"/>
      <c r="XBH21" s="64"/>
      <c r="XBI21" s="64"/>
      <c r="XBJ21" s="64"/>
      <c r="XBK21" s="64"/>
      <c r="XBL21" s="64"/>
      <c r="XBM21" s="64"/>
      <c r="XBN21" s="64"/>
      <c r="XBO21" s="64"/>
      <c r="XBP21" s="64"/>
      <c r="XBQ21" s="64"/>
      <c r="XBR21" s="64"/>
      <c r="XBS21" s="64"/>
      <c r="XBT21" s="64"/>
      <c r="XBU21" s="64"/>
      <c r="XBV21" s="64"/>
      <c r="XBW21" s="64"/>
      <c r="XBX21" s="64"/>
      <c r="XBY21" s="64"/>
      <c r="XBZ21" s="64"/>
      <c r="XCA21" s="64"/>
      <c r="XCB21" s="64"/>
      <c r="XCC21" s="64"/>
      <c r="XCD21" s="64"/>
      <c r="XCE21" s="64"/>
      <c r="XCF21" s="64"/>
      <c r="XCG21" s="64"/>
      <c r="XCH21" s="64"/>
      <c r="XCI21" s="64"/>
      <c r="XCJ21" s="64"/>
      <c r="XCK21" s="64"/>
      <c r="XCL21" s="64"/>
      <c r="XCM21" s="64"/>
      <c r="XCN21" s="64"/>
      <c r="XCO21" s="64"/>
      <c r="XCP21" s="64"/>
      <c r="XCQ21" s="64"/>
      <c r="XCR21" s="64"/>
      <c r="XCS21" s="64"/>
      <c r="XCT21" s="64"/>
      <c r="XCU21" s="64"/>
      <c r="XCV21" s="64"/>
      <c r="XCW21" s="64"/>
      <c r="XCX21" s="64"/>
      <c r="XCY21" s="64"/>
      <c r="XCZ21" s="64"/>
      <c r="XDA21" s="64"/>
      <c r="XDB21" s="64"/>
      <c r="XDC21" s="64"/>
      <c r="XDD21" s="64"/>
      <c r="XDE21" s="64"/>
      <c r="XDF21" s="64"/>
      <c r="XDG21" s="64"/>
      <c r="XDH21" s="64"/>
      <c r="XDI21" s="64"/>
      <c r="XDJ21" s="64"/>
      <c r="XDK21" s="64"/>
      <c r="XDL21" s="64"/>
      <c r="XDM21" s="64"/>
      <c r="XDN21" s="64"/>
      <c r="XDO21" s="64"/>
      <c r="XDP21" s="64"/>
      <c r="XDQ21" s="64"/>
      <c r="XDR21" s="64"/>
      <c r="XDS21" s="64"/>
      <c r="XDT21" s="64"/>
      <c r="XDU21" s="64"/>
      <c r="XDV21" s="64"/>
      <c r="XDW21" s="64"/>
      <c r="XDX21" s="64"/>
      <c r="XDY21" s="64"/>
      <c r="XDZ21" s="64"/>
      <c r="XEA21" s="64"/>
      <c r="XEB21" s="64"/>
      <c r="XEC21" s="64"/>
      <c r="XED21" s="64"/>
      <c r="XEE21" s="64"/>
      <c r="XEF21" s="64"/>
      <c r="XEG21" s="64"/>
      <c r="XEH21" s="64"/>
      <c r="XEI21" s="64"/>
      <c r="XEJ21" s="64"/>
      <c r="XEK21" s="64"/>
      <c r="XEL21" s="64"/>
      <c r="XEM21" s="64"/>
      <c r="XEN21" s="64"/>
      <c r="XEO21" s="64"/>
      <c r="XEP21" s="64"/>
      <c r="XEQ21" s="64"/>
      <c r="XER21" s="64"/>
      <c r="XES21" s="64"/>
      <c r="XET21" s="64"/>
      <c r="XEU21" s="64"/>
      <c r="XEV21" s="64"/>
      <c r="XEW21" s="64"/>
      <c r="XEX21" s="64"/>
      <c r="XEY21" s="64"/>
      <c r="XEZ21" s="64"/>
      <c r="XFA21" s="64"/>
      <c r="XFB21" s="64"/>
      <c r="XFC21" s="64"/>
      <c r="XFD21" s="64"/>
    </row>
    <row r="22" spans="1:16384" ht="20">
      <c r="A22" s="22" t="s">
        <v>384</v>
      </c>
      <c r="B22">
        <v>23460</v>
      </c>
      <c r="C22">
        <v>0</v>
      </c>
      <c r="D22">
        <v>31790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9945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4335</v>
      </c>
      <c r="AR22">
        <v>0</v>
      </c>
      <c r="AS22">
        <v>0</v>
      </c>
      <c r="AT22">
        <v>0</v>
      </c>
      <c r="AU22">
        <v>0</v>
      </c>
      <c r="AV22">
        <v>4335</v>
      </c>
      <c r="AW22">
        <v>0</v>
      </c>
      <c r="AX22" t="e">
        <v>#N/A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  <c r="BZ22">
        <v>0</v>
      </c>
      <c r="CA22">
        <v>0</v>
      </c>
      <c r="CB22">
        <v>24140</v>
      </c>
      <c r="CC22" t="e">
        <v>#N/A</v>
      </c>
      <c r="CD22" t="e">
        <v>#N/A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3485</v>
      </c>
      <c r="DA22" s="97">
        <v>0</v>
      </c>
      <c r="DB22">
        <v>0</v>
      </c>
      <c r="DC22">
        <v>0</v>
      </c>
      <c r="DD22">
        <v>19040</v>
      </c>
      <c r="DE22">
        <v>23290</v>
      </c>
      <c r="DF22">
        <v>29750</v>
      </c>
      <c r="DG22">
        <v>23630</v>
      </c>
      <c r="DH22">
        <v>0</v>
      </c>
      <c r="DI22">
        <v>22270</v>
      </c>
      <c r="DJ22">
        <v>23970</v>
      </c>
      <c r="DK22">
        <v>0</v>
      </c>
      <c r="DL22">
        <v>14280</v>
      </c>
      <c r="DM22">
        <v>28305</v>
      </c>
      <c r="DN22">
        <v>0</v>
      </c>
      <c r="DO22">
        <v>0</v>
      </c>
      <c r="DP22">
        <v>1700</v>
      </c>
      <c r="DQ22">
        <v>25755</v>
      </c>
      <c r="DR22">
        <v>0</v>
      </c>
      <c r="DS22">
        <v>0</v>
      </c>
      <c r="DT22" t="e">
        <v>#N/A</v>
      </c>
      <c r="DU22">
        <v>33745</v>
      </c>
      <c r="DV22">
        <v>19890</v>
      </c>
      <c r="DW22">
        <v>0</v>
      </c>
      <c r="DX22">
        <v>4080</v>
      </c>
      <c r="DY22">
        <v>17425</v>
      </c>
      <c r="DZ22">
        <v>0</v>
      </c>
      <c r="EA22">
        <v>12665</v>
      </c>
      <c r="EB22">
        <v>20485</v>
      </c>
      <c r="EC22">
        <v>0</v>
      </c>
      <c r="ED22">
        <v>14280</v>
      </c>
      <c r="EE22">
        <v>14280</v>
      </c>
      <c r="EF22">
        <v>0</v>
      </c>
      <c r="EG22">
        <v>0</v>
      </c>
      <c r="EH22">
        <v>0</v>
      </c>
      <c r="EI22">
        <v>14280</v>
      </c>
      <c r="EJ22">
        <v>0</v>
      </c>
      <c r="EK22">
        <v>0</v>
      </c>
      <c r="EL22">
        <v>15640</v>
      </c>
      <c r="EM22">
        <v>0</v>
      </c>
      <c r="EN22">
        <v>15640</v>
      </c>
      <c r="EO22">
        <v>7310</v>
      </c>
      <c r="EP22">
        <v>6120</v>
      </c>
      <c r="EQ22">
        <v>30940</v>
      </c>
      <c r="ER22">
        <v>5015</v>
      </c>
      <c r="ES22">
        <v>0</v>
      </c>
      <c r="ET22">
        <v>0</v>
      </c>
      <c r="EU22">
        <v>1955</v>
      </c>
      <c r="EV22">
        <v>19975</v>
      </c>
      <c r="EW22">
        <v>14365</v>
      </c>
      <c r="EX22">
        <v>0</v>
      </c>
      <c r="EY22">
        <v>0</v>
      </c>
      <c r="EZ22">
        <v>16150</v>
      </c>
      <c r="FA22">
        <v>28220</v>
      </c>
      <c r="FB22">
        <v>0</v>
      </c>
      <c r="FC22">
        <v>9775</v>
      </c>
      <c r="FD22">
        <v>0</v>
      </c>
      <c r="FE22">
        <v>0</v>
      </c>
      <c r="FF22">
        <v>23800</v>
      </c>
      <c r="FG22">
        <v>0</v>
      </c>
      <c r="FH22">
        <v>14705</v>
      </c>
      <c r="FI22">
        <v>0</v>
      </c>
      <c r="FJ22">
        <v>0</v>
      </c>
      <c r="FK22">
        <v>20400</v>
      </c>
      <c r="FL22">
        <v>8075</v>
      </c>
      <c r="FM22">
        <v>0</v>
      </c>
      <c r="FN22">
        <v>16065</v>
      </c>
      <c r="FO22">
        <v>0</v>
      </c>
      <c r="FP22" t="e">
        <v>#N/A</v>
      </c>
      <c r="FQ22">
        <v>27540</v>
      </c>
      <c r="FR22" s="1">
        <v>20910</v>
      </c>
      <c r="FS22">
        <v>0</v>
      </c>
      <c r="FT22">
        <v>8755</v>
      </c>
      <c r="FU22">
        <v>0</v>
      </c>
      <c r="FV22">
        <v>23630</v>
      </c>
      <c r="FW22">
        <v>7565</v>
      </c>
      <c r="FX22">
        <v>17255</v>
      </c>
      <c r="FY22">
        <v>19125</v>
      </c>
      <c r="FZ22">
        <v>9775</v>
      </c>
      <c r="GA22">
        <v>0</v>
      </c>
      <c r="GB22">
        <v>24310</v>
      </c>
      <c r="GC22">
        <v>10115</v>
      </c>
      <c r="GD22">
        <v>0</v>
      </c>
      <c r="GE22">
        <v>23035</v>
      </c>
      <c r="GF22">
        <v>5015</v>
      </c>
      <c r="GG22" t="e">
        <v>#N/A</v>
      </c>
      <c r="GH22">
        <v>0</v>
      </c>
      <c r="GI22">
        <v>24480</v>
      </c>
      <c r="GJ22">
        <v>27540</v>
      </c>
      <c r="GK22">
        <v>0</v>
      </c>
      <c r="GL22" t="e">
        <v>#N/A</v>
      </c>
      <c r="GM22">
        <v>0</v>
      </c>
      <c r="GN22">
        <v>0</v>
      </c>
      <c r="GO22">
        <v>17935</v>
      </c>
      <c r="GP22">
        <v>17170</v>
      </c>
      <c r="GQ22">
        <v>31790</v>
      </c>
      <c r="GR22">
        <v>0</v>
      </c>
      <c r="GS22">
        <v>10710</v>
      </c>
      <c r="GT22">
        <v>23035</v>
      </c>
      <c r="GU22">
        <v>15300</v>
      </c>
      <c r="GV22">
        <v>11475</v>
      </c>
      <c r="GW22">
        <v>26095</v>
      </c>
      <c r="GX22">
        <v>8500</v>
      </c>
      <c r="GY22">
        <v>0</v>
      </c>
      <c r="GZ22">
        <v>1530</v>
      </c>
      <c r="HA22">
        <v>0</v>
      </c>
      <c r="HB22" t="e">
        <v>#N/A</v>
      </c>
      <c r="HC22">
        <v>0</v>
      </c>
      <c r="HD22">
        <v>0</v>
      </c>
      <c r="HE22">
        <v>0</v>
      </c>
      <c r="HF22">
        <v>17340</v>
      </c>
      <c r="HG22">
        <v>6120</v>
      </c>
      <c r="HH22">
        <v>14450</v>
      </c>
      <c r="HI22">
        <v>29410</v>
      </c>
      <c r="HJ22" t="e">
        <v>#N/A</v>
      </c>
      <c r="HK22">
        <v>23120</v>
      </c>
      <c r="HL22">
        <v>11730</v>
      </c>
      <c r="HM22">
        <v>13005</v>
      </c>
      <c r="HN22">
        <v>20740</v>
      </c>
      <c r="HO22">
        <v>19890</v>
      </c>
      <c r="HP22">
        <v>13515</v>
      </c>
      <c r="HQ22">
        <v>13430</v>
      </c>
      <c r="HR22">
        <v>4930</v>
      </c>
      <c r="HS22">
        <v>0</v>
      </c>
      <c r="HT22">
        <v>10625</v>
      </c>
      <c r="HU22">
        <v>11135</v>
      </c>
      <c r="HV22">
        <v>0</v>
      </c>
      <c r="HW22">
        <v>15725</v>
      </c>
      <c r="HX22">
        <v>0</v>
      </c>
      <c r="HY22">
        <v>0</v>
      </c>
      <c r="HZ22">
        <v>20825</v>
      </c>
      <c r="IA22">
        <v>23035</v>
      </c>
      <c r="IB22">
        <v>15810</v>
      </c>
      <c r="IC22">
        <v>23460</v>
      </c>
      <c r="ID22">
        <v>15810</v>
      </c>
      <c r="IE22">
        <v>22525</v>
      </c>
      <c r="IF22">
        <v>0</v>
      </c>
      <c r="IG22">
        <v>26265</v>
      </c>
      <c r="IH22">
        <v>0</v>
      </c>
      <c r="II22">
        <v>26520</v>
      </c>
      <c r="IJ22">
        <v>15385</v>
      </c>
      <c r="IK22">
        <v>17000</v>
      </c>
      <c r="IL22">
        <v>0</v>
      </c>
      <c r="IM22">
        <v>27625</v>
      </c>
      <c r="IN22">
        <v>0</v>
      </c>
      <c r="IO22">
        <v>0</v>
      </c>
      <c r="IP22">
        <v>0</v>
      </c>
      <c r="IQ22">
        <v>28730</v>
      </c>
      <c r="IR22" t="e">
        <v>#N/A</v>
      </c>
      <c r="IS22">
        <v>26860</v>
      </c>
      <c r="IT22">
        <v>0</v>
      </c>
      <c r="IU22">
        <v>0</v>
      </c>
      <c r="IV22">
        <v>30090</v>
      </c>
      <c r="IW22">
        <v>29580</v>
      </c>
      <c r="IX22">
        <v>28390</v>
      </c>
      <c r="IY22">
        <v>0</v>
      </c>
      <c r="IZ22">
        <v>0</v>
      </c>
      <c r="JA22" s="64"/>
      <c r="JB22" s="64"/>
      <c r="JC22" s="64"/>
      <c r="JD22" s="64"/>
      <c r="JE22" s="64"/>
      <c r="JF22" s="64"/>
      <c r="JG22" s="64"/>
      <c r="JH22" s="64"/>
      <c r="JI22" s="64"/>
      <c r="JJ22" s="64"/>
      <c r="JK22" s="64"/>
      <c r="JL22" s="64"/>
      <c r="JM22" s="64"/>
      <c r="JN22" s="64"/>
      <c r="JO22" s="64"/>
      <c r="JP22" s="64"/>
      <c r="JQ22" s="64"/>
      <c r="JR22" s="64"/>
      <c r="JS22" s="64"/>
      <c r="JT22" s="64"/>
      <c r="JU22" s="64"/>
      <c r="JV22" s="64"/>
      <c r="JW22" s="64"/>
      <c r="JX22" s="64"/>
      <c r="JY22" s="64"/>
      <c r="JZ22" s="64"/>
      <c r="KA22" s="64"/>
      <c r="KB22" s="64"/>
      <c r="KC22" s="64"/>
      <c r="KD22" s="64"/>
      <c r="KE22" s="64"/>
      <c r="KF22" s="64"/>
      <c r="KG22" s="64"/>
      <c r="KH22" s="64"/>
      <c r="KI22" s="64"/>
      <c r="KJ22" s="64"/>
      <c r="KK22" s="64"/>
      <c r="KL22" s="64"/>
      <c r="KM22" s="64"/>
      <c r="KN22" s="64"/>
      <c r="KO22" s="64"/>
      <c r="KP22" s="64"/>
      <c r="KQ22" s="64"/>
      <c r="KR22" s="64"/>
      <c r="KS22" s="64"/>
      <c r="KT22" s="64"/>
      <c r="KU22" s="64"/>
      <c r="KV22" s="64"/>
      <c r="KW22" s="64"/>
      <c r="KX22" s="64"/>
      <c r="KY22" s="64"/>
      <c r="KZ22" s="64"/>
      <c r="LA22" s="64"/>
      <c r="LB22" s="64"/>
      <c r="LC22" s="64"/>
      <c r="LD22" s="64"/>
      <c r="LE22" s="64"/>
      <c r="LF22" s="64"/>
      <c r="LG22" s="64"/>
      <c r="LH22" s="64"/>
      <c r="LI22" s="64"/>
      <c r="LJ22" s="64"/>
      <c r="LK22" s="64"/>
      <c r="LL22" s="64"/>
      <c r="LM22" s="64"/>
      <c r="LN22" s="64"/>
      <c r="LO22" s="64"/>
      <c r="LP22" s="64"/>
      <c r="LQ22" s="64"/>
      <c r="LR22" s="64"/>
      <c r="LS22" s="64"/>
      <c r="LT22" s="64"/>
      <c r="LU22" s="64"/>
      <c r="LV22" s="64"/>
      <c r="LW22" s="64"/>
      <c r="LX22" s="64"/>
      <c r="LY22" s="64"/>
      <c r="LZ22" s="64"/>
      <c r="MA22" s="64"/>
      <c r="MB22" s="64"/>
      <c r="MC22" s="64"/>
      <c r="MD22" s="64"/>
      <c r="ME22" s="64"/>
      <c r="MF22" s="64"/>
      <c r="MG22" s="64"/>
      <c r="MH22" s="64"/>
      <c r="MI22" s="64"/>
      <c r="MJ22" s="64"/>
      <c r="MK22" s="64"/>
      <c r="ML22" s="64"/>
      <c r="MM22" s="64"/>
      <c r="MN22" s="64"/>
      <c r="MO22" s="64"/>
      <c r="MP22" s="64"/>
      <c r="MQ22" s="64"/>
      <c r="MR22" s="64"/>
      <c r="MS22" s="64"/>
      <c r="MT22" s="64"/>
      <c r="MU22" s="64"/>
      <c r="MV22" s="64"/>
      <c r="MW22" s="64"/>
      <c r="MX22" s="64"/>
      <c r="MY22" s="64"/>
      <c r="MZ22" s="64"/>
      <c r="NA22" s="64"/>
      <c r="NB22" s="64"/>
      <c r="NC22" s="64"/>
      <c r="ND22" s="64"/>
      <c r="NE22" s="64"/>
      <c r="NF22" s="64"/>
      <c r="NG22" s="64"/>
      <c r="NH22" s="64"/>
      <c r="NI22" s="64"/>
      <c r="NJ22" s="64"/>
      <c r="NK22" s="64"/>
      <c r="NL22" s="64"/>
      <c r="NM22" s="64"/>
      <c r="NN22" s="64"/>
      <c r="NO22" s="64"/>
      <c r="NP22" s="64"/>
      <c r="NQ22" s="64"/>
      <c r="NR22" s="64"/>
      <c r="NS22" s="64"/>
      <c r="NT22" s="64"/>
      <c r="NU22" s="64"/>
      <c r="NV22" s="64"/>
      <c r="NW22" s="64"/>
      <c r="NX22" s="64"/>
      <c r="NY22" s="64"/>
      <c r="NZ22" s="64"/>
      <c r="OA22" s="64"/>
      <c r="OB22" s="64"/>
      <c r="OC22" s="64"/>
      <c r="OD22" s="64"/>
      <c r="OE22" s="64"/>
      <c r="OF22" s="64"/>
      <c r="OG22" s="64"/>
      <c r="OH22" s="64"/>
      <c r="OI22" s="64"/>
      <c r="OJ22" s="64"/>
      <c r="OK22" s="64"/>
      <c r="OL22" s="64"/>
      <c r="OM22" s="64"/>
      <c r="ON22" s="64"/>
      <c r="OO22" s="64"/>
      <c r="OP22" s="64"/>
      <c r="OQ22" s="64"/>
      <c r="OR22" s="64"/>
      <c r="OS22" s="64"/>
      <c r="OT22" s="64"/>
      <c r="OU22" s="64"/>
      <c r="OV22" s="64"/>
      <c r="OW22" s="64"/>
      <c r="OX22" s="64"/>
      <c r="OY22" s="64"/>
      <c r="OZ22" s="64"/>
      <c r="PA22" s="64"/>
      <c r="PB22" s="64"/>
      <c r="PC22" s="64"/>
      <c r="PD22" s="64"/>
      <c r="PE22" s="64"/>
      <c r="PF22" s="64"/>
      <c r="PG22" s="64"/>
      <c r="PH22" s="64"/>
      <c r="PI22" s="64"/>
      <c r="PJ22" s="64"/>
      <c r="PK22" s="64"/>
      <c r="PL22" s="64"/>
      <c r="PM22" s="64"/>
      <c r="PN22" s="64"/>
      <c r="PO22" s="64"/>
      <c r="PP22" s="64"/>
      <c r="PQ22" s="64"/>
      <c r="PR22" s="64"/>
      <c r="PS22" s="64"/>
      <c r="PT22" s="64"/>
      <c r="PU22" s="64"/>
      <c r="PV22" s="64"/>
      <c r="PW22" s="64"/>
      <c r="PX22" s="64"/>
      <c r="PY22" s="64"/>
      <c r="PZ22" s="64"/>
      <c r="QA22" s="64"/>
      <c r="QB22" s="64"/>
      <c r="QC22" s="64"/>
      <c r="QD22" s="64"/>
      <c r="QE22" s="64"/>
      <c r="QF22" s="64"/>
      <c r="QG22" s="64"/>
      <c r="QH22" s="64"/>
      <c r="QI22" s="64"/>
      <c r="QJ22" s="64"/>
      <c r="QK22" s="64"/>
      <c r="QL22" s="64"/>
      <c r="QM22" s="64"/>
      <c r="QN22" s="64"/>
      <c r="QO22" s="64"/>
      <c r="QP22" s="64"/>
      <c r="QQ22" s="64"/>
      <c r="QR22" s="64"/>
      <c r="QS22" s="64"/>
      <c r="QT22" s="64"/>
      <c r="QU22" s="64"/>
      <c r="QV22" s="64"/>
      <c r="QW22" s="64"/>
      <c r="QX22" s="64"/>
      <c r="QY22" s="64"/>
      <c r="QZ22" s="64"/>
      <c r="RA22" s="64"/>
      <c r="RB22" s="64"/>
      <c r="RC22" s="64"/>
      <c r="RD22" s="64"/>
      <c r="RE22" s="64"/>
      <c r="RF22" s="64"/>
      <c r="RG22" s="64"/>
      <c r="RH22" s="64"/>
      <c r="RI22" s="64"/>
      <c r="RJ22" s="64"/>
      <c r="RK22" s="64"/>
      <c r="RL22" s="64"/>
      <c r="RM22" s="64"/>
      <c r="RN22" s="64"/>
      <c r="RO22" s="64"/>
      <c r="RP22" s="64"/>
      <c r="RQ22" s="64"/>
      <c r="RR22" s="64"/>
      <c r="RS22" s="64"/>
      <c r="RT22" s="64"/>
      <c r="RU22" s="64"/>
      <c r="RV22" s="64"/>
      <c r="RW22" s="64"/>
      <c r="RX22" s="64"/>
      <c r="RY22" s="64"/>
      <c r="RZ22" s="64"/>
      <c r="SA22" s="64"/>
      <c r="SB22" s="64"/>
      <c r="SC22" s="64"/>
      <c r="SD22" s="64"/>
      <c r="SE22" s="64"/>
      <c r="SF22" s="64"/>
      <c r="SG22" s="64"/>
      <c r="SH22" s="64"/>
      <c r="SI22" s="64"/>
      <c r="SJ22" s="64"/>
      <c r="SK22" s="64"/>
      <c r="SL22" s="64"/>
      <c r="SM22" s="64"/>
      <c r="SN22" s="64"/>
      <c r="SO22" s="64"/>
      <c r="SP22" s="64"/>
      <c r="SQ22" s="64"/>
      <c r="SR22" s="64"/>
      <c r="SS22" s="64"/>
      <c r="ST22" s="64"/>
      <c r="SU22" s="64"/>
      <c r="SV22" s="64"/>
      <c r="SW22" s="64"/>
      <c r="SX22" s="64"/>
      <c r="SY22" s="64"/>
      <c r="SZ22" s="64"/>
      <c r="TA22" s="64"/>
      <c r="TB22" s="64"/>
      <c r="TC22" s="64"/>
      <c r="TD22" s="64"/>
      <c r="TE22" s="64"/>
      <c r="TF22" s="64"/>
      <c r="TG22" s="64"/>
      <c r="TH22" s="64"/>
      <c r="TI22" s="64"/>
      <c r="TJ22" s="64"/>
      <c r="TK22" s="64"/>
      <c r="TL22" s="64"/>
      <c r="TM22" s="64"/>
      <c r="TN22" s="64"/>
      <c r="TO22" s="64"/>
      <c r="TP22" s="64"/>
      <c r="TQ22" s="64"/>
      <c r="TR22" s="64"/>
      <c r="TS22" s="64"/>
      <c r="TT22" s="64"/>
      <c r="TU22" s="64"/>
      <c r="TV22" s="64"/>
      <c r="TW22" s="64"/>
      <c r="TX22" s="64"/>
      <c r="TY22" s="64"/>
      <c r="TZ22" s="64"/>
      <c r="UA22" s="64"/>
      <c r="UB22" s="64"/>
      <c r="UC22" s="64"/>
      <c r="UD22" s="64"/>
      <c r="UE22" s="64"/>
      <c r="UF22" s="64"/>
      <c r="UG22" s="64"/>
      <c r="UH22" s="64"/>
      <c r="UI22" s="64"/>
      <c r="UJ22" s="64"/>
      <c r="UK22" s="64"/>
      <c r="UL22" s="64"/>
      <c r="UM22" s="64"/>
      <c r="UN22" s="64"/>
      <c r="UO22" s="64"/>
      <c r="UP22" s="64"/>
      <c r="UQ22" s="64"/>
      <c r="UR22" s="64"/>
      <c r="US22" s="64"/>
      <c r="UT22" s="64"/>
      <c r="UU22" s="64"/>
      <c r="UV22" s="64"/>
      <c r="UW22" s="64"/>
      <c r="UX22" s="64"/>
      <c r="UY22" s="64"/>
      <c r="UZ22" s="64"/>
      <c r="VA22" s="64"/>
      <c r="VB22" s="64"/>
      <c r="VC22" s="64"/>
      <c r="VD22" s="64"/>
      <c r="VE22" s="64"/>
      <c r="VF22" s="64"/>
      <c r="VG22" s="64"/>
      <c r="VH22" s="64"/>
      <c r="VI22" s="64"/>
      <c r="VJ22" s="64"/>
      <c r="VK22" s="64"/>
      <c r="VL22" s="64"/>
      <c r="VM22" s="64"/>
      <c r="VN22" s="64"/>
      <c r="VO22" s="64"/>
      <c r="VP22" s="64"/>
      <c r="VQ22" s="64"/>
      <c r="VR22" s="64"/>
      <c r="VS22" s="64"/>
      <c r="VT22" s="64"/>
      <c r="VU22" s="64"/>
      <c r="VV22" s="64"/>
      <c r="VW22" s="64"/>
      <c r="VX22" s="64"/>
      <c r="VY22" s="64"/>
      <c r="VZ22" s="64"/>
      <c r="WA22" s="64"/>
      <c r="WB22" s="64"/>
      <c r="WC22" s="64"/>
      <c r="WD22" s="64"/>
      <c r="WE22" s="64"/>
      <c r="WF22" s="64"/>
      <c r="WG22" s="64"/>
      <c r="WH22" s="64"/>
      <c r="WI22" s="64"/>
      <c r="WJ22" s="64"/>
      <c r="WK22" s="64"/>
      <c r="WL22" s="64"/>
      <c r="WM22" s="64"/>
      <c r="WN22" s="64"/>
      <c r="WO22" s="64"/>
      <c r="WP22" s="64"/>
      <c r="WQ22" s="64"/>
      <c r="WR22" s="64"/>
      <c r="WS22" s="64"/>
      <c r="WT22" s="64"/>
      <c r="WU22" s="64"/>
      <c r="WV22" s="64"/>
      <c r="WW22" s="64"/>
      <c r="WX22" s="64"/>
      <c r="WY22" s="64"/>
      <c r="WZ22" s="64"/>
      <c r="XA22" s="64"/>
      <c r="XB22" s="64"/>
      <c r="XC22" s="64"/>
      <c r="XD22" s="64"/>
      <c r="XE22" s="64"/>
      <c r="XF22" s="64"/>
      <c r="XG22" s="64"/>
      <c r="XH22" s="64"/>
      <c r="XI22" s="64"/>
      <c r="XJ22" s="64"/>
      <c r="XK22" s="64"/>
      <c r="XL22" s="64"/>
      <c r="XM22" s="64"/>
      <c r="XN22" s="64"/>
      <c r="XO22" s="64"/>
      <c r="XP22" s="64"/>
      <c r="XQ22" s="64"/>
      <c r="XR22" s="64"/>
      <c r="XS22" s="64"/>
      <c r="XT22" s="64"/>
      <c r="XU22" s="64"/>
      <c r="XV22" s="64"/>
      <c r="XW22" s="64"/>
      <c r="XX22" s="64"/>
      <c r="XY22" s="64"/>
      <c r="XZ22" s="64"/>
      <c r="YA22" s="64"/>
      <c r="YB22" s="64"/>
      <c r="YC22" s="64"/>
      <c r="YD22" s="64"/>
      <c r="YE22" s="64"/>
      <c r="YF22" s="64"/>
      <c r="YG22" s="64"/>
      <c r="YH22" s="64"/>
      <c r="YI22" s="64"/>
      <c r="YJ22" s="64"/>
      <c r="YK22" s="64"/>
      <c r="YL22" s="64"/>
      <c r="YM22" s="64"/>
      <c r="YN22" s="64"/>
      <c r="YO22" s="64"/>
      <c r="YP22" s="64"/>
      <c r="YQ22" s="64"/>
      <c r="YR22" s="64"/>
      <c r="YS22" s="64"/>
      <c r="YT22" s="64"/>
      <c r="YU22" s="64"/>
      <c r="YV22" s="64"/>
      <c r="YW22" s="64"/>
      <c r="YX22" s="64"/>
      <c r="YY22" s="64"/>
      <c r="YZ22" s="64"/>
      <c r="ZA22" s="64"/>
      <c r="ZB22" s="64"/>
      <c r="ZC22" s="64"/>
      <c r="ZD22" s="64"/>
      <c r="ZE22" s="64"/>
      <c r="ZF22" s="64"/>
      <c r="ZG22" s="64"/>
      <c r="ZH22" s="64"/>
      <c r="ZI22" s="64"/>
      <c r="ZJ22" s="64"/>
      <c r="ZK22" s="64"/>
      <c r="ZL22" s="64"/>
      <c r="ZM22" s="64"/>
      <c r="ZN22" s="64"/>
      <c r="ZO22" s="64"/>
      <c r="ZP22" s="64"/>
      <c r="ZQ22" s="64"/>
      <c r="ZR22" s="64"/>
      <c r="ZS22" s="64"/>
      <c r="ZT22" s="64"/>
      <c r="ZU22" s="64"/>
      <c r="ZV22" s="64"/>
      <c r="ZW22" s="64"/>
      <c r="ZX22" s="64"/>
      <c r="ZY22" s="64"/>
      <c r="ZZ22" s="64"/>
      <c r="AAA22" s="64"/>
      <c r="AAB22" s="64"/>
      <c r="AAC22" s="64"/>
      <c r="AAD22" s="64"/>
      <c r="AAE22" s="64"/>
      <c r="AAF22" s="64"/>
      <c r="AAG22" s="64"/>
      <c r="AAH22" s="64"/>
      <c r="AAI22" s="64"/>
      <c r="AAJ22" s="64"/>
      <c r="AAK22" s="64"/>
      <c r="AAL22" s="64"/>
      <c r="AAM22" s="64"/>
      <c r="AAN22" s="64"/>
      <c r="AAO22" s="64"/>
      <c r="AAP22" s="64"/>
      <c r="AAQ22" s="64"/>
      <c r="AAR22" s="64"/>
      <c r="AAS22" s="64"/>
      <c r="AAT22" s="64"/>
      <c r="AAU22" s="64"/>
      <c r="AAV22" s="64"/>
      <c r="AAW22" s="64"/>
      <c r="AAX22" s="64"/>
      <c r="AAY22" s="64"/>
      <c r="AAZ22" s="64"/>
      <c r="ABA22" s="64"/>
      <c r="ABB22" s="64"/>
      <c r="ABC22" s="64"/>
      <c r="ABD22" s="64"/>
      <c r="ABE22" s="64"/>
      <c r="ABF22" s="64"/>
      <c r="ABG22" s="64"/>
      <c r="ABH22" s="64"/>
      <c r="ABI22" s="64"/>
      <c r="ABJ22" s="64"/>
      <c r="ABK22" s="64"/>
      <c r="ABL22" s="64"/>
      <c r="ABM22" s="64"/>
      <c r="ABN22" s="64"/>
      <c r="ABO22" s="64"/>
      <c r="ABP22" s="64"/>
      <c r="ABQ22" s="64"/>
      <c r="ABR22" s="64"/>
      <c r="ABS22" s="64"/>
      <c r="ABT22" s="64"/>
      <c r="ABU22" s="64"/>
      <c r="ABV22" s="64"/>
      <c r="ABW22" s="64"/>
      <c r="ABX22" s="64"/>
      <c r="ABY22" s="64"/>
      <c r="ABZ22" s="64"/>
      <c r="ACA22" s="64"/>
      <c r="ACB22" s="64"/>
      <c r="ACC22" s="64"/>
      <c r="ACD22" s="64"/>
      <c r="ACE22" s="64"/>
      <c r="ACF22" s="64"/>
      <c r="ACG22" s="64"/>
      <c r="ACH22" s="64"/>
      <c r="ACI22" s="64"/>
      <c r="ACJ22" s="64"/>
      <c r="ACK22" s="64"/>
      <c r="ACL22" s="64"/>
      <c r="ACM22" s="64"/>
      <c r="ACN22" s="64"/>
      <c r="ACO22" s="64"/>
      <c r="ACP22" s="64"/>
      <c r="ACQ22" s="64"/>
      <c r="ACR22" s="64"/>
      <c r="ACS22" s="64"/>
      <c r="ACT22" s="64"/>
      <c r="ACU22" s="64"/>
      <c r="ACV22" s="64"/>
      <c r="ACW22" s="64"/>
      <c r="ACX22" s="64"/>
      <c r="ACY22" s="64"/>
      <c r="ACZ22" s="64"/>
      <c r="ADA22" s="64"/>
      <c r="ADB22" s="64"/>
      <c r="ADC22" s="64"/>
      <c r="ADD22" s="64"/>
      <c r="ADE22" s="64"/>
      <c r="ADF22" s="64"/>
      <c r="ADG22" s="64"/>
      <c r="ADH22" s="64"/>
      <c r="ADI22" s="64"/>
      <c r="ADJ22" s="64"/>
      <c r="ADK22" s="64"/>
      <c r="ADL22" s="64"/>
      <c r="ADM22" s="64"/>
      <c r="ADN22" s="64"/>
      <c r="ADO22" s="64"/>
      <c r="ADP22" s="64"/>
      <c r="ADQ22" s="64"/>
      <c r="ADR22" s="64"/>
      <c r="ADS22" s="64"/>
      <c r="ADT22" s="64"/>
      <c r="ADU22" s="64"/>
      <c r="ADV22" s="64"/>
      <c r="ADW22" s="64"/>
      <c r="ADX22" s="64"/>
      <c r="ADY22" s="64"/>
      <c r="ADZ22" s="64"/>
      <c r="AEA22" s="64"/>
      <c r="AEB22" s="64"/>
      <c r="AEC22" s="64"/>
      <c r="AED22" s="64"/>
      <c r="AEE22" s="64"/>
      <c r="AEF22" s="64"/>
      <c r="AEG22" s="64"/>
      <c r="AEH22" s="64"/>
      <c r="AEI22" s="64"/>
      <c r="AEJ22" s="64"/>
      <c r="AEK22" s="64"/>
      <c r="AEL22" s="64"/>
      <c r="AEM22" s="64"/>
      <c r="AEN22" s="64"/>
      <c r="AEO22" s="64"/>
      <c r="AEP22" s="64"/>
      <c r="AEQ22" s="64"/>
      <c r="AER22" s="64"/>
      <c r="AES22" s="64"/>
      <c r="AET22" s="64"/>
      <c r="AEU22" s="64"/>
      <c r="AEV22" s="64"/>
      <c r="AEW22" s="64"/>
      <c r="AEX22" s="64"/>
      <c r="AEY22" s="64"/>
      <c r="AEZ22" s="64"/>
      <c r="AFA22" s="64"/>
      <c r="AFB22" s="64"/>
      <c r="AFC22" s="64"/>
      <c r="AFD22" s="64"/>
      <c r="AFE22" s="64"/>
      <c r="AFF22" s="64"/>
      <c r="AFG22" s="64"/>
      <c r="AFH22" s="64"/>
      <c r="AFI22" s="64"/>
      <c r="AFJ22" s="64"/>
      <c r="AFK22" s="64"/>
      <c r="AFL22" s="64"/>
      <c r="AFM22" s="64"/>
      <c r="AFN22" s="64"/>
      <c r="AFO22" s="64"/>
      <c r="AFP22" s="64"/>
      <c r="AFQ22" s="64"/>
      <c r="AFR22" s="64"/>
      <c r="AFS22" s="64"/>
      <c r="AFT22" s="64"/>
      <c r="AFU22" s="64"/>
      <c r="AFV22" s="64"/>
      <c r="AFW22" s="64"/>
      <c r="AFX22" s="64"/>
      <c r="AFY22" s="64"/>
      <c r="AFZ22" s="64"/>
      <c r="AGA22" s="64"/>
      <c r="AGB22" s="64"/>
      <c r="AGC22" s="64"/>
      <c r="AGD22" s="64"/>
      <c r="AGE22" s="64"/>
      <c r="AGF22" s="64"/>
      <c r="AGG22" s="64"/>
      <c r="AGH22" s="64"/>
      <c r="AGI22" s="64"/>
      <c r="AGJ22" s="64"/>
      <c r="AGK22" s="64"/>
      <c r="AGL22" s="64"/>
      <c r="AGM22" s="64"/>
      <c r="AGN22" s="64"/>
      <c r="AGO22" s="64"/>
      <c r="AGP22" s="64"/>
      <c r="AGQ22" s="64"/>
      <c r="AGR22" s="64"/>
      <c r="AGS22" s="64"/>
      <c r="AGT22" s="64"/>
      <c r="AGU22" s="64"/>
      <c r="AGV22" s="64"/>
      <c r="AGW22" s="64"/>
      <c r="AGX22" s="64"/>
      <c r="AGY22" s="64"/>
      <c r="AGZ22" s="64"/>
      <c r="AHA22" s="64"/>
      <c r="AHB22" s="64"/>
      <c r="AHC22" s="64"/>
      <c r="AHD22" s="64"/>
      <c r="AHE22" s="64"/>
      <c r="AHF22" s="64"/>
      <c r="AHG22" s="64"/>
      <c r="AHH22" s="64"/>
      <c r="AHI22" s="64"/>
      <c r="AHJ22" s="64"/>
      <c r="AHK22" s="64"/>
      <c r="AHL22" s="64"/>
      <c r="AHM22" s="64"/>
      <c r="AHN22" s="64"/>
      <c r="AHO22" s="64"/>
      <c r="AHP22" s="64"/>
      <c r="AHQ22" s="64"/>
      <c r="AHR22" s="64"/>
      <c r="AHS22" s="64"/>
      <c r="AHT22" s="64"/>
      <c r="AHU22" s="64"/>
      <c r="AHV22" s="64"/>
      <c r="AHW22" s="64"/>
      <c r="AHX22" s="64"/>
      <c r="AHY22" s="64"/>
      <c r="AHZ22" s="64"/>
      <c r="AIA22" s="64"/>
      <c r="AIB22" s="64"/>
      <c r="AIC22" s="64"/>
      <c r="AID22" s="64"/>
      <c r="AIE22" s="64"/>
      <c r="AIF22" s="64"/>
      <c r="AIG22" s="64"/>
      <c r="AIH22" s="64"/>
      <c r="AII22" s="64"/>
      <c r="AIJ22" s="64"/>
      <c r="AIK22" s="64"/>
      <c r="AIL22" s="64"/>
      <c r="AIM22" s="64"/>
      <c r="AIN22" s="64"/>
      <c r="AIO22" s="64"/>
      <c r="AIP22" s="64"/>
      <c r="AIQ22" s="64"/>
      <c r="AIR22" s="64"/>
      <c r="AIS22" s="64"/>
      <c r="AIT22" s="64"/>
      <c r="AIU22" s="64"/>
      <c r="AIV22" s="64"/>
      <c r="AIW22" s="64"/>
      <c r="AIX22" s="64"/>
      <c r="AIY22" s="64"/>
      <c r="AIZ22" s="64"/>
      <c r="AJA22" s="64"/>
      <c r="AJB22" s="64"/>
      <c r="AJC22" s="64"/>
      <c r="AJD22" s="64"/>
      <c r="AJE22" s="64"/>
      <c r="AJF22" s="64"/>
      <c r="AJG22" s="64"/>
      <c r="AJH22" s="64"/>
      <c r="AJI22" s="64"/>
      <c r="AJJ22" s="64"/>
      <c r="AJK22" s="64"/>
      <c r="AJL22" s="64"/>
      <c r="AJM22" s="64"/>
      <c r="AJN22" s="64"/>
      <c r="AJO22" s="64"/>
      <c r="AJP22" s="64"/>
      <c r="AJQ22" s="64"/>
      <c r="AJR22" s="64"/>
      <c r="AJS22" s="64"/>
      <c r="AJT22" s="64"/>
      <c r="AJU22" s="64"/>
      <c r="AJV22" s="64"/>
      <c r="AJW22" s="64"/>
      <c r="AJX22" s="64"/>
      <c r="AJY22" s="64"/>
      <c r="AJZ22" s="64"/>
      <c r="AKA22" s="64"/>
      <c r="AKB22" s="64"/>
      <c r="AKC22" s="64"/>
      <c r="AKD22" s="64"/>
      <c r="AKE22" s="64"/>
      <c r="AKF22" s="64"/>
      <c r="AKG22" s="64"/>
      <c r="AKH22" s="64"/>
      <c r="AKI22" s="64"/>
      <c r="AKJ22" s="64"/>
      <c r="AKK22" s="64"/>
      <c r="AKL22" s="64"/>
      <c r="AKM22" s="64"/>
      <c r="AKN22" s="64"/>
      <c r="AKO22" s="64"/>
      <c r="AKP22" s="64"/>
      <c r="AKQ22" s="64"/>
      <c r="AKR22" s="64"/>
      <c r="AKS22" s="64"/>
      <c r="AKT22" s="64"/>
      <c r="AKU22" s="64"/>
      <c r="AKV22" s="64"/>
      <c r="AKW22" s="64"/>
      <c r="AKX22" s="64"/>
      <c r="AKY22" s="64"/>
      <c r="AKZ22" s="64"/>
      <c r="ALA22" s="64"/>
      <c r="ALB22" s="64"/>
      <c r="ALC22" s="64"/>
      <c r="ALD22" s="64"/>
      <c r="ALE22" s="64"/>
      <c r="ALF22" s="64"/>
      <c r="ALG22" s="64"/>
      <c r="ALH22" s="64"/>
      <c r="ALI22" s="64"/>
      <c r="ALJ22" s="64"/>
      <c r="ALK22" s="64"/>
      <c r="ALL22" s="64"/>
      <c r="ALM22" s="64"/>
      <c r="ALN22" s="64"/>
      <c r="ALO22" s="64"/>
      <c r="ALP22" s="64"/>
      <c r="ALQ22" s="64"/>
      <c r="ALR22" s="64"/>
      <c r="ALS22" s="64"/>
      <c r="ALT22" s="64"/>
      <c r="ALU22" s="64"/>
      <c r="ALV22" s="64"/>
      <c r="ALW22" s="64"/>
      <c r="ALX22" s="64"/>
      <c r="ALY22" s="64"/>
      <c r="ALZ22" s="64"/>
      <c r="AMA22" s="64"/>
      <c r="AMB22" s="64"/>
      <c r="AMC22" s="64"/>
      <c r="AMD22" s="64"/>
      <c r="AME22" s="64"/>
      <c r="AMF22" s="64"/>
      <c r="AMG22" s="64"/>
      <c r="AMH22" s="64"/>
      <c r="AMI22" s="64"/>
      <c r="AMJ22" s="64"/>
      <c r="AMK22" s="64"/>
      <c r="AML22" s="64"/>
      <c r="AMM22" s="64"/>
      <c r="AMN22" s="64"/>
      <c r="AMO22" s="64"/>
      <c r="AMP22" s="64"/>
      <c r="AMQ22" s="64"/>
      <c r="AMR22" s="64"/>
      <c r="AMS22" s="64"/>
      <c r="AMT22" s="64"/>
      <c r="AMU22" s="64"/>
      <c r="AMV22" s="64"/>
      <c r="AMW22" s="64"/>
      <c r="AMX22" s="64"/>
      <c r="AMY22" s="64"/>
      <c r="AMZ22" s="64"/>
      <c r="ANA22" s="64"/>
      <c r="ANB22" s="64"/>
      <c r="ANC22" s="64"/>
      <c r="AND22" s="64"/>
      <c r="ANE22" s="64"/>
      <c r="ANF22" s="64"/>
      <c r="ANG22" s="64"/>
      <c r="ANH22" s="64"/>
      <c r="ANI22" s="64"/>
      <c r="ANJ22" s="64"/>
      <c r="ANK22" s="64"/>
      <c r="ANL22" s="64"/>
      <c r="ANM22" s="64"/>
      <c r="ANN22" s="64"/>
      <c r="ANO22" s="64"/>
      <c r="ANP22" s="64"/>
      <c r="ANQ22" s="64"/>
      <c r="ANR22" s="64"/>
      <c r="ANS22" s="64"/>
      <c r="ANT22" s="64"/>
      <c r="ANU22" s="64"/>
      <c r="ANV22" s="64"/>
      <c r="ANW22" s="64"/>
      <c r="ANX22" s="64"/>
      <c r="ANY22" s="64"/>
      <c r="ANZ22" s="64"/>
      <c r="AOA22" s="64"/>
      <c r="AOB22" s="64"/>
      <c r="AOC22" s="64"/>
      <c r="AOD22" s="64"/>
      <c r="AOE22" s="64"/>
      <c r="AOF22" s="64"/>
      <c r="AOG22" s="64"/>
      <c r="AOH22" s="64"/>
      <c r="AOI22" s="64"/>
      <c r="AOJ22" s="64"/>
      <c r="AOK22" s="64"/>
      <c r="AOL22" s="64"/>
      <c r="AOM22" s="64"/>
      <c r="AON22" s="64"/>
      <c r="AOO22" s="64"/>
      <c r="AOP22" s="64"/>
      <c r="AOQ22" s="64"/>
      <c r="AOR22" s="64"/>
      <c r="AOS22" s="64"/>
      <c r="AOT22" s="64"/>
      <c r="AOU22" s="64"/>
      <c r="AOV22" s="64"/>
      <c r="AOW22" s="64"/>
      <c r="AOX22" s="64"/>
      <c r="AOY22" s="64"/>
      <c r="AOZ22" s="64"/>
      <c r="APA22" s="64"/>
      <c r="APB22" s="64"/>
      <c r="APC22" s="64"/>
      <c r="APD22" s="64"/>
      <c r="APE22" s="64"/>
      <c r="APF22" s="64"/>
      <c r="APG22" s="64"/>
      <c r="APH22" s="64"/>
      <c r="API22" s="64"/>
      <c r="APJ22" s="64"/>
      <c r="APK22" s="64"/>
      <c r="APL22" s="64"/>
      <c r="APM22" s="64"/>
      <c r="APN22" s="64"/>
      <c r="APO22" s="64"/>
      <c r="APP22" s="64"/>
      <c r="APQ22" s="64"/>
      <c r="APR22" s="64"/>
      <c r="APS22" s="64"/>
      <c r="APT22" s="64"/>
      <c r="APU22" s="64"/>
      <c r="APV22" s="64"/>
      <c r="APW22" s="64"/>
      <c r="APX22" s="64"/>
      <c r="APY22" s="64"/>
      <c r="APZ22" s="64"/>
      <c r="AQA22" s="64"/>
      <c r="AQB22" s="64"/>
      <c r="AQC22" s="64"/>
      <c r="AQD22" s="64"/>
      <c r="AQE22" s="64"/>
      <c r="AQF22" s="64"/>
      <c r="AQG22" s="64"/>
      <c r="AQH22" s="64"/>
      <c r="AQI22" s="64"/>
      <c r="AQJ22" s="64"/>
      <c r="AQK22" s="64"/>
      <c r="AQL22" s="64"/>
      <c r="AQM22" s="64"/>
      <c r="AQN22" s="64"/>
      <c r="AQO22" s="64"/>
      <c r="AQP22" s="64"/>
      <c r="AQQ22" s="64"/>
      <c r="AQR22" s="64"/>
      <c r="AQS22" s="64"/>
      <c r="AQT22" s="64"/>
      <c r="AQU22" s="64"/>
      <c r="AQV22" s="64"/>
      <c r="AQW22" s="64"/>
      <c r="AQX22" s="64"/>
      <c r="AQY22" s="64"/>
      <c r="AQZ22" s="64"/>
      <c r="ARA22" s="64"/>
      <c r="ARB22" s="64"/>
      <c r="ARC22" s="64"/>
      <c r="ARD22" s="64"/>
      <c r="ARE22" s="64"/>
      <c r="ARF22" s="64"/>
      <c r="ARG22" s="64"/>
      <c r="ARH22" s="64"/>
      <c r="ARI22" s="64"/>
      <c r="ARJ22" s="64"/>
      <c r="ARK22" s="64"/>
      <c r="ARL22" s="64"/>
      <c r="ARM22" s="64"/>
      <c r="ARN22" s="64"/>
      <c r="ARO22" s="64"/>
      <c r="ARP22" s="64"/>
      <c r="ARQ22" s="64"/>
      <c r="ARR22" s="64"/>
      <c r="ARS22" s="64"/>
      <c r="ART22" s="64"/>
      <c r="ARU22" s="64"/>
      <c r="ARV22" s="64"/>
      <c r="ARW22" s="64"/>
      <c r="ARX22" s="64"/>
      <c r="ARY22" s="64"/>
      <c r="ARZ22" s="64"/>
      <c r="ASA22" s="64"/>
      <c r="ASB22" s="64"/>
      <c r="ASC22" s="64"/>
      <c r="ASD22" s="64"/>
      <c r="ASE22" s="64"/>
      <c r="ASF22" s="64"/>
      <c r="ASG22" s="64"/>
      <c r="ASH22" s="64"/>
      <c r="ASI22" s="64"/>
      <c r="ASJ22" s="64"/>
      <c r="ASK22" s="64"/>
      <c r="ASL22" s="64"/>
      <c r="ASM22" s="64"/>
      <c r="ASN22" s="64"/>
      <c r="ASO22" s="64"/>
      <c r="ASP22" s="64"/>
      <c r="ASQ22" s="64"/>
      <c r="ASR22" s="64"/>
      <c r="ASS22" s="64"/>
      <c r="AST22" s="64"/>
      <c r="ASU22" s="64"/>
      <c r="ASV22" s="64"/>
      <c r="ASW22" s="64"/>
      <c r="ASX22" s="64"/>
      <c r="ASY22" s="64"/>
      <c r="ASZ22" s="64"/>
      <c r="ATA22" s="64"/>
      <c r="ATB22" s="64"/>
      <c r="ATC22" s="64"/>
      <c r="ATD22" s="64"/>
      <c r="ATE22" s="64"/>
      <c r="ATF22" s="64"/>
      <c r="ATG22" s="64"/>
      <c r="ATH22" s="64"/>
      <c r="ATI22" s="64"/>
      <c r="ATJ22" s="64"/>
      <c r="ATK22" s="64"/>
      <c r="ATL22" s="64"/>
      <c r="ATM22" s="64"/>
      <c r="ATN22" s="64"/>
      <c r="ATO22" s="64"/>
      <c r="ATP22" s="64"/>
      <c r="ATQ22" s="64"/>
      <c r="ATR22" s="64"/>
      <c r="ATS22" s="64"/>
      <c r="ATT22" s="64"/>
      <c r="ATU22" s="64"/>
      <c r="ATV22" s="64"/>
      <c r="ATW22" s="64"/>
      <c r="ATX22" s="64"/>
      <c r="ATY22" s="64"/>
      <c r="ATZ22" s="64"/>
      <c r="AUA22" s="64"/>
      <c r="AUB22" s="64"/>
      <c r="AUC22" s="64"/>
      <c r="AUD22" s="64"/>
      <c r="AUE22" s="64"/>
      <c r="AUF22" s="64"/>
      <c r="AUG22" s="64"/>
      <c r="AUH22" s="64"/>
      <c r="AUI22" s="64"/>
      <c r="AUJ22" s="64"/>
      <c r="AUK22" s="64"/>
      <c r="AUL22" s="64"/>
      <c r="AUM22" s="64"/>
      <c r="AUN22" s="64"/>
      <c r="AUO22" s="64"/>
      <c r="AUP22" s="64"/>
      <c r="AUQ22" s="64"/>
      <c r="AUR22" s="64"/>
      <c r="AUS22" s="64"/>
      <c r="AUT22" s="64"/>
      <c r="AUU22" s="64"/>
      <c r="AUV22" s="64"/>
      <c r="AUW22" s="64"/>
      <c r="AUX22" s="64"/>
      <c r="AUY22" s="64"/>
      <c r="AUZ22" s="64"/>
      <c r="AVA22" s="64"/>
      <c r="AVB22" s="64"/>
      <c r="AVC22" s="64"/>
      <c r="AVD22" s="64"/>
      <c r="AVE22" s="64"/>
      <c r="AVF22" s="64"/>
      <c r="AVG22" s="64"/>
      <c r="AVH22" s="64"/>
      <c r="AVI22" s="64"/>
      <c r="AVJ22" s="64"/>
      <c r="AVK22" s="64"/>
      <c r="AVL22" s="64"/>
      <c r="AVM22" s="64"/>
      <c r="AVN22" s="64"/>
      <c r="AVO22" s="64"/>
      <c r="AVP22" s="64"/>
      <c r="AVQ22" s="64"/>
      <c r="AVR22" s="64"/>
      <c r="AVS22" s="64"/>
      <c r="AVT22" s="64"/>
      <c r="AVU22" s="64"/>
      <c r="AVV22" s="64"/>
      <c r="AVW22" s="64"/>
      <c r="AVX22" s="64"/>
      <c r="AVY22" s="64"/>
      <c r="AVZ22" s="64"/>
      <c r="AWA22" s="64"/>
      <c r="AWB22" s="64"/>
      <c r="AWC22" s="64"/>
      <c r="AWD22" s="64"/>
      <c r="AWE22" s="64"/>
      <c r="AWF22" s="64"/>
      <c r="AWG22" s="64"/>
      <c r="AWH22" s="64"/>
      <c r="AWI22" s="64"/>
      <c r="AWJ22" s="64"/>
      <c r="AWK22" s="64"/>
      <c r="AWL22" s="64"/>
      <c r="AWM22" s="64"/>
      <c r="AWN22" s="64"/>
      <c r="AWO22" s="64"/>
      <c r="AWP22" s="64"/>
      <c r="AWQ22" s="64"/>
      <c r="AWR22" s="64"/>
      <c r="AWS22" s="64"/>
      <c r="AWT22" s="64"/>
      <c r="AWU22" s="64"/>
      <c r="AWV22" s="64"/>
      <c r="AWW22" s="64"/>
      <c r="AWX22" s="64"/>
      <c r="AWY22" s="64"/>
      <c r="AWZ22" s="64"/>
      <c r="AXA22" s="64"/>
      <c r="AXB22" s="64"/>
      <c r="AXC22" s="64"/>
      <c r="AXD22" s="64"/>
      <c r="AXE22" s="64"/>
      <c r="AXF22" s="64"/>
      <c r="AXG22" s="64"/>
      <c r="AXH22" s="64"/>
      <c r="AXI22" s="64"/>
      <c r="AXJ22" s="64"/>
      <c r="AXK22" s="64"/>
      <c r="AXL22" s="64"/>
      <c r="AXM22" s="64"/>
      <c r="AXN22" s="64"/>
      <c r="AXO22" s="64"/>
      <c r="AXP22" s="64"/>
      <c r="AXQ22" s="64"/>
      <c r="AXR22" s="64"/>
      <c r="AXS22" s="64"/>
      <c r="AXT22" s="64"/>
      <c r="AXU22" s="64"/>
      <c r="AXV22" s="64"/>
      <c r="AXW22" s="64"/>
      <c r="AXX22" s="64"/>
      <c r="AXY22" s="64"/>
      <c r="AXZ22" s="64"/>
      <c r="AYA22" s="64"/>
      <c r="AYB22" s="64"/>
      <c r="AYC22" s="64"/>
      <c r="AYD22" s="64"/>
      <c r="AYE22" s="64"/>
      <c r="AYF22" s="64"/>
      <c r="AYG22" s="64"/>
      <c r="AYH22" s="64"/>
      <c r="AYI22" s="64"/>
      <c r="AYJ22" s="64"/>
      <c r="AYK22" s="64"/>
      <c r="AYL22" s="64"/>
      <c r="AYM22" s="64"/>
      <c r="AYN22" s="64"/>
      <c r="AYO22" s="64"/>
      <c r="AYP22" s="64"/>
      <c r="AYQ22" s="64"/>
      <c r="AYR22" s="64"/>
      <c r="AYS22" s="64"/>
      <c r="AYT22" s="64"/>
      <c r="AYU22" s="64"/>
      <c r="AYV22" s="64"/>
      <c r="AYW22" s="64"/>
      <c r="AYX22" s="64"/>
      <c r="AYY22" s="64"/>
      <c r="AYZ22" s="64"/>
      <c r="AZA22" s="64"/>
      <c r="AZB22" s="64"/>
      <c r="AZC22" s="64"/>
      <c r="AZD22" s="64"/>
      <c r="AZE22" s="64"/>
      <c r="AZF22" s="64"/>
      <c r="AZG22" s="64"/>
      <c r="AZH22" s="64"/>
      <c r="AZI22" s="64"/>
      <c r="AZJ22" s="64"/>
      <c r="AZK22" s="64"/>
      <c r="AZL22" s="64"/>
      <c r="AZM22" s="64"/>
      <c r="AZN22" s="64"/>
      <c r="AZO22" s="64"/>
      <c r="AZP22" s="64"/>
      <c r="AZQ22" s="64"/>
      <c r="AZR22" s="64"/>
      <c r="AZS22" s="64"/>
      <c r="AZT22" s="64"/>
      <c r="AZU22" s="64"/>
      <c r="AZV22" s="64"/>
      <c r="AZW22" s="64"/>
      <c r="AZX22" s="64"/>
      <c r="AZY22" s="64"/>
      <c r="AZZ22" s="64"/>
      <c r="BAA22" s="64"/>
      <c r="BAB22" s="64"/>
      <c r="BAC22" s="64"/>
      <c r="BAD22" s="64"/>
      <c r="BAE22" s="64"/>
      <c r="BAF22" s="64"/>
      <c r="BAG22" s="64"/>
      <c r="BAH22" s="64"/>
      <c r="BAI22" s="64"/>
      <c r="BAJ22" s="64"/>
      <c r="BAK22" s="64"/>
      <c r="BAL22" s="64"/>
      <c r="BAM22" s="64"/>
      <c r="BAN22" s="64"/>
      <c r="BAO22" s="64"/>
      <c r="BAP22" s="64"/>
      <c r="BAQ22" s="64"/>
      <c r="BAR22" s="64"/>
      <c r="BAS22" s="64"/>
      <c r="BAT22" s="64"/>
      <c r="BAU22" s="64"/>
      <c r="BAV22" s="64"/>
      <c r="BAW22" s="64"/>
      <c r="BAX22" s="64"/>
      <c r="BAY22" s="64"/>
      <c r="BAZ22" s="64"/>
      <c r="BBA22" s="64"/>
      <c r="BBB22" s="64"/>
      <c r="BBC22" s="64"/>
      <c r="BBD22" s="64"/>
      <c r="BBE22" s="64"/>
      <c r="BBF22" s="64"/>
      <c r="BBG22" s="64"/>
      <c r="BBH22" s="64"/>
      <c r="BBI22" s="64"/>
      <c r="BBJ22" s="64"/>
      <c r="BBK22" s="64"/>
      <c r="BBL22" s="64"/>
      <c r="BBM22" s="64"/>
      <c r="BBN22" s="64"/>
      <c r="BBO22" s="64"/>
      <c r="BBP22" s="64"/>
      <c r="BBQ22" s="64"/>
      <c r="BBR22" s="64"/>
      <c r="BBS22" s="64"/>
      <c r="BBT22" s="64"/>
      <c r="BBU22" s="64"/>
      <c r="BBV22" s="64"/>
      <c r="BBW22" s="64"/>
      <c r="BBX22" s="64"/>
      <c r="BBY22" s="64"/>
      <c r="BBZ22" s="64"/>
      <c r="BCA22" s="64"/>
      <c r="BCB22" s="64"/>
      <c r="BCC22" s="64"/>
      <c r="BCD22" s="64"/>
      <c r="BCE22" s="64"/>
      <c r="BCF22" s="64"/>
      <c r="BCG22" s="64"/>
      <c r="BCH22" s="64"/>
      <c r="BCI22" s="64"/>
      <c r="BCJ22" s="64"/>
      <c r="BCK22" s="64"/>
      <c r="BCL22" s="64"/>
      <c r="BCM22" s="64"/>
      <c r="BCN22" s="64"/>
      <c r="BCO22" s="64"/>
      <c r="BCP22" s="64"/>
      <c r="BCQ22" s="64"/>
      <c r="BCR22" s="64"/>
      <c r="BCS22" s="64"/>
      <c r="BCT22" s="64"/>
      <c r="BCU22" s="64"/>
      <c r="BCV22" s="64"/>
      <c r="BCW22" s="64"/>
      <c r="BCX22" s="64"/>
      <c r="BCY22" s="64"/>
      <c r="BCZ22" s="64"/>
      <c r="BDA22" s="64"/>
      <c r="BDB22" s="64"/>
      <c r="BDC22" s="64"/>
      <c r="BDD22" s="64"/>
      <c r="BDE22" s="64"/>
      <c r="BDF22" s="64"/>
      <c r="BDG22" s="64"/>
      <c r="BDH22" s="64"/>
      <c r="BDI22" s="64"/>
      <c r="BDJ22" s="64"/>
      <c r="BDK22" s="64"/>
      <c r="BDL22" s="64"/>
      <c r="BDM22" s="64"/>
      <c r="BDN22" s="64"/>
      <c r="BDO22" s="64"/>
      <c r="BDP22" s="64"/>
      <c r="BDQ22" s="64"/>
      <c r="BDR22" s="64"/>
      <c r="BDS22" s="64"/>
      <c r="BDT22" s="64"/>
      <c r="BDU22" s="64"/>
      <c r="BDV22" s="64"/>
      <c r="BDW22" s="64"/>
      <c r="BDX22" s="64"/>
      <c r="BDY22" s="64"/>
      <c r="BDZ22" s="64"/>
      <c r="BEA22" s="64"/>
      <c r="BEB22" s="64"/>
      <c r="BEC22" s="64"/>
      <c r="BED22" s="64"/>
      <c r="BEE22" s="64"/>
      <c r="BEF22" s="64"/>
      <c r="BEG22" s="64"/>
      <c r="BEH22" s="64"/>
      <c r="BEI22" s="64"/>
      <c r="BEJ22" s="64"/>
      <c r="BEK22" s="64"/>
      <c r="BEL22" s="64"/>
      <c r="BEM22" s="64"/>
      <c r="BEN22" s="64"/>
      <c r="BEO22" s="64"/>
      <c r="BEP22" s="64"/>
      <c r="BEQ22" s="64"/>
      <c r="BER22" s="64"/>
      <c r="BES22" s="64"/>
      <c r="BET22" s="64"/>
      <c r="BEU22" s="64"/>
      <c r="BEV22" s="64"/>
      <c r="BEW22" s="64"/>
      <c r="BEX22" s="64"/>
      <c r="BEY22" s="64"/>
      <c r="BEZ22" s="64"/>
      <c r="BFA22" s="64"/>
      <c r="BFB22" s="64"/>
      <c r="BFC22" s="64"/>
      <c r="BFD22" s="64"/>
      <c r="BFE22" s="64"/>
      <c r="BFF22" s="64"/>
      <c r="BFG22" s="64"/>
      <c r="BFH22" s="64"/>
      <c r="BFI22" s="64"/>
      <c r="BFJ22" s="64"/>
      <c r="BFK22" s="64"/>
      <c r="BFL22" s="64"/>
      <c r="BFM22" s="64"/>
      <c r="BFN22" s="64"/>
      <c r="BFO22" s="64"/>
      <c r="BFP22" s="64"/>
      <c r="BFQ22" s="64"/>
      <c r="BFR22" s="64"/>
      <c r="BFS22" s="64"/>
      <c r="BFT22" s="64"/>
      <c r="BFU22" s="64"/>
      <c r="BFV22" s="64"/>
      <c r="BFW22" s="64"/>
      <c r="BFX22" s="64"/>
      <c r="BFY22" s="64"/>
      <c r="BFZ22" s="64"/>
      <c r="BGA22" s="64"/>
      <c r="BGB22" s="64"/>
      <c r="BGC22" s="64"/>
      <c r="BGD22" s="64"/>
      <c r="BGE22" s="64"/>
      <c r="BGF22" s="64"/>
      <c r="BGG22" s="64"/>
      <c r="BGH22" s="64"/>
      <c r="BGI22" s="64"/>
      <c r="BGJ22" s="64"/>
      <c r="BGK22" s="64"/>
      <c r="BGL22" s="64"/>
      <c r="BGM22" s="64"/>
      <c r="BGN22" s="64"/>
      <c r="BGO22" s="64"/>
      <c r="BGP22" s="64"/>
      <c r="BGQ22" s="64"/>
      <c r="BGR22" s="64"/>
      <c r="BGS22" s="64"/>
      <c r="BGT22" s="64"/>
      <c r="BGU22" s="64"/>
      <c r="BGV22" s="64"/>
      <c r="BGW22" s="64"/>
      <c r="BGX22" s="64"/>
      <c r="BGY22" s="64"/>
      <c r="BGZ22" s="64"/>
      <c r="BHA22" s="64"/>
      <c r="BHB22" s="64"/>
      <c r="BHC22" s="64"/>
      <c r="BHD22" s="64"/>
      <c r="BHE22" s="64"/>
      <c r="BHF22" s="64"/>
      <c r="BHG22" s="64"/>
      <c r="BHH22" s="64"/>
      <c r="BHI22" s="64"/>
      <c r="BHJ22" s="64"/>
      <c r="BHK22" s="64"/>
      <c r="BHL22" s="64"/>
      <c r="BHM22" s="64"/>
      <c r="BHN22" s="64"/>
      <c r="BHO22" s="64"/>
      <c r="BHP22" s="64"/>
      <c r="BHQ22" s="64"/>
      <c r="BHR22" s="64"/>
      <c r="BHS22" s="64"/>
      <c r="BHT22" s="64"/>
      <c r="BHU22" s="64"/>
      <c r="BHV22" s="64"/>
      <c r="BHW22" s="64"/>
      <c r="BHX22" s="64"/>
      <c r="BHY22" s="64"/>
      <c r="BHZ22" s="64"/>
      <c r="BIA22" s="64"/>
      <c r="BIB22" s="64"/>
      <c r="BIC22" s="64"/>
      <c r="BID22" s="64"/>
      <c r="BIE22" s="64"/>
      <c r="BIF22" s="64"/>
      <c r="BIG22" s="64"/>
      <c r="BIH22" s="64"/>
      <c r="BII22" s="64"/>
      <c r="BIJ22" s="64"/>
      <c r="BIK22" s="64"/>
      <c r="BIL22" s="64"/>
      <c r="BIM22" s="64"/>
      <c r="BIN22" s="64"/>
      <c r="BIO22" s="64"/>
      <c r="BIP22" s="64"/>
      <c r="BIQ22" s="64"/>
      <c r="BIR22" s="64"/>
      <c r="BIS22" s="64"/>
      <c r="BIT22" s="64"/>
      <c r="BIU22" s="64"/>
      <c r="BIV22" s="64"/>
      <c r="BIW22" s="64"/>
      <c r="BIX22" s="64"/>
      <c r="BIY22" s="64"/>
      <c r="BIZ22" s="64"/>
      <c r="BJA22" s="64"/>
      <c r="BJB22" s="64"/>
      <c r="BJC22" s="64"/>
      <c r="BJD22" s="64"/>
      <c r="BJE22" s="64"/>
      <c r="BJF22" s="64"/>
      <c r="BJG22" s="64"/>
      <c r="BJH22" s="64"/>
      <c r="BJI22" s="64"/>
      <c r="BJJ22" s="64"/>
      <c r="BJK22" s="64"/>
      <c r="BJL22" s="64"/>
      <c r="BJM22" s="64"/>
      <c r="BJN22" s="64"/>
      <c r="BJO22" s="64"/>
      <c r="BJP22" s="64"/>
      <c r="BJQ22" s="64"/>
      <c r="BJR22" s="64"/>
      <c r="BJS22" s="64"/>
      <c r="BJT22" s="64"/>
      <c r="BJU22" s="64"/>
      <c r="BJV22" s="64"/>
      <c r="BJW22" s="64"/>
      <c r="BJX22" s="64"/>
      <c r="BJY22" s="64"/>
      <c r="BJZ22" s="64"/>
      <c r="BKA22" s="64"/>
      <c r="BKB22" s="64"/>
      <c r="BKC22" s="64"/>
      <c r="BKD22" s="64"/>
      <c r="BKE22" s="64"/>
      <c r="BKF22" s="64"/>
      <c r="BKG22" s="64"/>
      <c r="BKH22" s="64"/>
      <c r="BKI22" s="64"/>
      <c r="BKJ22" s="64"/>
      <c r="BKK22" s="64"/>
      <c r="BKL22" s="64"/>
      <c r="BKM22" s="64"/>
      <c r="BKN22" s="64"/>
      <c r="BKO22" s="64"/>
      <c r="BKP22" s="64"/>
      <c r="BKQ22" s="64"/>
      <c r="BKR22" s="64"/>
      <c r="BKS22" s="64"/>
      <c r="BKT22" s="64"/>
      <c r="BKU22" s="64"/>
      <c r="BKV22" s="64"/>
      <c r="BKW22" s="64"/>
      <c r="BKX22" s="64"/>
      <c r="BKY22" s="64"/>
      <c r="BKZ22" s="64"/>
      <c r="BLA22" s="64"/>
      <c r="BLB22" s="64"/>
      <c r="BLC22" s="64"/>
      <c r="BLD22" s="64"/>
      <c r="BLE22" s="64"/>
      <c r="BLF22" s="64"/>
      <c r="BLG22" s="64"/>
      <c r="BLH22" s="64"/>
      <c r="BLI22" s="64"/>
      <c r="BLJ22" s="64"/>
      <c r="BLK22" s="64"/>
      <c r="BLL22" s="64"/>
      <c r="BLM22" s="64"/>
      <c r="BLN22" s="64"/>
      <c r="BLO22" s="64"/>
      <c r="BLP22" s="64"/>
      <c r="BLQ22" s="64"/>
      <c r="BLR22" s="64"/>
      <c r="BLS22" s="64"/>
      <c r="BLT22" s="64"/>
      <c r="BLU22" s="64"/>
      <c r="BLV22" s="64"/>
      <c r="BLW22" s="64"/>
      <c r="BLX22" s="64"/>
      <c r="BLY22" s="64"/>
      <c r="BLZ22" s="64"/>
      <c r="BMA22" s="64"/>
      <c r="BMB22" s="64"/>
      <c r="BMC22" s="64"/>
      <c r="BMD22" s="64"/>
      <c r="BME22" s="64"/>
      <c r="BMF22" s="64"/>
      <c r="BMG22" s="64"/>
      <c r="BMH22" s="64"/>
      <c r="BMI22" s="64"/>
      <c r="BMJ22" s="64"/>
      <c r="BMK22" s="64"/>
      <c r="BML22" s="64"/>
      <c r="BMM22" s="64"/>
      <c r="BMN22" s="64"/>
      <c r="BMO22" s="64"/>
      <c r="BMP22" s="64"/>
      <c r="BMQ22" s="64"/>
      <c r="BMR22" s="64"/>
      <c r="BMS22" s="64"/>
      <c r="BMT22" s="64"/>
      <c r="BMU22" s="64"/>
      <c r="BMV22" s="64"/>
      <c r="BMW22" s="64"/>
      <c r="BMX22" s="64"/>
      <c r="BMY22" s="64"/>
      <c r="BMZ22" s="64"/>
      <c r="BNA22" s="64"/>
      <c r="BNB22" s="64"/>
      <c r="BNC22" s="64"/>
      <c r="BND22" s="64"/>
      <c r="BNE22" s="64"/>
      <c r="BNF22" s="64"/>
      <c r="BNG22" s="64"/>
      <c r="BNH22" s="64"/>
      <c r="BNI22" s="64"/>
      <c r="BNJ22" s="64"/>
      <c r="BNK22" s="64"/>
      <c r="BNL22" s="64"/>
      <c r="BNM22" s="64"/>
      <c r="BNN22" s="64"/>
      <c r="BNO22" s="64"/>
      <c r="BNP22" s="64"/>
      <c r="BNQ22" s="64"/>
      <c r="BNR22" s="64"/>
      <c r="BNS22" s="64"/>
      <c r="BNT22" s="64"/>
      <c r="BNU22" s="64"/>
      <c r="BNV22" s="64"/>
      <c r="BNW22" s="64"/>
      <c r="BNX22" s="64"/>
      <c r="BNY22" s="64"/>
      <c r="BNZ22" s="64"/>
      <c r="BOA22" s="64"/>
      <c r="BOB22" s="64"/>
      <c r="BOC22" s="64"/>
      <c r="BOD22" s="64"/>
      <c r="BOE22" s="64"/>
      <c r="BOF22" s="64"/>
      <c r="BOG22" s="64"/>
      <c r="BOH22" s="64"/>
      <c r="BOI22" s="64"/>
      <c r="BOJ22" s="64"/>
      <c r="BOK22" s="64"/>
      <c r="BOL22" s="64"/>
      <c r="BOM22" s="64"/>
      <c r="BON22" s="64"/>
      <c r="BOO22" s="64"/>
      <c r="BOP22" s="64"/>
      <c r="BOQ22" s="64"/>
      <c r="BOR22" s="64"/>
      <c r="BOS22" s="64"/>
      <c r="BOT22" s="64"/>
      <c r="BOU22" s="64"/>
      <c r="BOV22" s="64"/>
      <c r="BOW22" s="64"/>
      <c r="BOX22" s="64"/>
      <c r="BOY22" s="64"/>
      <c r="BOZ22" s="64"/>
      <c r="BPA22" s="64"/>
      <c r="BPB22" s="64"/>
      <c r="BPC22" s="64"/>
      <c r="BPD22" s="64"/>
      <c r="BPE22" s="64"/>
      <c r="BPF22" s="64"/>
      <c r="BPG22" s="64"/>
      <c r="BPH22" s="64"/>
      <c r="BPI22" s="64"/>
      <c r="BPJ22" s="64"/>
      <c r="BPK22" s="64"/>
      <c r="BPL22" s="64"/>
      <c r="BPM22" s="64"/>
      <c r="BPN22" s="64"/>
      <c r="BPO22" s="64"/>
      <c r="BPP22" s="64"/>
      <c r="BPQ22" s="64"/>
      <c r="BPR22" s="64"/>
      <c r="BPS22" s="64"/>
      <c r="BPT22" s="64"/>
      <c r="BPU22" s="64"/>
      <c r="BPV22" s="64"/>
      <c r="BPW22" s="64"/>
      <c r="BPX22" s="64"/>
      <c r="BPY22" s="64"/>
      <c r="BPZ22" s="64"/>
      <c r="BQA22" s="64"/>
      <c r="BQB22" s="64"/>
      <c r="BQC22" s="64"/>
      <c r="BQD22" s="64"/>
      <c r="BQE22" s="64"/>
      <c r="BQF22" s="64"/>
      <c r="BQG22" s="64"/>
      <c r="BQH22" s="64"/>
      <c r="BQI22" s="64"/>
      <c r="BQJ22" s="64"/>
      <c r="BQK22" s="64"/>
      <c r="BQL22" s="64"/>
      <c r="BQM22" s="64"/>
      <c r="BQN22" s="64"/>
      <c r="BQO22" s="64"/>
      <c r="BQP22" s="64"/>
      <c r="BQQ22" s="64"/>
      <c r="BQR22" s="64"/>
      <c r="BQS22" s="64"/>
      <c r="BQT22" s="64"/>
      <c r="BQU22" s="64"/>
      <c r="BQV22" s="64"/>
      <c r="BQW22" s="64"/>
      <c r="BQX22" s="64"/>
      <c r="BQY22" s="64"/>
      <c r="BQZ22" s="64"/>
      <c r="BRA22" s="64"/>
      <c r="BRB22" s="64"/>
      <c r="BRC22" s="64"/>
      <c r="BRD22" s="64"/>
      <c r="BRE22" s="64"/>
      <c r="BRF22" s="64"/>
      <c r="BRG22" s="64"/>
      <c r="BRH22" s="64"/>
      <c r="BRI22" s="64"/>
      <c r="BRJ22" s="64"/>
      <c r="BRK22" s="64"/>
      <c r="BRL22" s="64"/>
      <c r="BRM22" s="64"/>
      <c r="BRN22" s="64"/>
      <c r="BRO22" s="64"/>
      <c r="BRP22" s="64"/>
      <c r="BRQ22" s="64"/>
      <c r="BRR22" s="64"/>
      <c r="BRS22" s="64"/>
      <c r="BRT22" s="64"/>
      <c r="BRU22" s="64"/>
      <c r="BRV22" s="64"/>
      <c r="BRW22" s="64"/>
      <c r="BRX22" s="64"/>
      <c r="BRY22" s="64"/>
      <c r="BRZ22" s="64"/>
      <c r="BSA22" s="64"/>
      <c r="BSB22" s="64"/>
      <c r="BSC22" s="64"/>
      <c r="BSD22" s="64"/>
      <c r="BSE22" s="64"/>
      <c r="BSF22" s="64"/>
      <c r="BSG22" s="64"/>
      <c r="BSH22" s="64"/>
      <c r="BSI22" s="64"/>
      <c r="BSJ22" s="64"/>
      <c r="BSK22" s="64"/>
      <c r="BSL22" s="64"/>
      <c r="BSM22" s="64"/>
      <c r="BSN22" s="64"/>
      <c r="BSO22" s="64"/>
      <c r="BSP22" s="64"/>
      <c r="BSQ22" s="64"/>
      <c r="BSR22" s="64"/>
      <c r="BSS22" s="64"/>
      <c r="BST22" s="64"/>
      <c r="BSU22" s="64"/>
      <c r="BSV22" s="64"/>
      <c r="BSW22" s="64"/>
      <c r="BSX22" s="64"/>
      <c r="BSY22" s="64"/>
      <c r="BSZ22" s="64"/>
      <c r="BTA22" s="64"/>
      <c r="BTB22" s="64"/>
      <c r="BTC22" s="64"/>
      <c r="BTD22" s="64"/>
      <c r="BTE22" s="64"/>
      <c r="BTF22" s="64"/>
      <c r="BTG22" s="64"/>
      <c r="BTH22" s="64"/>
      <c r="BTI22" s="64"/>
      <c r="BTJ22" s="64"/>
      <c r="BTK22" s="64"/>
      <c r="BTL22" s="64"/>
      <c r="BTM22" s="64"/>
      <c r="BTN22" s="64"/>
      <c r="BTO22" s="64"/>
      <c r="BTP22" s="64"/>
      <c r="BTQ22" s="64"/>
      <c r="BTR22" s="64"/>
      <c r="BTS22" s="64"/>
      <c r="BTT22" s="64"/>
      <c r="BTU22" s="64"/>
      <c r="BTV22" s="64"/>
      <c r="BTW22" s="64"/>
      <c r="BTX22" s="64"/>
      <c r="BTY22" s="64"/>
      <c r="BTZ22" s="64"/>
      <c r="BUA22" s="64"/>
      <c r="BUB22" s="64"/>
      <c r="BUC22" s="64"/>
      <c r="BUD22" s="64"/>
      <c r="BUE22" s="64"/>
      <c r="BUF22" s="64"/>
      <c r="BUG22" s="64"/>
      <c r="BUH22" s="64"/>
      <c r="BUI22" s="64"/>
      <c r="BUJ22" s="64"/>
      <c r="BUK22" s="64"/>
      <c r="BUL22" s="64"/>
      <c r="BUM22" s="64"/>
      <c r="BUN22" s="64"/>
      <c r="BUO22" s="64"/>
      <c r="BUP22" s="64"/>
      <c r="BUQ22" s="64"/>
      <c r="BUR22" s="64"/>
      <c r="BUS22" s="64"/>
      <c r="BUT22" s="64"/>
      <c r="BUU22" s="64"/>
      <c r="BUV22" s="64"/>
      <c r="BUW22" s="64"/>
      <c r="BUX22" s="64"/>
      <c r="BUY22" s="64"/>
      <c r="BUZ22" s="64"/>
      <c r="BVA22" s="64"/>
      <c r="BVB22" s="64"/>
      <c r="BVC22" s="64"/>
      <c r="BVD22" s="64"/>
      <c r="BVE22" s="64"/>
      <c r="BVF22" s="64"/>
      <c r="BVG22" s="64"/>
      <c r="BVH22" s="64"/>
      <c r="BVI22" s="64"/>
      <c r="BVJ22" s="64"/>
      <c r="BVK22" s="64"/>
      <c r="BVL22" s="64"/>
      <c r="BVM22" s="64"/>
      <c r="BVN22" s="64"/>
      <c r="BVO22" s="64"/>
      <c r="BVP22" s="64"/>
      <c r="BVQ22" s="64"/>
      <c r="BVR22" s="64"/>
      <c r="BVS22" s="64"/>
      <c r="BVT22" s="64"/>
      <c r="BVU22" s="64"/>
      <c r="BVV22" s="64"/>
      <c r="BVW22" s="64"/>
      <c r="BVX22" s="64"/>
      <c r="BVY22" s="64"/>
      <c r="BVZ22" s="64"/>
      <c r="BWA22" s="64"/>
      <c r="BWB22" s="64"/>
      <c r="BWC22" s="64"/>
      <c r="BWD22" s="64"/>
      <c r="BWE22" s="64"/>
      <c r="BWF22" s="64"/>
      <c r="BWG22" s="64"/>
      <c r="BWH22" s="64"/>
      <c r="BWI22" s="64"/>
      <c r="BWJ22" s="64"/>
      <c r="BWK22" s="64"/>
      <c r="BWL22" s="64"/>
      <c r="BWM22" s="64"/>
      <c r="BWN22" s="64"/>
      <c r="BWO22" s="64"/>
      <c r="BWP22" s="64"/>
      <c r="BWQ22" s="64"/>
      <c r="BWR22" s="64"/>
      <c r="BWS22" s="64"/>
      <c r="BWT22" s="64"/>
      <c r="BWU22" s="64"/>
      <c r="BWV22" s="64"/>
      <c r="BWW22" s="64"/>
      <c r="BWX22" s="64"/>
      <c r="BWY22" s="64"/>
      <c r="BWZ22" s="64"/>
      <c r="BXA22" s="64"/>
      <c r="BXB22" s="64"/>
      <c r="BXC22" s="64"/>
      <c r="BXD22" s="64"/>
      <c r="BXE22" s="64"/>
      <c r="BXF22" s="64"/>
      <c r="BXG22" s="64"/>
      <c r="BXH22" s="64"/>
      <c r="BXI22" s="64"/>
      <c r="BXJ22" s="64"/>
      <c r="BXK22" s="64"/>
      <c r="BXL22" s="64"/>
      <c r="BXM22" s="64"/>
      <c r="BXN22" s="64"/>
      <c r="BXO22" s="64"/>
      <c r="BXP22" s="64"/>
      <c r="BXQ22" s="64"/>
      <c r="BXR22" s="64"/>
      <c r="BXS22" s="64"/>
      <c r="BXT22" s="64"/>
      <c r="BXU22" s="64"/>
      <c r="BXV22" s="64"/>
      <c r="BXW22" s="64"/>
      <c r="BXX22" s="64"/>
      <c r="BXY22" s="64"/>
      <c r="BXZ22" s="64"/>
      <c r="BYA22" s="64"/>
      <c r="BYB22" s="64"/>
      <c r="BYC22" s="64"/>
      <c r="BYD22" s="64"/>
      <c r="BYE22" s="64"/>
      <c r="BYF22" s="64"/>
      <c r="BYG22" s="64"/>
      <c r="BYH22" s="64"/>
      <c r="BYI22" s="64"/>
      <c r="BYJ22" s="64"/>
      <c r="BYK22" s="64"/>
      <c r="BYL22" s="64"/>
      <c r="BYM22" s="64"/>
      <c r="BYN22" s="64"/>
      <c r="BYO22" s="64"/>
      <c r="BYP22" s="64"/>
      <c r="BYQ22" s="64"/>
      <c r="BYR22" s="64"/>
      <c r="BYS22" s="64"/>
      <c r="BYT22" s="64"/>
      <c r="BYU22" s="64"/>
      <c r="BYV22" s="64"/>
      <c r="BYW22" s="64"/>
      <c r="BYX22" s="64"/>
      <c r="BYY22" s="64"/>
      <c r="BYZ22" s="64"/>
      <c r="BZA22" s="64"/>
      <c r="BZB22" s="64"/>
      <c r="BZC22" s="64"/>
      <c r="BZD22" s="64"/>
      <c r="BZE22" s="64"/>
      <c r="BZF22" s="64"/>
      <c r="BZG22" s="64"/>
      <c r="BZH22" s="64"/>
      <c r="BZI22" s="64"/>
      <c r="BZJ22" s="64"/>
      <c r="BZK22" s="64"/>
      <c r="BZL22" s="64"/>
      <c r="BZM22" s="64"/>
      <c r="BZN22" s="64"/>
      <c r="BZO22" s="64"/>
      <c r="BZP22" s="64"/>
      <c r="BZQ22" s="64"/>
      <c r="BZR22" s="64"/>
      <c r="BZS22" s="64"/>
      <c r="BZT22" s="64"/>
      <c r="BZU22" s="64"/>
      <c r="BZV22" s="64"/>
      <c r="BZW22" s="64"/>
      <c r="BZX22" s="64"/>
      <c r="BZY22" s="64"/>
      <c r="BZZ22" s="64"/>
      <c r="CAA22" s="64"/>
      <c r="CAB22" s="64"/>
      <c r="CAC22" s="64"/>
      <c r="CAD22" s="64"/>
      <c r="CAE22" s="64"/>
      <c r="CAF22" s="64"/>
      <c r="CAG22" s="64"/>
      <c r="CAH22" s="64"/>
      <c r="CAI22" s="64"/>
      <c r="CAJ22" s="64"/>
      <c r="CAK22" s="64"/>
      <c r="CAL22" s="64"/>
      <c r="CAM22" s="64"/>
      <c r="CAN22" s="64"/>
      <c r="CAO22" s="64"/>
      <c r="CAP22" s="64"/>
      <c r="CAQ22" s="64"/>
      <c r="CAR22" s="64"/>
      <c r="CAS22" s="64"/>
      <c r="CAT22" s="64"/>
      <c r="CAU22" s="64"/>
      <c r="CAV22" s="64"/>
      <c r="CAW22" s="64"/>
      <c r="CAX22" s="64"/>
      <c r="CAY22" s="64"/>
      <c r="CAZ22" s="64"/>
      <c r="CBA22" s="64"/>
      <c r="CBB22" s="64"/>
      <c r="CBC22" s="64"/>
      <c r="CBD22" s="64"/>
      <c r="CBE22" s="64"/>
      <c r="CBF22" s="64"/>
      <c r="CBG22" s="64"/>
      <c r="CBH22" s="64"/>
      <c r="CBI22" s="64"/>
      <c r="CBJ22" s="64"/>
      <c r="CBK22" s="64"/>
      <c r="CBL22" s="64"/>
      <c r="CBM22" s="64"/>
      <c r="CBN22" s="64"/>
      <c r="CBO22" s="64"/>
      <c r="CBP22" s="64"/>
      <c r="CBQ22" s="64"/>
      <c r="CBR22" s="64"/>
      <c r="CBS22" s="64"/>
      <c r="CBT22" s="64"/>
      <c r="CBU22" s="64"/>
      <c r="CBV22" s="64"/>
      <c r="CBW22" s="64"/>
      <c r="CBX22" s="64"/>
      <c r="CBY22" s="64"/>
      <c r="CBZ22" s="64"/>
      <c r="CCA22" s="64"/>
      <c r="CCB22" s="64"/>
      <c r="CCC22" s="64"/>
      <c r="CCD22" s="64"/>
      <c r="CCE22" s="64"/>
      <c r="CCF22" s="64"/>
      <c r="CCG22" s="64"/>
      <c r="CCH22" s="64"/>
      <c r="CCI22" s="64"/>
      <c r="CCJ22" s="64"/>
      <c r="CCK22" s="64"/>
      <c r="CCL22" s="64"/>
      <c r="CCM22" s="64"/>
      <c r="CCN22" s="64"/>
      <c r="CCO22" s="64"/>
      <c r="CCP22" s="64"/>
      <c r="CCQ22" s="64"/>
      <c r="CCR22" s="64"/>
      <c r="CCS22" s="64"/>
      <c r="CCT22" s="64"/>
      <c r="CCU22" s="64"/>
      <c r="CCV22" s="64"/>
      <c r="CCW22" s="64"/>
      <c r="CCX22" s="64"/>
      <c r="CCY22" s="64"/>
      <c r="CCZ22" s="64"/>
      <c r="CDA22" s="64"/>
      <c r="CDB22" s="64"/>
      <c r="CDC22" s="64"/>
      <c r="CDD22" s="64"/>
      <c r="CDE22" s="64"/>
      <c r="CDF22" s="64"/>
      <c r="CDG22" s="64"/>
      <c r="CDH22" s="64"/>
      <c r="CDI22" s="64"/>
      <c r="CDJ22" s="64"/>
      <c r="CDK22" s="64"/>
      <c r="CDL22" s="64"/>
      <c r="CDM22" s="64"/>
      <c r="CDN22" s="64"/>
      <c r="CDO22" s="64"/>
      <c r="CDP22" s="64"/>
      <c r="CDQ22" s="64"/>
      <c r="CDR22" s="64"/>
      <c r="CDS22" s="64"/>
      <c r="CDT22" s="64"/>
      <c r="CDU22" s="64"/>
      <c r="CDV22" s="64"/>
      <c r="CDW22" s="64"/>
      <c r="CDX22" s="64"/>
      <c r="CDY22" s="64"/>
      <c r="CDZ22" s="64"/>
      <c r="CEA22" s="64"/>
      <c r="CEB22" s="64"/>
      <c r="CEC22" s="64"/>
      <c r="CED22" s="64"/>
      <c r="CEE22" s="64"/>
      <c r="CEF22" s="64"/>
      <c r="CEG22" s="64"/>
      <c r="CEH22" s="64"/>
      <c r="CEI22" s="64"/>
      <c r="CEJ22" s="64"/>
      <c r="CEK22" s="64"/>
      <c r="CEL22" s="64"/>
      <c r="CEM22" s="64"/>
      <c r="CEN22" s="64"/>
      <c r="CEO22" s="64"/>
      <c r="CEP22" s="64"/>
      <c r="CEQ22" s="64"/>
      <c r="CER22" s="64"/>
      <c r="CES22" s="64"/>
      <c r="CET22" s="64"/>
      <c r="CEU22" s="64"/>
      <c r="CEV22" s="64"/>
      <c r="CEW22" s="64"/>
      <c r="CEX22" s="64"/>
      <c r="CEY22" s="64"/>
      <c r="CEZ22" s="64"/>
      <c r="CFA22" s="64"/>
      <c r="CFB22" s="64"/>
      <c r="CFC22" s="64"/>
      <c r="CFD22" s="64"/>
      <c r="CFE22" s="64"/>
      <c r="CFF22" s="64"/>
      <c r="CFG22" s="64"/>
      <c r="CFH22" s="64"/>
      <c r="CFI22" s="64"/>
      <c r="CFJ22" s="64"/>
      <c r="CFK22" s="64"/>
      <c r="CFL22" s="64"/>
      <c r="CFM22" s="64"/>
      <c r="CFN22" s="64"/>
      <c r="CFO22" s="64"/>
      <c r="CFP22" s="64"/>
      <c r="CFQ22" s="64"/>
      <c r="CFR22" s="64"/>
      <c r="CFS22" s="64"/>
      <c r="CFT22" s="64"/>
      <c r="CFU22" s="64"/>
      <c r="CFV22" s="64"/>
      <c r="CFW22" s="64"/>
      <c r="CFX22" s="64"/>
      <c r="CFY22" s="64"/>
      <c r="CFZ22" s="64"/>
      <c r="CGA22" s="64"/>
      <c r="CGB22" s="64"/>
      <c r="CGC22" s="64"/>
      <c r="CGD22" s="64"/>
      <c r="CGE22" s="64"/>
      <c r="CGF22" s="64"/>
      <c r="CGG22" s="64"/>
      <c r="CGH22" s="64"/>
      <c r="CGI22" s="64"/>
      <c r="CGJ22" s="64"/>
      <c r="CGK22" s="64"/>
      <c r="CGL22" s="64"/>
      <c r="CGM22" s="64"/>
      <c r="CGN22" s="64"/>
      <c r="CGO22" s="64"/>
      <c r="CGP22" s="64"/>
      <c r="CGQ22" s="64"/>
      <c r="CGR22" s="64"/>
      <c r="CGS22" s="64"/>
      <c r="CGT22" s="64"/>
      <c r="CGU22" s="64"/>
      <c r="CGV22" s="64"/>
      <c r="CGW22" s="64"/>
      <c r="CGX22" s="64"/>
      <c r="CGY22" s="64"/>
      <c r="CGZ22" s="64"/>
      <c r="CHA22" s="64"/>
      <c r="CHB22" s="64"/>
      <c r="CHC22" s="64"/>
      <c r="CHD22" s="64"/>
      <c r="CHE22" s="64"/>
      <c r="CHF22" s="64"/>
      <c r="CHG22" s="64"/>
      <c r="CHH22" s="64"/>
      <c r="CHI22" s="64"/>
      <c r="CHJ22" s="64"/>
      <c r="CHK22" s="64"/>
      <c r="CHL22" s="64"/>
      <c r="CHM22" s="64"/>
      <c r="CHN22" s="64"/>
      <c r="CHO22" s="64"/>
      <c r="CHP22" s="64"/>
      <c r="CHQ22" s="64"/>
      <c r="CHR22" s="64"/>
      <c r="CHS22" s="64"/>
      <c r="CHT22" s="64"/>
      <c r="CHU22" s="64"/>
      <c r="CHV22" s="64"/>
      <c r="CHW22" s="64"/>
      <c r="CHX22" s="64"/>
      <c r="CHY22" s="64"/>
      <c r="CHZ22" s="64"/>
      <c r="CIA22" s="64"/>
      <c r="CIB22" s="64"/>
      <c r="CIC22" s="64"/>
      <c r="CID22" s="64"/>
      <c r="CIE22" s="64"/>
      <c r="CIF22" s="64"/>
      <c r="CIG22" s="64"/>
      <c r="CIH22" s="64"/>
      <c r="CII22" s="64"/>
      <c r="CIJ22" s="64"/>
      <c r="CIK22" s="64"/>
      <c r="CIL22" s="64"/>
      <c r="CIM22" s="64"/>
      <c r="CIN22" s="64"/>
      <c r="CIO22" s="64"/>
      <c r="CIP22" s="64"/>
      <c r="CIQ22" s="64"/>
      <c r="CIR22" s="64"/>
      <c r="CIS22" s="64"/>
      <c r="CIT22" s="64"/>
      <c r="CIU22" s="64"/>
      <c r="CIV22" s="64"/>
      <c r="CIW22" s="64"/>
      <c r="CIX22" s="64"/>
      <c r="CIY22" s="64"/>
      <c r="CIZ22" s="64"/>
      <c r="CJA22" s="64"/>
      <c r="CJB22" s="64"/>
      <c r="CJC22" s="64"/>
      <c r="CJD22" s="64"/>
      <c r="CJE22" s="64"/>
      <c r="CJF22" s="64"/>
      <c r="CJG22" s="64"/>
      <c r="CJH22" s="64"/>
      <c r="CJI22" s="64"/>
      <c r="CJJ22" s="64"/>
      <c r="CJK22" s="64"/>
      <c r="CJL22" s="64"/>
      <c r="CJM22" s="64"/>
      <c r="CJN22" s="64"/>
      <c r="CJO22" s="64"/>
      <c r="CJP22" s="64"/>
      <c r="CJQ22" s="64"/>
      <c r="CJR22" s="64"/>
      <c r="CJS22" s="64"/>
      <c r="CJT22" s="64"/>
      <c r="CJU22" s="64"/>
      <c r="CJV22" s="64"/>
      <c r="CJW22" s="64"/>
      <c r="CJX22" s="64"/>
      <c r="CJY22" s="64"/>
      <c r="CJZ22" s="64"/>
      <c r="CKA22" s="64"/>
      <c r="CKB22" s="64"/>
      <c r="CKC22" s="64"/>
      <c r="CKD22" s="64"/>
      <c r="CKE22" s="64"/>
      <c r="CKF22" s="64"/>
      <c r="CKG22" s="64"/>
      <c r="CKH22" s="64"/>
      <c r="CKI22" s="64"/>
      <c r="CKJ22" s="64"/>
      <c r="CKK22" s="64"/>
      <c r="CKL22" s="64"/>
      <c r="CKM22" s="64"/>
      <c r="CKN22" s="64"/>
      <c r="CKO22" s="64"/>
      <c r="CKP22" s="64"/>
      <c r="CKQ22" s="64"/>
      <c r="CKR22" s="64"/>
      <c r="CKS22" s="64"/>
      <c r="CKT22" s="64"/>
      <c r="CKU22" s="64"/>
      <c r="CKV22" s="64"/>
      <c r="CKW22" s="64"/>
      <c r="CKX22" s="64"/>
      <c r="CKY22" s="64"/>
      <c r="CKZ22" s="64"/>
      <c r="CLA22" s="64"/>
      <c r="CLB22" s="64"/>
      <c r="CLC22" s="64"/>
      <c r="CLD22" s="64"/>
      <c r="CLE22" s="64"/>
      <c r="CLF22" s="64"/>
      <c r="CLG22" s="64"/>
      <c r="CLH22" s="64"/>
      <c r="CLI22" s="64"/>
      <c r="CLJ22" s="64"/>
      <c r="CLK22" s="64"/>
      <c r="CLL22" s="64"/>
      <c r="CLM22" s="64"/>
      <c r="CLN22" s="64"/>
      <c r="CLO22" s="64"/>
      <c r="CLP22" s="64"/>
      <c r="CLQ22" s="64"/>
      <c r="CLR22" s="64"/>
      <c r="CLS22" s="64"/>
      <c r="CLT22" s="64"/>
      <c r="CLU22" s="64"/>
      <c r="CLV22" s="64"/>
      <c r="CLW22" s="64"/>
      <c r="CLX22" s="64"/>
      <c r="CLY22" s="64"/>
      <c r="CLZ22" s="64"/>
      <c r="CMA22" s="64"/>
      <c r="CMB22" s="64"/>
      <c r="CMC22" s="64"/>
      <c r="CMD22" s="64"/>
      <c r="CME22" s="64"/>
      <c r="CMF22" s="64"/>
      <c r="CMG22" s="64"/>
      <c r="CMH22" s="64"/>
      <c r="CMI22" s="64"/>
      <c r="CMJ22" s="64"/>
      <c r="CMK22" s="64"/>
      <c r="CML22" s="64"/>
      <c r="CMM22" s="64"/>
      <c r="CMN22" s="64"/>
      <c r="CMO22" s="64"/>
      <c r="CMP22" s="64"/>
      <c r="CMQ22" s="64"/>
      <c r="CMR22" s="64"/>
      <c r="CMS22" s="64"/>
      <c r="CMT22" s="64"/>
      <c r="CMU22" s="64"/>
      <c r="CMV22" s="64"/>
      <c r="CMW22" s="64"/>
      <c r="CMX22" s="64"/>
      <c r="CMY22" s="64"/>
      <c r="CMZ22" s="64"/>
      <c r="CNA22" s="64"/>
      <c r="CNB22" s="64"/>
      <c r="CNC22" s="64"/>
      <c r="CND22" s="64"/>
      <c r="CNE22" s="64"/>
      <c r="CNF22" s="64"/>
      <c r="CNG22" s="64"/>
      <c r="CNH22" s="64"/>
      <c r="CNI22" s="64"/>
      <c r="CNJ22" s="64"/>
      <c r="CNK22" s="64"/>
      <c r="CNL22" s="64"/>
      <c r="CNM22" s="64"/>
      <c r="CNN22" s="64"/>
      <c r="CNO22" s="64"/>
      <c r="CNP22" s="64"/>
      <c r="CNQ22" s="64"/>
      <c r="CNR22" s="64"/>
      <c r="CNS22" s="64"/>
      <c r="CNT22" s="64"/>
      <c r="CNU22" s="64"/>
      <c r="CNV22" s="64"/>
      <c r="CNW22" s="64"/>
      <c r="CNX22" s="64"/>
      <c r="CNY22" s="64"/>
      <c r="CNZ22" s="64"/>
      <c r="COA22" s="64"/>
      <c r="COB22" s="64"/>
      <c r="COC22" s="64"/>
      <c r="COD22" s="64"/>
      <c r="COE22" s="64"/>
      <c r="COF22" s="64"/>
      <c r="COG22" s="64"/>
      <c r="COH22" s="64"/>
      <c r="COI22" s="64"/>
      <c r="COJ22" s="64"/>
      <c r="COK22" s="64"/>
      <c r="COL22" s="64"/>
      <c r="COM22" s="64"/>
      <c r="CON22" s="64"/>
      <c r="COO22" s="64"/>
      <c r="COP22" s="64"/>
      <c r="COQ22" s="64"/>
      <c r="COR22" s="64"/>
      <c r="COS22" s="64"/>
      <c r="COT22" s="64"/>
      <c r="COU22" s="64"/>
      <c r="COV22" s="64"/>
      <c r="COW22" s="64"/>
      <c r="COX22" s="64"/>
      <c r="COY22" s="64"/>
      <c r="COZ22" s="64"/>
      <c r="CPA22" s="64"/>
      <c r="CPB22" s="64"/>
      <c r="CPC22" s="64"/>
      <c r="CPD22" s="64"/>
      <c r="CPE22" s="64"/>
      <c r="CPF22" s="64"/>
      <c r="CPG22" s="64"/>
      <c r="CPH22" s="64"/>
      <c r="CPI22" s="64"/>
      <c r="CPJ22" s="64"/>
      <c r="CPK22" s="64"/>
      <c r="CPL22" s="64"/>
      <c r="CPM22" s="64"/>
      <c r="CPN22" s="64"/>
      <c r="CPO22" s="64"/>
      <c r="CPP22" s="64"/>
      <c r="CPQ22" s="64"/>
      <c r="CPR22" s="64"/>
      <c r="CPS22" s="64"/>
      <c r="CPT22" s="64"/>
      <c r="CPU22" s="64"/>
      <c r="CPV22" s="64"/>
      <c r="CPW22" s="64"/>
      <c r="CPX22" s="64"/>
      <c r="CPY22" s="64"/>
      <c r="CPZ22" s="64"/>
      <c r="CQA22" s="64"/>
      <c r="CQB22" s="64"/>
      <c r="CQC22" s="64"/>
      <c r="CQD22" s="64"/>
      <c r="CQE22" s="64"/>
      <c r="CQF22" s="64"/>
      <c r="CQG22" s="64"/>
      <c r="CQH22" s="64"/>
      <c r="CQI22" s="64"/>
      <c r="CQJ22" s="64"/>
      <c r="CQK22" s="64"/>
      <c r="CQL22" s="64"/>
      <c r="CQM22" s="64"/>
      <c r="CQN22" s="64"/>
      <c r="CQO22" s="64"/>
      <c r="CQP22" s="64"/>
      <c r="CQQ22" s="64"/>
      <c r="CQR22" s="64"/>
      <c r="CQS22" s="64"/>
      <c r="CQT22" s="64"/>
      <c r="CQU22" s="64"/>
      <c r="CQV22" s="64"/>
      <c r="CQW22" s="64"/>
      <c r="CQX22" s="64"/>
      <c r="CQY22" s="64"/>
      <c r="CQZ22" s="64"/>
      <c r="CRA22" s="64"/>
      <c r="CRB22" s="64"/>
      <c r="CRC22" s="64"/>
      <c r="CRD22" s="64"/>
      <c r="CRE22" s="64"/>
      <c r="CRF22" s="64"/>
      <c r="CRG22" s="64"/>
      <c r="CRH22" s="64"/>
      <c r="CRI22" s="64"/>
      <c r="CRJ22" s="64"/>
      <c r="CRK22" s="64"/>
      <c r="CRL22" s="64"/>
      <c r="CRM22" s="64"/>
      <c r="CRN22" s="64"/>
      <c r="CRO22" s="64"/>
      <c r="CRP22" s="64"/>
      <c r="CRQ22" s="64"/>
      <c r="CRR22" s="64"/>
      <c r="CRS22" s="64"/>
      <c r="CRT22" s="64"/>
      <c r="CRU22" s="64"/>
      <c r="CRV22" s="64"/>
      <c r="CRW22" s="64"/>
      <c r="CRX22" s="64"/>
      <c r="CRY22" s="64"/>
      <c r="CRZ22" s="64"/>
      <c r="CSA22" s="64"/>
      <c r="CSB22" s="64"/>
      <c r="CSC22" s="64"/>
      <c r="CSD22" s="64"/>
      <c r="CSE22" s="64"/>
      <c r="CSF22" s="64"/>
      <c r="CSG22" s="64"/>
      <c r="CSH22" s="64"/>
      <c r="CSI22" s="64"/>
      <c r="CSJ22" s="64"/>
      <c r="CSK22" s="64"/>
      <c r="CSL22" s="64"/>
      <c r="CSM22" s="64"/>
      <c r="CSN22" s="64"/>
      <c r="CSO22" s="64"/>
      <c r="CSP22" s="64"/>
      <c r="CSQ22" s="64"/>
      <c r="CSR22" s="64"/>
      <c r="CSS22" s="64"/>
      <c r="CST22" s="64"/>
      <c r="CSU22" s="64"/>
      <c r="CSV22" s="64"/>
      <c r="CSW22" s="64"/>
      <c r="CSX22" s="64"/>
      <c r="CSY22" s="64"/>
      <c r="CSZ22" s="64"/>
      <c r="CTA22" s="64"/>
      <c r="CTB22" s="64"/>
      <c r="CTC22" s="64"/>
      <c r="CTD22" s="64"/>
      <c r="CTE22" s="64"/>
      <c r="CTF22" s="64"/>
      <c r="CTG22" s="64"/>
      <c r="CTH22" s="64"/>
      <c r="CTI22" s="64"/>
      <c r="CTJ22" s="64"/>
      <c r="CTK22" s="64"/>
      <c r="CTL22" s="64"/>
      <c r="CTM22" s="64"/>
      <c r="CTN22" s="64"/>
      <c r="CTO22" s="64"/>
      <c r="CTP22" s="64"/>
      <c r="CTQ22" s="64"/>
      <c r="CTR22" s="64"/>
      <c r="CTS22" s="64"/>
      <c r="CTT22" s="64"/>
      <c r="CTU22" s="64"/>
      <c r="CTV22" s="64"/>
      <c r="CTW22" s="64"/>
      <c r="CTX22" s="64"/>
      <c r="CTY22" s="64"/>
      <c r="CTZ22" s="64"/>
      <c r="CUA22" s="64"/>
      <c r="CUB22" s="64"/>
      <c r="CUC22" s="64"/>
      <c r="CUD22" s="64"/>
      <c r="CUE22" s="64"/>
      <c r="CUF22" s="64"/>
      <c r="CUG22" s="64"/>
      <c r="CUH22" s="64"/>
      <c r="CUI22" s="64"/>
      <c r="CUJ22" s="64"/>
      <c r="CUK22" s="64"/>
      <c r="CUL22" s="64"/>
      <c r="CUM22" s="64"/>
      <c r="CUN22" s="64"/>
      <c r="CUO22" s="64"/>
      <c r="CUP22" s="64"/>
      <c r="CUQ22" s="64"/>
      <c r="CUR22" s="64"/>
      <c r="CUS22" s="64"/>
      <c r="CUT22" s="64"/>
      <c r="CUU22" s="64"/>
      <c r="CUV22" s="64"/>
      <c r="CUW22" s="64"/>
      <c r="CUX22" s="64"/>
      <c r="CUY22" s="64"/>
      <c r="CUZ22" s="64"/>
      <c r="CVA22" s="64"/>
      <c r="CVB22" s="64"/>
      <c r="CVC22" s="64"/>
      <c r="CVD22" s="64"/>
      <c r="CVE22" s="64"/>
      <c r="CVF22" s="64"/>
      <c r="CVG22" s="64"/>
      <c r="CVH22" s="64"/>
      <c r="CVI22" s="64"/>
      <c r="CVJ22" s="64"/>
      <c r="CVK22" s="64"/>
      <c r="CVL22" s="64"/>
      <c r="CVM22" s="64"/>
      <c r="CVN22" s="64"/>
      <c r="CVO22" s="64"/>
      <c r="CVP22" s="64"/>
      <c r="CVQ22" s="64"/>
      <c r="CVR22" s="64"/>
      <c r="CVS22" s="64"/>
      <c r="CVT22" s="64"/>
      <c r="CVU22" s="64"/>
      <c r="CVV22" s="64"/>
      <c r="CVW22" s="64"/>
      <c r="CVX22" s="64"/>
      <c r="CVY22" s="64"/>
      <c r="CVZ22" s="64"/>
      <c r="CWA22" s="64"/>
      <c r="CWB22" s="64"/>
      <c r="CWC22" s="64"/>
      <c r="CWD22" s="64"/>
      <c r="CWE22" s="64"/>
      <c r="CWF22" s="64"/>
      <c r="CWG22" s="64"/>
      <c r="CWH22" s="64"/>
      <c r="CWI22" s="64"/>
      <c r="CWJ22" s="64"/>
      <c r="CWK22" s="64"/>
      <c r="CWL22" s="64"/>
      <c r="CWM22" s="64"/>
      <c r="CWN22" s="64"/>
      <c r="CWO22" s="64"/>
      <c r="CWP22" s="64"/>
      <c r="CWQ22" s="64"/>
      <c r="CWR22" s="64"/>
      <c r="CWS22" s="64"/>
      <c r="CWT22" s="64"/>
      <c r="CWU22" s="64"/>
      <c r="CWV22" s="64"/>
      <c r="CWW22" s="64"/>
      <c r="CWX22" s="64"/>
      <c r="CWY22" s="64"/>
      <c r="CWZ22" s="64"/>
      <c r="CXA22" s="64"/>
      <c r="CXB22" s="64"/>
      <c r="CXC22" s="64"/>
      <c r="CXD22" s="64"/>
      <c r="CXE22" s="64"/>
      <c r="CXF22" s="64"/>
      <c r="CXG22" s="64"/>
      <c r="CXH22" s="64"/>
      <c r="CXI22" s="64"/>
      <c r="CXJ22" s="64"/>
      <c r="CXK22" s="64"/>
      <c r="CXL22" s="64"/>
      <c r="CXM22" s="64"/>
      <c r="CXN22" s="64"/>
      <c r="CXO22" s="64"/>
      <c r="CXP22" s="64"/>
      <c r="CXQ22" s="64"/>
      <c r="CXR22" s="64"/>
      <c r="CXS22" s="64"/>
      <c r="CXT22" s="64"/>
      <c r="CXU22" s="64"/>
      <c r="CXV22" s="64"/>
      <c r="CXW22" s="64"/>
      <c r="CXX22" s="64"/>
      <c r="CXY22" s="64"/>
      <c r="CXZ22" s="64"/>
      <c r="CYA22" s="64"/>
      <c r="CYB22" s="64"/>
      <c r="CYC22" s="64"/>
      <c r="CYD22" s="64"/>
      <c r="CYE22" s="64"/>
      <c r="CYF22" s="64"/>
      <c r="CYG22" s="64"/>
      <c r="CYH22" s="64"/>
      <c r="CYI22" s="64"/>
      <c r="CYJ22" s="64"/>
      <c r="CYK22" s="64"/>
      <c r="CYL22" s="64"/>
      <c r="CYM22" s="64"/>
      <c r="CYN22" s="64"/>
      <c r="CYO22" s="64"/>
      <c r="CYP22" s="64"/>
      <c r="CYQ22" s="64"/>
      <c r="CYR22" s="64"/>
      <c r="CYS22" s="64"/>
      <c r="CYT22" s="64"/>
      <c r="CYU22" s="64"/>
      <c r="CYV22" s="64"/>
      <c r="CYW22" s="64"/>
      <c r="CYX22" s="64"/>
      <c r="CYY22" s="64"/>
      <c r="CYZ22" s="64"/>
      <c r="CZA22" s="64"/>
      <c r="CZB22" s="64"/>
      <c r="CZC22" s="64"/>
      <c r="CZD22" s="64"/>
      <c r="CZE22" s="64"/>
      <c r="CZF22" s="64"/>
      <c r="CZG22" s="64"/>
      <c r="CZH22" s="64"/>
      <c r="CZI22" s="64"/>
      <c r="CZJ22" s="64"/>
      <c r="CZK22" s="64"/>
      <c r="CZL22" s="64"/>
      <c r="CZM22" s="64"/>
      <c r="CZN22" s="64"/>
      <c r="CZO22" s="64"/>
      <c r="CZP22" s="64"/>
      <c r="CZQ22" s="64"/>
      <c r="CZR22" s="64"/>
      <c r="CZS22" s="64"/>
      <c r="CZT22" s="64"/>
      <c r="CZU22" s="64"/>
      <c r="CZV22" s="64"/>
      <c r="CZW22" s="64"/>
      <c r="CZX22" s="64"/>
      <c r="CZY22" s="64"/>
      <c r="CZZ22" s="64"/>
      <c r="DAA22" s="64"/>
      <c r="DAB22" s="64"/>
      <c r="DAC22" s="64"/>
      <c r="DAD22" s="64"/>
      <c r="DAE22" s="64"/>
      <c r="DAF22" s="64"/>
      <c r="DAG22" s="64"/>
      <c r="DAH22" s="64"/>
      <c r="DAI22" s="64"/>
      <c r="DAJ22" s="64"/>
      <c r="DAK22" s="64"/>
      <c r="DAL22" s="64"/>
      <c r="DAM22" s="64"/>
      <c r="DAN22" s="64"/>
      <c r="DAO22" s="64"/>
      <c r="DAP22" s="64"/>
      <c r="DAQ22" s="64"/>
      <c r="DAR22" s="64"/>
      <c r="DAS22" s="64"/>
      <c r="DAT22" s="64"/>
      <c r="DAU22" s="64"/>
      <c r="DAV22" s="64"/>
      <c r="DAW22" s="64"/>
      <c r="DAX22" s="64"/>
      <c r="DAY22" s="64"/>
      <c r="DAZ22" s="64"/>
      <c r="DBA22" s="64"/>
      <c r="DBB22" s="64"/>
      <c r="DBC22" s="64"/>
      <c r="DBD22" s="64"/>
      <c r="DBE22" s="64"/>
      <c r="DBF22" s="64"/>
      <c r="DBG22" s="64"/>
      <c r="DBH22" s="64"/>
      <c r="DBI22" s="64"/>
      <c r="DBJ22" s="64"/>
      <c r="DBK22" s="64"/>
      <c r="DBL22" s="64"/>
      <c r="DBM22" s="64"/>
      <c r="DBN22" s="64"/>
      <c r="DBO22" s="64"/>
      <c r="DBP22" s="64"/>
      <c r="DBQ22" s="64"/>
      <c r="DBR22" s="64"/>
      <c r="DBS22" s="64"/>
      <c r="DBT22" s="64"/>
      <c r="DBU22" s="64"/>
      <c r="DBV22" s="64"/>
      <c r="DBW22" s="64"/>
      <c r="DBX22" s="64"/>
      <c r="DBY22" s="64"/>
      <c r="DBZ22" s="64"/>
      <c r="DCA22" s="64"/>
      <c r="DCB22" s="64"/>
      <c r="DCC22" s="64"/>
      <c r="DCD22" s="64"/>
      <c r="DCE22" s="64"/>
      <c r="DCF22" s="64"/>
      <c r="DCG22" s="64"/>
      <c r="DCH22" s="64"/>
      <c r="DCI22" s="64"/>
      <c r="DCJ22" s="64"/>
      <c r="DCK22" s="64"/>
      <c r="DCL22" s="64"/>
      <c r="DCM22" s="64"/>
      <c r="DCN22" s="64"/>
      <c r="DCO22" s="64"/>
      <c r="DCP22" s="64"/>
      <c r="DCQ22" s="64"/>
      <c r="DCR22" s="64"/>
      <c r="DCS22" s="64"/>
      <c r="DCT22" s="64"/>
      <c r="DCU22" s="64"/>
      <c r="DCV22" s="64"/>
      <c r="DCW22" s="64"/>
      <c r="DCX22" s="64"/>
      <c r="DCY22" s="64"/>
      <c r="DCZ22" s="64"/>
      <c r="DDA22" s="64"/>
      <c r="DDB22" s="64"/>
      <c r="DDC22" s="64"/>
      <c r="DDD22" s="64"/>
      <c r="DDE22" s="64"/>
      <c r="DDF22" s="64"/>
      <c r="DDG22" s="64"/>
      <c r="DDH22" s="64"/>
      <c r="DDI22" s="64"/>
      <c r="DDJ22" s="64"/>
      <c r="DDK22" s="64"/>
      <c r="DDL22" s="64"/>
      <c r="DDM22" s="64"/>
      <c r="DDN22" s="64"/>
      <c r="DDO22" s="64"/>
      <c r="DDP22" s="64"/>
      <c r="DDQ22" s="64"/>
      <c r="DDR22" s="64"/>
      <c r="DDS22" s="64"/>
      <c r="DDT22" s="64"/>
      <c r="DDU22" s="64"/>
      <c r="DDV22" s="64"/>
      <c r="DDW22" s="64"/>
      <c r="DDX22" s="64"/>
      <c r="DDY22" s="64"/>
      <c r="DDZ22" s="64"/>
      <c r="DEA22" s="64"/>
      <c r="DEB22" s="64"/>
      <c r="DEC22" s="64"/>
      <c r="DED22" s="64"/>
      <c r="DEE22" s="64"/>
      <c r="DEF22" s="64"/>
      <c r="DEG22" s="64"/>
      <c r="DEH22" s="64"/>
      <c r="DEI22" s="64"/>
      <c r="DEJ22" s="64"/>
      <c r="DEK22" s="64"/>
      <c r="DEL22" s="64"/>
      <c r="DEM22" s="64"/>
      <c r="DEN22" s="64"/>
      <c r="DEO22" s="64"/>
      <c r="DEP22" s="64"/>
      <c r="DEQ22" s="64"/>
      <c r="DER22" s="64"/>
      <c r="DES22" s="64"/>
      <c r="DET22" s="64"/>
      <c r="DEU22" s="64"/>
      <c r="DEV22" s="64"/>
      <c r="DEW22" s="64"/>
      <c r="DEX22" s="64"/>
      <c r="DEY22" s="64"/>
      <c r="DEZ22" s="64"/>
      <c r="DFA22" s="64"/>
      <c r="DFB22" s="64"/>
      <c r="DFC22" s="64"/>
      <c r="DFD22" s="64"/>
      <c r="DFE22" s="64"/>
      <c r="DFF22" s="64"/>
      <c r="DFG22" s="64"/>
      <c r="DFH22" s="64"/>
      <c r="DFI22" s="64"/>
      <c r="DFJ22" s="64"/>
      <c r="DFK22" s="64"/>
      <c r="DFL22" s="64"/>
      <c r="DFM22" s="64"/>
      <c r="DFN22" s="64"/>
      <c r="DFO22" s="64"/>
      <c r="DFP22" s="64"/>
      <c r="DFQ22" s="64"/>
      <c r="DFR22" s="64"/>
      <c r="DFS22" s="64"/>
      <c r="DFT22" s="64"/>
      <c r="DFU22" s="64"/>
      <c r="DFV22" s="64"/>
      <c r="DFW22" s="64"/>
      <c r="DFX22" s="64"/>
      <c r="DFY22" s="64"/>
      <c r="DFZ22" s="64"/>
      <c r="DGA22" s="64"/>
      <c r="DGB22" s="64"/>
      <c r="DGC22" s="64"/>
      <c r="DGD22" s="64"/>
      <c r="DGE22" s="64"/>
      <c r="DGF22" s="64"/>
      <c r="DGG22" s="64"/>
      <c r="DGH22" s="64"/>
      <c r="DGI22" s="64"/>
      <c r="DGJ22" s="64"/>
      <c r="DGK22" s="64"/>
      <c r="DGL22" s="64"/>
      <c r="DGM22" s="64"/>
      <c r="DGN22" s="64"/>
      <c r="DGO22" s="64"/>
      <c r="DGP22" s="64"/>
      <c r="DGQ22" s="64"/>
      <c r="DGR22" s="64"/>
      <c r="DGS22" s="64"/>
      <c r="DGT22" s="64"/>
      <c r="DGU22" s="64"/>
      <c r="DGV22" s="64"/>
      <c r="DGW22" s="64"/>
      <c r="DGX22" s="64"/>
      <c r="DGY22" s="64"/>
      <c r="DGZ22" s="64"/>
      <c r="DHA22" s="64"/>
      <c r="DHB22" s="64"/>
      <c r="DHC22" s="64"/>
      <c r="DHD22" s="64"/>
      <c r="DHE22" s="64"/>
      <c r="DHF22" s="64"/>
      <c r="DHG22" s="64"/>
      <c r="DHH22" s="64"/>
      <c r="DHI22" s="64"/>
      <c r="DHJ22" s="64"/>
      <c r="DHK22" s="64"/>
      <c r="DHL22" s="64"/>
      <c r="DHM22" s="64"/>
      <c r="DHN22" s="64"/>
      <c r="DHO22" s="64"/>
      <c r="DHP22" s="64"/>
      <c r="DHQ22" s="64"/>
      <c r="DHR22" s="64"/>
      <c r="DHS22" s="64"/>
      <c r="DHT22" s="64"/>
      <c r="DHU22" s="64"/>
      <c r="DHV22" s="64"/>
      <c r="DHW22" s="64"/>
      <c r="DHX22" s="64"/>
      <c r="DHY22" s="64"/>
      <c r="DHZ22" s="64"/>
      <c r="DIA22" s="64"/>
      <c r="DIB22" s="64"/>
      <c r="DIC22" s="64"/>
      <c r="DID22" s="64"/>
      <c r="DIE22" s="64"/>
      <c r="DIF22" s="64"/>
      <c r="DIG22" s="64"/>
      <c r="DIH22" s="64"/>
      <c r="DII22" s="64"/>
      <c r="DIJ22" s="64"/>
      <c r="DIK22" s="64"/>
      <c r="DIL22" s="64"/>
      <c r="DIM22" s="64"/>
      <c r="DIN22" s="64"/>
      <c r="DIO22" s="64"/>
      <c r="DIP22" s="64"/>
      <c r="DIQ22" s="64"/>
      <c r="DIR22" s="64"/>
      <c r="DIS22" s="64"/>
      <c r="DIT22" s="64"/>
      <c r="DIU22" s="64"/>
      <c r="DIV22" s="64"/>
      <c r="DIW22" s="64"/>
      <c r="DIX22" s="64"/>
      <c r="DIY22" s="64"/>
      <c r="DIZ22" s="64"/>
      <c r="DJA22" s="64"/>
      <c r="DJB22" s="64"/>
      <c r="DJC22" s="64"/>
      <c r="DJD22" s="64"/>
      <c r="DJE22" s="64"/>
      <c r="DJF22" s="64"/>
      <c r="DJG22" s="64"/>
      <c r="DJH22" s="64"/>
      <c r="DJI22" s="64"/>
      <c r="DJJ22" s="64"/>
      <c r="DJK22" s="64"/>
      <c r="DJL22" s="64"/>
      <c r="DJM22" s="64"/>
      <c r="DJN22" s="64"/>
      <c r="DJO22" s="64"/>
      <c r="DJP22" s="64"/>
      <c r="DJQ22" s="64"/>
      <c r="DJR22" s="64"/>
      <c r="DJS22" s="64"/>
      <c r="DJT22" s="64"/>
      <c r="DJU22" s="64"/>
      <c r="DJV22" s="64"/>
      <c r="DJW22" s="64"/>
      <c r="DJX22" s="64"/>
      <c r="DJY22" s="64"/>
      <c r="DJZ22" s="64"/>
      <c r="DKA22" s="64"/>
      <c r="DKB22" s="64"/>
      <c r="DKC22" s="64"/>
      <c r="DKD22" s="64"/>
      <c r="DKE22" s="64"/>
      <c r="DKF22" s="64"/>
      <c r="DKG22" s="64"/>
      <c r="DKH22" s="64"/>
      <c r="DKI22" s="64"/>
      <c r="DKJ22" s="64"/>
      <c r="DKK22" s="64"/>
      <c r="DKL22" s="64"/>
      <c r="DKM22" s="64"/>
      <c r="DKN22" s="64"/>
      <c r="DKO22" s="64"/>
      <c r="DKP22" s="64"/>
      <c r="DKQ22" s="64"/>
      <c r="DKR22" s="64"/>
      <c r="DKS22" s="64"/>
      <c r="DKT22" s="64"/>
      <c r="DKU22" s="64"/>
      <c r="DKV22" s="64"/>
      <c r="DKW22" s="64"/>
      <c r="DKX22" s="64"/>
      <c r="DKY22" s="64"/>
      <c r="DKZ22" s="64"/>
      <c r="DLA22" s="64"/>
      <c r="DLB22" s="64"/>
      <c r="DLC22" s="64"/>
      <c r="DLD22" s="64"/>
      <c r="DLE22" s="64"/>
      <c r="DLF22" s="64"/>
      <c r="DLG22" s="64"/>
      <c r="DLH22" s="64"/>
      <c r="DLI22" s="64"/>
      <c r="DLJ22" s="64"/>
      <c r="DLK22" s="64"/>
      <c r="DLL22" s="64"/>
      <c r="DLM22" s="64"/>
      <c r="DLN22" s="64"/>
      <c r="DLO22" s="64"/>
      <c r="DLP22" s="64"/>
      <c r="DLQ22" s="64"/>
      <c r="DLR22" s="64"/>
      <c r="DLS22" s="64"/>
      <c r="DLT22" s="64"/>
      <c r="DLU22" s="64"/>
      <c r="DLV22" s="64"/>
      <c r="DLW22" s="64"/>
      <c r="DLX22" s="64"/>
      <c r="DLY22" s="64"/>
      <c r="DLZ22" s="64"/>
      <c r="DMA22" s="64"/>
      <c r="DMB22" s="64"/>
      <c r="DMC22" s="64"/>
      <c r="DMD22" s="64"/>
      <c r="DME22" s="64"/>
      <c r="DMF22" s="64"/>
      <c r="DMG22" s="64"/>
      <c r="DMH22" s="64"/>
      <c r="DMI22" s="64"/>
      <c r="DMJ22" s="64"/>
      <c r="DMK22" s="64"/>
      <c r="DML22" s="64"/>
      <c r="DMM22" s="64"/>
      <c r="DMN22" s="64"/>
      <c r="DMO22" s="64"/>
      <c r="DMP22" s="64"/>
      <c r="DMQ22" s="64"/>
      <c r="DMR22" s="64"/>
      <c r="DMS22" s="64"/>
      <c r="DMT22" s="64"/>
      <c r="DMU22" s="64"/>
      <c r="DMV22" s="64"/>
      <c r="DMW22" s="64"/>
      <c r="DMX22" s="64"/>
      <c r="DMY22" s="64"/>
      <c r="DMZ22" s="64"/>
      <c r="DNA22" s="64"/>
      <c r="DNB22" s="64"/>
      <c r="DNC22" s="64"/>
      <c r="DND22" s="64"/>
      <c r="DNE22" s="64"/>
      <c r="DNF22" s="64"/>
      <c r="DNG22" s="64"/>
      <c r="DNH22" s="64"/>
      <c r="DNI22" s="64"/>
      <c r="DNJ22" s="64"/>
      <c r="DNK22" s="64"/>
      <c r="DNL22" s="64"/>
      <c r="DNM22" s="64"/>
      <c r="DNN22" s="64"/>
      <c r="DNO22" s="64"/>
      <c r="DNP22" s="64"/>
      <c r="DNQ22" s="64"/>
      <c r="DNR22" s="64"/>
      <c r="DNS22" s="64"/>
      <c r="DNT22" s="64"/>
      <c r="DNU22" s="64"/>
      <c r="DNV22" s="64"/>
      <c r="DNW22" s="64"/>
      <c r="DNX22" s="64"/>
      <c r="DNY22" s="64"/>
      <c r="DNZ22" s="64"/>
      <c r="DOA22" s="64"/>
      <c r="DOB22" s="64"/>
      <c r="DOC22" s="64"/>
      <c r="DOD22" s="64"/>
      <c r="DOE22" s="64"/>
      <c r="DOF22" s="64"/>
      <c r="DOG22" s="64"/>
      <c r="DOH22" s="64"/>
      <c r="DOI22" s="64"/>
      <c r="DOJ22" s="64"/>
      <c r="DOK22" s="64"/>
      <c r="DOL22" s="64"/>
      <c r="DOM22" s="64"/>
      <c r="DON22" s="64"/>
      <c r="DOO22" s="64"/>
      <c r="DOP22" s="64"/>
      <c r="DOQ22" s="64"/>
      <c r="DOR22" s="64"/>
      <c r="DOS22" s="64"/>
      <c r="DOT22" s="64"/>
      <c r="DOU22" s="64"/>
      <c r="DOV22" s="64"/>
      <c r="DOW22" s="64"/>
      <c r="DOX22" s="64"/>
      <c r="DOY22" s="64"/>
      <c r="DOZ22" s="64"/>
      <c r="DPA22" s="64"/>
      <c r="DPB22" s="64"/>
      <c r="DPC22" s="64"/>
      <c r="DPD22" s="64"/>
      <c r="DPE22" s="64"/>
      <c r="DPF22" s="64"/>
      <c r="DPG22" s="64"/>
      <c r="DPH22" s="64"/>
      <c r="DPI22" s="64"/>
      <c r="DPJ22" s="64"/>
      <c r="DPK22" s="64"/>
      <c r="DPL22" s="64"/>
      <c r="DPM22" s="64"/>
      <c r="DPN22" s="64"/>
      <c r="DPO22" s="64"/>
      <c r="DPP22" s="64"/>
      <c r="DPQ22" s="64"/>
      <c r="DPR22" s="64"/>
      <c r="DPS22" s="64"/>
      <c r="DPT22" s="64"/>
      <c r="DPU22" s="64"/>
      <c r="DPV22" s="64"/>
      <c r="DPW22" s="64"/>
      <c r="DPX22" s="64"/>
      <c r="DPY22" s="64"/>
      <c r="DPZ22" s="64"/>
      <c r="DQA22" s="64"/>
      <c r="DQB22" s="64"/>
      <c r="DQC22" s="64"/>
      <c r="DQD22" s="64"/>
      <c r="DQE22" s="64"/>
      <c r="DQF22" s="64"/>
      <c r="DQG22" s="64"/>
      <c r="DQH22" s="64"/>
      <c r="DQI22" s="64"/>
      <c r="DQJ22" s="64"/>
      <c r="DQK22" s="64"/>
      <c r="DQL22" s="64"/>
      <c r="DQM22" s="64"/>
      <c r="DQN22" s="64"/>
      <c r="DQO22" s="64"/>
      <c r="DQP22" s="64"/>
      <c r="DQQ22" s="64"/>
      <c r="DQR22" s="64"/>
      <c r="DQS22" s="64"/>
      <c r="DQT22" s="64"/>
      <c r="DQU22" s="64"/>
      <c r="DQV22" s="64"/>
      <c r="DQW22" s="64"/>
      <c r="DQX22" s="64"/>
      <c r="DQY22" s="64"/>
      <c r="DQZ22" s="64"/>
      <c r="DRA22" s="64"/>
      <c r="DRB22" s="64"/>
      <c r="DRC22" s="64"/>
      <c r="DRD22" s="64"/>
      <c r="DRE22" s="64"/>
      <c r="DRF22" s="64"/>
      <c r="DRG22" s="64"/>
      <c r="DRH22" s="64"/>
      <c r="DRI22" s="64"/>
      <c r="DRJ22" s="64"/>
      <c r="DRK22" s="64"/>
      <c r="DRL22" s="64"/>
      <c r="DRM22" s="64"/>
      <c r="DRN22" s="64"/>
      <c r="DRO22" s="64"/>
      <c r="DRP22" s="64"/>
      <c r="DRQ22" s="64"/>
      <c r="DRR22" s="64"/>
      <c r="DRS22" s="64"/>
      <c r="DRT22" s="64"/>
      <c r="DRU22" s="64"/>
      <c r="DRV22" s="64"/>
      <c r="DRW22" s="64"/>
      <c r="DRX22" s="64"/>
      <c r="DRY22" s="64"/>
      <c r="DRZ22" s="64"/>
      <c r="DSA22" s="64"/>
      <c r="DSB22" s="64"/>
      <c r="DSC22" s="64"/>
      <c r="DSD22" s="64"/>
      <c r="DSE22" s="64"/>
      <c r="DSF22" s="64"/>
      <c r="DSG22" s="64"/>
      <c r="DSH22" s="64"/>
      <c r="DSI22" s="64"/>
      <c r="DSJ22" s="64"/>
      <c r="DSK22" s="64"/>
      <c r="DSL22" s="64"/>
      <c r="DSM22" s="64"/>
      <c r="DSN22" s="64"/>
      <c r="DSO22" s="64"/>
      <c r="DSP22" s="64"/>
      <c r="DSQ22" s="64"/>
      <c r="DSR22" s="64"/>
      <c r="DSS22" s="64"/>
      <c r="DST22" s="64"/>
      <c r="DSU22" s="64"/>
      <c r="DSV22" s="64"/>
      <c r="DSW22" s="64"/>
      <c r="DSX22" s="64"/>
      <c r="DSY22" s="64"/>
      <c r="DSZ22" s="64"/>
      <c r="DTA22" s="64"/>
      <c r="DTB22" s="64"/>
      <c r="DTC22" s="64"/>
      <c r="DTD22" s="64"/>
      <c r="DTE22" s="64"/>
      <c r="DTF22" s="64"/>
      <c r="DTG22" s="64"/>
      <c r="DTH22" s="64"/>
      <c r="DTI22" s="64"/>
      <c r="DTJ22" s="64"/>
      <c r="DTK22" s="64"/>
      <c r="DTL22" s="64"/>
      <c r="DTM22" s="64"/>
      <c r="DTN22" s="64"/>
      <c r="DTO22" s="64"/>
      <c r="DTP22" s="64"/>
      <c r="DTQ22" s="64"/>
      <c r="DTR22" s="64"/>
      <c r="DTS22" s="64"/>
      <c r="DTT22" s="64"/>
      <c r="DTU22" s="64"/>
      <c r="DTV22" s="64"/>
      <c r="DTW22" s="64"/>
      <c r="DTX22" s="64"/>
      <c r="DTY22" s="64"/>
      <c r="DTZ22" s="64"/>
      <c r="DUA22" s="64"/>
      <c r="DUB22" s="64"/>
      <c r="DUC22" s="64"/>
      <c r="DUD22" s="64"/>
      <c r="DUE22" s="64"/>
      <c r="DUF22" s="64"/>
      <c r="DUG22" s="64"/>
      <c r="DUH22" s="64"/>
      <c r="DUI22" s="64"/>
      <c r="DUJ22" s="64"/>
      <c r="DUK22" s="64"/>
      <c r="DUL22" s="64"/>
      <c r="DUM22" s="64"/>
      <c r="DUN22" s="64"/>
      <c r="DUO22" s="64"/>
      <c r="DUP22" s="64"/>
      <c r="DUQ22" s="64"/>
      <c r="DUR22" s="64"/>
      <c r="DUS22" s="64"/>
      <c r="DUT22" s="64"/>
      <c r="DUU22" s="64"/>
      <c r="DUV22" s="64"/>
      <c r="DUW22" s="64"/>
      <c r="DUX22" s="64"/>
      <c r="DUY22" s="64"/>
      <c r="DUZ22" s="64"/>
      <c r="DVA22" s="64"/>
      <c r="DVB22" s="64"/>
      <c r="DVC22" s="64"/>
      <c r="DVD22" s="64"/>
      <c r="DVE22" s="64"/>
      <c r="DVF22" s="64"/>
      <c r="DVG22" s="64"/>
      <c r="DVH22" s="64"/>
      <c r="DVI22" s="64"/>
      <c r="DVJ22" s="64"/>
      <c r="DVK22" s="64"/>
      <c r="DVL22" s="64"/>
      <c r="DVM22" s="64"/>
      <c r="DVN22" s="64"/>
      <c r="DVO22" s="64"/>
      <c r="DVP22" s="64"/>
      <c r="DVQ22" s="64"/>
      <c r="DVR22" s="64"/>
      <c r="DVS22" s="64"/>
      <c r="DVT22" s="64"/>
      <c r="DVU22" s="64"/>
      <c r="DVV22" s="64"/>
      <c r="DVW22" s="64"/>
      <c r="DVX22" s="64"/>
      <c r="DVY22" s="64"/>
      <c r="DVZ22" s="64"/>
      <c r="DWA22" s="64"/>
      <c r="DWB22" s="64"/>
      <c r="DWC22" s="64"/>
      <c r="DWD22" s="64"/>
      <c r="DWE22" s="64"/>
      <c r="DWF22" s="64"/>
      <c r="DWG22" s="64"/>
      <c r="DWH22" s="64"/>
      <c r="DWI22" s="64"/>
      <c r="DWJ22" s="64"/>
      <c r="DWK22" s="64"/>
      <c r="DWL22" s="64"/>
      <c r="DWM22" s="64"/>
      <c r="DWN22" s="64"/>
      <c r="DWO22" s="64"/>
      <c r="DWP22" s="64"/>
      <c r="DWQ22" s="64"/>
      <c r="DWR22" s="64"/>
      <c r="DWS22" s="64"/>
      <c r="DWT22" s="64"/>
      <c r="DWU22" s="64"/>
      <c r="DWV22" s="64"/>
      <c r="DWW22" s="64"/>
      <c r="DWX22" s="64"/>
      <c r="DWY22" s="64"/>
      <c r="DWZ22" s="64"/>
      <c r="DXA22" s="64"/>
      <c r="DXB22" s="64"/>
      <c r="DXC22" s="64"/>
      <c r="DXD22" s="64"/>
      <c r="DXE22" s="64"/>
      <c r="DXF22" s="64"/>
      <c r="DXG22" s="64"/>
      <c r="DXH22" s="64"/>
      <c r="DXI22" s="64"/>
      <c r="DXJ22" s="64"/>
      <c r="DXK22" s="64"/>
      <c r="DXL22" s="64"/>
      <c r="DXM22" s="64"/>
      <c r="DXN22" s="64"/>
      <c r="DXO22" s="64"/>
      <c r="DXP22" s="64"/>
      <c r="DXQ22" s="64"/>
      <c r="DXR22" s="64"/>
      <c r="DXS22" s="64"/>
      <c r="DXT22" s="64"/>
      <c r="DXU22" s="64"/>
      <c r="DXV22" s="64"/>
      <c r="DXW22" s="64"/>
      <c r="DXX22" s="64"/>
      <c r="DXY22" s="64"/>
      <c r="DXZ22" s="64"/>
      <c r="DYA22" s="64"/>
      <c r="DYB22" s="64"/>
      <c r="DYC22" s="64"/>
      <c r="DYD22" s="64"/>
      <c r="DYE22" s="64"/>
      <c r="DYF22" s="64"/>
      <c r="DYG22" s="64"/>
      <c r="DYH22" s="64"/>
      <c r="DYI22" s="64"/>
      <c r="DYJ22" s="64"/>
      <c r="DYK22" s="64"/>
      <c r="DYL22" s="64"/>
      <c r="DYM22" s="64"/>
      <c r="DYN22" s="64"/>
      <c r="DYO22" s="64"/>
      <c r="DYP22" s="64"/>
      <c r="DYQ22" s="64"/>
      <c r="DYR22" s="64"/>
      <c r="DYS22" s="64"/>
      <c r="DYT22" s="64"/>
      <c r="DYU22" s="64"/>
      <c r="DYV22" s="64"/>
      <c r="DYW22" s="64"/>
      <c r="DYX22" s="64"/>
      <c r="DYY22" s="64"/>
      <c r="DYZ22" s="64"/>
      <c r="DZA22" s="64"/>
      <c r="DZB22" s="64"/>
      <c r="DZC22" s="64"/>
      <c r="DZD22" s="64"/>
      <c r="DZE22" s="64"/>
      <c r="DZF22" s="64"/>
      <c r="DZG22" s="64"/>
      <c r="DZH22" s="64"/>
      <c r="DZI22" s="64"/>
      <c r="DZJ22" s="64"/>
      <c r="DZK22" s="64"/>
      <c r="DZL22" s="64"/>
      <c r="DZM22" s="64"/>
      <c r="DZN22" s="64"/>
      <c r="DZO22" s="64"/>
      <c r="DZP22" s="64"/>
      <c r="DZQ22" s="64"/>
      <c r="DZR22" s="64"/>
      <c r="DZS22" s="64"/>
      <c r="DZT22" s="64"/>
      <c r="DZU22" s="64"/>
      <c r="DZV22" s="64"/>
      <c r="DZW22" s="64"/>
      <c r="DZX22" s="64"/>
      <c r="DZY22" s="64"/>
      <c r="DZZ22" s="64"/>
      <c r="EAA22" s="64"/>
      <c r="EAB22" s="64"/>
      <c r="EAC22" s="64"/>
      <c r="EAD22" s="64"/>
      <c r="EAE22" s="64"/>
      <c r="EAF22" s="64"/>
      <c r="EAG22" s="64"/>
      <c r="EAH22" s="64"/>
      <c r="EAI22" s="64"/>
      <c r="EAJ22" s="64"/>
      <c r="EAK22" s="64"/>
      <c r="EAL22" s="64"/>
      <c r="EAM22" s="64"/>
      <c r="EAN22" s="64"/>
      <c r="EAO22" s="64"/>
      <c r="EAP22" s="64"/>
      <c r="EAQ22" s="64"/>
      <c r="EAR22" s="64"/>
      <c r="EAS22" s="64"/>
      <c r="EAT22" s="64"/>
      <c r="EAU22" s="64"/>
      <c r="EAV22" s="64"/>
      <c r="EAW22" s="64"/>
      <c r="EAX22" s="64"/>
      <c r="EAY22" s="64"/>
      <c r="EAZ22" s="64"/>
      <c r="EBA22" s="64"/>
      <c r="EBB22" s="64"/>
      <c r="EBC22" s="64"/>
      <c r="EBD22" s="64"/>
      <c r="EBE22" s="64"/>
      <c r="EBF22" s="64"/>
      <c r="EBG22" s="64"/>
      <c r="EBH22" s="64"/>
      <c r="EBI22" s="64"/>
      <c r="EBJ22" s="64"/>
      <c r="EBK22" s="64"/>
      <c r="EBL22" s="64"/>
      <c r="EBM22" s="64"/>
      <c r="EBN22" s="64"/>
      <c r="EBO22" s="64"/>
      <c r="EBP22" s="64"/>
      <c r="EBQ22" s="64"/>
      <c r="EBR22" s="64"/>
      <c r="EBS22" s="64"/>
      <c r="EBT22" s="64"/>
      <c r="EBU22" s="64"/>
      <c r="EBV22" s="64"/>
      <c r="EBW22" s="64"/>
      <c r="EBX22" s="64"/>
      <c r="EBY22" s="64"/>
      <c r="EBZ22" s="64"/>
      <c r="ECA22" s="64"/>
      <c r="ECB22" s="64"/>
      <c r="ECC22" s="64"/>
      <c r="ECD22" s="64"/>
      <c r="ECE22" s="64"/>
      <c r="ECF22" s="64"/>
      <c r="ECG22" s="64"/>
      <c r="ECH22" s="64"/>
      <c r="ECI22" s="64"/>
      <c r="ECJ22" s="64"/>
      <c r="ECK22" s="64"/>
      <c r="ECL22" s="64"/>
      <c r="ECM22" s="64"/>
      <c r="ECN22" s="64"/>
      <c r="ECO22" s="64"/>
      <c r="ECP22" s="64"/>
      <c r="ECQ22" s="64"/>
      <c r="ECR22" s="64"/>
      <c r="ECS22" s="64"/>
      <c r="ECT22" s="64"/>
      <c r="ECU22" s="64"/>
      <c r="ECV22" s="64"/>
      <c r="ECW22" s="64"/>
      <c r="ECX22" s="64"/>
      <c r="ECY22" s="64"/>
      <c r="ECZ22" s="64"/>
      <c r="EDA22" s="64"/>
      <c r="EDB22" s="64"/>
      <c r="EDC22" s="64"/>
      <c r="EDD22" s="64"/>
      <c r="EDE22" s="64"/>
      <c r="EDF22" s="64"/>
      <c r="EDG22" s="64"/>
      <c r="EDH22" s="64"/>
      <c r="EDI22" s="64"/>
      <c r="EDJ22" s="64"/>
      <c r="EDK22" s="64"/>
      <c r="EDL22" s="64"/>
      <c r="EDM22" s="64"/>
      <c r="EDN22" s="64"/>
      <c r="EDO22" s="64"/>
      <c r="EDP22" s="64"/>
      <c r="EDQ22" s="64"/>
      <c r="EDR22" s="64"/>
      <c r="EDS22" s="64"/>
      <c r="EDT22" s="64"/>
      <c r="EDU22" s="64"/>
      <c r="EDV22" s="64"/>
      <c r="EDW22" s="64"/>
      <c r="EDX22" s="64"/>
      <c r="EDY22" s="64"/>
      <c r="EDZ22" s="64"/>
      <c r="EEA22" s="64"/>
      <c r="EEB22" s="64"/>
      <c r="EEC22" s="64"/>
      <c r="EED22" s="64"/>
      <c r="EEE22" s="64"/>
      <c r="EEF22" s="64"/>
      <c r="EEG22" s="64"/>
      <c r="EEH22" s="64"/>
      <c r="EEI22" s="64"/>
      <c r="EEJ22" s="64"/>
      <c r="EEK22" s="64"/>
      <c r="EEL22" s="64"/>
      <c r="EEM22" s="64"/>
      <c r="EEN22" s="64"/>
      <c r="EEO22" s="64"/>
      <c r="EEP22" s="64"/>
      <c r="EEQ22" s="64"/>
      <c r="EER22" s="64"/>
      <c r="EES22" s="64"/>
      <c r="EET22" s="64"/>
      <c r="EEU22" s="64"/>
      <c r="EEV22" s="64"/>
      <c r="EEW22" s="64"/>
      <c r="EEX22" s="64"/>
      <c r="EEY22" s="64"/>
      <c r="EEZ22" s="64"/>
      <c r="EFA22" s="64"/>
      <c r="EFB22" s="64"/>
      <c r="EFC22" s="64"/>
      <c r="EFD22" s="64"/>
      <c r="EFE22" s="64"/>
      <c r="EFF22" s="64"/>
      <c r="EFG22" s="64"/>
      <c r="EFH22" s="64"/>
      <c r="EFI22" s="64"/>
      <c r="EFJ22" s="64"/>
      <c r="EFK22" s="64"/>
      <c r="EFL22" s="64"/>
      <c r="EFM22" s="64"/>
      <c r="EFN22" s="64"/>
      <c r="EFO22" s="64"/>
      <c r="EFP22" s="64"/>
      <c r="EFQ22" s="64"/>
      <c r="EFR22" s="64"/>
      <c r="EFS22" s="64"/>
      <c r="EFT22" s="64"/>
      <c r="EFU22" s="64"/>
      <c r="EFV22" s="64"/>
      <c r="EFW22" s="64"/>
      <c r="EFX22" s="64"/>
      <c r="EFY22" s="64"/>
      <c r="EFZ22" s="64"/>
      <c r="EGA22" s="64"/>
      <c r="EGB22" s="64"/>
      <c r="EGC22" s="64"/>
      <c r="EGD22" s="64"/>
      <c r="EGE22" s="64"/>
      <c r="EGF22" s="64"/>
      <c r="EGG22" s="64"/>
      <c r="EGH22" s="64"/>
      <c r="EGI22" s="64"/>
      <c r="EGJ22" s="64"/>
      <c r="EGK22" s="64"/>
      <c r="EGL22" s="64"/>
      <c r="EGM22" s="64"/>
      <c r="EGN22" s="64"/>
      <c r="EGO22" s="64"/>
      <c r="EGP22" s="64"/>
      <c r="EGQ22" s="64"/>
      <c r="EGR22" s="64"/>
      <c r="EGS22" s="64"/>
      <c r="EGT22" s="64"/>
      <c r="EGU22" s="64"/>
      <c r="EGV22" s="64"/>
      <c r="EGW22" s="64"/>
      <c r="EGX22" s="64"/>
      <c r="EGY22" s="64"/>
      <c r="EGZ22" s="64"/>
      <c r="EHA22" s="64"/>
      <c r="EHB22" s="64"/>
      <c r="EHC22" s="64"/>
      <c r="EHD22" s="64"/>
      <c r="EHE22" s="64"/>
      <c r="EHF22" s="64"/>
      <c r="EHG22" s="64"/>
      <c r="EHH22" s="64"/>
      <c r="EHI22" s="64"/>
      <c r="EHJ22" s="64"/>
      <c r="EHK22" s="64"/>
      <c r="EHL22" s="64"/>
      <c r="EHM22" s="64"/>
      <c r="EHN22" s="64"/>
      <c r="EHO22" s="64"/>
      <c r="EHP22" s="64"/>
      <c r="EHQ22" s="64"/>
      <c r="EHR22" s="64"/>
      <c r="EHS22" s="64"/>
      <c r="EHT22" s="64"/>
      <c r="EHU22" s="64"/>
      <c r="EHV22" s="64"/>
      <c r="EHW22" s="64"/>
      <c r="EHX22" s="64"/>
      <c r="EHY22" s="64"/>
      <c r="EHZ22" s="64"/>
      <c r="EIA22" s="64"/>
      <c r="EIB22" s="64"/>
      <c r="EIC22" s="64"/>
      <c r="EID22" s="64"/>
      <c r="EIE22" s="64"/>
      <c r="EIF22" s="64"/>
      <c r="EIG22" s="64"/>
      <c r="EIH22" s="64"/>
      <c r="EII22" s="64"/>
      <c r="EIJ22" s="64"/>
      <c r="EIK22" s="64"/>
      <c r="EIL22" s="64"/>
      <c r="EIM22" s="64"/>
      <c r="EIN22" s="64"/>
      <c r="EIO22" s="64"/>
      <c r="EIP22" s="64"/>
      <c r="EIQ22" s="64"/>
      <c r="EIR22" s="64"/>
      <c r="EIS22" s="64"/>
      <c r="EIT22" s="64"/>
      <c r="EIU22" s="64"/>
      <c r="EIV22" s="64"/>
      <c r="EIW22" s="64"/>
      <c r="EIX22" s="64"/>
      <c r="EIY22" s="64"/>
      <c r="EIZ22" s="64"/>
      <c r="EJA22" s="64"/>
      <c r="EJB22" s="64"/>
      <c r="EJC22" s="64"/>
      <c r="EJD22" s="64"/>
      <c r="EJE22" s="64"/>
      <c r="EJF22" s="64"/>
      <c r="EJG22" s="64"/>
      <c r="EJH22" s="64"/>
      <c r="EJI22" s="64"/>
      <c r="EJJ22" s="64"/>
      <c r="EJK22" s="64"/>
      <c r="EJL22" s="64"/>
      <c r="EJM22" s="64"/>
      <c r="EJN22" s="64"/>
      <c r="EJO22" s="64"/>
      <c r="EJP22" s="64"/>
      <c r="EJQ22" s="64"/>
      <c r="EJR22" s="64"/>
      <c r="EJS22" s="64"/>
      <c r="EJT22" s="64"/>
      <c r="EJU22" s="64"/>
      <c r="EJV22" s="64"/>
      <c r="EJW22" s="64"/>
      <c r="EJX22" s="64"/>
      <c r="EJY22" s="64"/>
      <c r="EJZ22" s="64"/>
      <c r="EKA22" s="64"/>
      <c r="EKB22" s="64"/>
      <c r="EKC22" s="64"/>
      <c r="EKD22" s="64"/>
      <c r="EKE22" s="64"/>
      <c r="EKF22" s="64"/>
      <c r="EKG22" s="64"/>
      <c r="EKH22" s="64"/>
      <c r="EKI22" s="64"/>
      <c r="EKJ22" s="64"/>
      <c r="EKK22" s="64"/>
      <c r="EKL22" s="64"/>
      <c r="EKM22" s="64"/>
      <c r="EKN22" s="64"/>
      <c r="EKO22" s="64"/>
      <c r="EKP22" s="64"/>
      <c r="EKQ22" s="64"/>
      <c r="EKR22" s="64"/>
      <c r="EKS22" s="64"/>
      <c r="EKT22" s="64"/>
      <c r="EKU22" s="64"/>
      <c r="EKV22" s="64"/>
      <c r="EKW22" s="64"/>
      <c r="EKX22" s="64"/>
      <c r="EKY22" s="64"/>
      <c r="EKZ22" s="64"/>
      <c r="ELA22" s="64"/>
      <c r="ELB22" s="64"/>
      <c r="ELC22" s="64"/>
      <c r="ELD22" s="64"/>
      <c r="ELE22" s="64"/>
      <c r="ELF22" s="64"/>
      <c r="ELG22" s="64"/>
      <c r="ELH22" s="64"/>
      <c r="ELI22" s="64"/>
      <c r="ELJ22" s="64"/>
      <c r="ELK22" s="64"/>
      <c r="ELL22" s="64"/>
      <c r="ELM22" s="64"/>
      <c r="ELN22" s="64"/>
      <c r="ELO22" s="64"/>
      <c r="ELP22" s="64"/>
      <c r="ELQ22" s="64"/>
      <c r="ELR22" s="64"/>
      <c r="ELS22" s="64"/>
      <c r="ELT22" s="64"/>
      <c r="ELU22" s="64"/>
      <c r="ELV22" s="64"/>
      <c r="ELW22" s="64"/>
      <c r="ELX22" s="64"/>
      <c r="ELY22" s="64"/>
      <c r="ELZ22" s="64"/>
      <c r="EMA22" s="64"/>
      <c r="EMB22" s="64"/>
      <c r="EMC22" s="64"/>
      <c r="EMD22" s="64"/>
      <c r="EME22" s="64"/>
      <c r="EMF22" s="64"/>
      <c r="EMG22" s="64"/>
      <c r="EMH22" s="64"/>
      <c r="EMI22" s="64"/>
      <c r="EMJ22" s="64"/>
      <c r="EMK22" s="64"/>
      <c r="EML22" s="64"/>
      <c r="EMM22" s="64"/>
      <c r="EMN22" s="64"/>
      <c r="EMO22" s="64"/>
      <c r="EMP22" s="64"/>
      <c r="EMQ22" s="64"/>
      <c r="EMR22" s="64"/>
      <c r="EMS22" s="64"/>
      <c r="EMT22" s="64"/>
      <c r="EMU22" s="64"/>
      <c r="EMV22" s="64"/>
      <c r="EMW22" s="64"/>
      <c r="EMX22" s="64"/>
      <c r="EMY22" s="64"/>
      <c r="EMZ22" s="64"/>
      <c r="ENA22" s="64"/>
      <c r="ENB22" s="64"/>
      <c r="ENC22" s="64"/>
      <c r="END22" s="64"/>
      <c r="ENE22" s="64"/>
      <c r="ENF22" s="64"/>
      <c r="ENG22" s="64"/>
      <c r="ENH22" s="64"/>
      <c r="ENI22" s="64"/>
      <c r="ENJ22" s="64"/>
      <c r="ENK22" s="64"/>
      <c r="ENL22" s="64"/>
      <c r="ENM22" s="64"/>
      <c r="ENN22" s="64"/>
      <c r="ENO22" s="64"/>
      <c r="ENP22" s="64"/>
      <c r="ENQ22" s="64"/>
      <c r="ENR22" s="64"/>
      <c r="ENS22" s="64"/>
      <c r="ENT22" s="64"/>
      <c r="ENU22" s="64"/>
      <c r="ENV22" s="64"/>
      <c r="ENW22" s="64"/>
      <c r="ENX22" s="64"/>
      <c r="ENY22" s="64"/>
      <c r="ENZ22" s="64"/>
      <c r="EOA22" s="64"/>
      <c r="EOB22" s="64"/>
      <c r="EOC22" s="64"/>
      <c r="EOD22" s="64"/>
      <c r="EOE22" s="64"/>
      <c r="EOF22" s="64"/>
      <c r="EOG22" s="64"/>
      <c r="EOH22" s="64"/>
      <c r="EOI22" s="64"/>
      <c r="EOJ22" s="64"/>
      <c r="EOK22" s="64"/>
      <c r="EOL22" s="64"/>
      <c r="EOM22" s="64"/>
      <c r="EON22" s="64"/>
      <c r="EOO22" s="64"/>
      <c r="EOP22" s="64"/>
      <c r="EOQ22" s="64"/>
      <c r="EOR22" s="64"/>
      <c r="EOS22" s="64"/>
      <c r="EOT22" s="64"/>
      <c r="EOU22" s="64"/>
      <c r="EOV22" s="64"/>
      <c r="EOW22" s="64"/>
      <c r="EOX22" s="64"/>
      <c r="EOY22" s="64"/>
      <c r="EOZ22" s="64"/>
      <c r="EPA22" s="64"/>
      <c r="EPB22" s="64"/>
      <c r="EPC22" s="64"/>
      <c r="EPD22" s="64"/>
      <c r="EPE22" s="64"/>
      <c r="EPF22" s="64"/>
      <c r="EPG22" s="64"/>
      <c r="EPH22" s="64"/>
      <c r="EPI22" s="64"/>
      <c r="EPJ22" s="64"/>
      <c r="EPK22" s="64"/>
      <c r="EPL22" s="64"/>
      <c r="EPM22" s="64"/>
      <c r="EPN22" s="64"/>
      <c r="EPO22" s="64"/>
      <c r="EPP22" s="64"/>
      <c r="EPQ22" s="64"/>
      <c r="EPR22" s="64"/>
      <c r="EPS22" s="64"/>
      <c r="EPT22" s="64"/>
      <c r="EPU22" s="64"/>
      <c r="EPV22" s="64"/>
      <c r="EPW22" s="64"/>
      <c r="EPX22" s="64"/>
      <c r="EPY22" s="64"/>
      <c r="EPZ22" s="64"/>
      <c r="EQA22" s="64"/>
      <c r="EQB22" s="64"/>
      <c r="EQC22" s="64"/>
      <c r="EQD22" s="64"/>
      <c r="EQE22" s="64"/>
      <c r="EQF22" s="64"/>
      <c r="EQG22" s="64"/>
      <c r="EQH22" s="64"/>
      <c r="EQI22" s="64"/>
      <c r="EQJ22" s="64"/>
      <c r="EQK22" s="64"/>
      <c r="EQL22" s="64"/>
      <c r="EQM22" s="64"/>
      <c r="EQN22" s="64"/>
      <c r="EQO22" s="64"/>
      <c r="EQP22" s="64"/>
      <c r="EQQ22" s="64"/>
      <c r="EQR22" s="64"/>
      <c r="EQS22" s="64"/>
      <c r="EQT22" s="64"/>
      <c r="EQU22" s="64"/>
      <c r="EQV22" s="64"/>
      <c r="EQW22" s="64"/>
      <c r="EQX22" s="64"/>
      <c r="EQY22" s="64"/>
      <c r="EQZ22" s="64"/>
      <c r="ERA22" s="64"/>
      <c r="ERB22" s="64"/>
      <c r="ERC22" s="64"/>
      <c r="ERD22" s="64"/>
      <c r="ERE22" s="64"/>
      <c r="ERF22" s="64"/>
      <c r="ERG22" s="64"/>
      <c r="ERH22" s="64"/>
      <c r="ERI22" s="64"/>
      <c r="ERJ22" s="64"/>
      <c r="ERK22" s="64"/>
      <c r="ERL22" s="64"/>
      <c r="ERM22" s="64"/>
      <c r="ERN22" s="64"/>
      <c r="ERO22" s="64"/>
      <c r="ERP22" s="64"/>
      <c r="ERQ22" s="64"/>
      <c r="ERR22" s="64"/>
      <c r="ERS22" s="64"/>
      <c r="ERT22" s="64"/>
      <c r="ERU22" s="64"/>
      <c r="ERV22" s="64"/>
      <c r="ERW22" s="64"/>
      <c r="ERX22" s="64"/>
      <c r="ERY22" s="64"/>
      <c r="ERZ22" s="64"/>
      <c r="ESA22" s="64"/>
      <c r="ESB22" s="64"/>
      <c r="ESC22" s="64"/>
      <c r="ESD22" s="64"/>
      <c r="ESE22" s="64"/>
      <c r="ESF22" s="64"/>
      <c r="ESG22" s="64"/>
      <c r="ESH22" s="64"/>
      <c r="ESI22" s="64"/>
      <c r="ESJ22" s="64"/>
      <c r="ESK22" s="64"/>
      <c r="ESL22" s="64"/>
      <c r="ESM22" s="64"/>
      <c r="ESN22" s="64"/>
      <c r="ESO22" s="64"/>
      <c r="ESP22" s="64"/>
      <c r="ESQ22" s="64"/>
      <c r="ESR22" s="64"/>
      <c r="ESS22" s="64"/>
      <c r="EST22" s="64"/>
      <c r="ESU22" s="64"/>
      <c r="ESV22" s="64"/>
      <c r="ESW22" s="64"/>
      <c r="ESX22" s="64"/>
      <c r="ESY22" s="64"/>
      <c r="ESZ22" s="64"/>
      <c r="ETA22" s="64"/>
      <c r="ETB22" s="64"/>
      <c r="ETC22" s="64"/>
      <c r="ETD22" s="64"/>
      <c r="ETE22" s="64"/>
      <c r="ETF22" s="64"/>
      <c r="ETG22" s="64"/>
      <c r="ETH22" s="64"/>
      <c r="ETI22" s="64"/>
      <c r="ETJ22" s="64"/>
      <c r="ETK22" s="64"/>
      <c r="ETL22" s="64"/>
      <c r="ETM22" s="64"/>
      <c r="ETN22" s="64"/>
      <c r="ETO22" s="64"/>
      <c r="ETP22" s="64"/>
      <c r="ETQ22" s="64"/>
      <c r="ETR22" s="64"/>
      <c r="ETS22" s="64"/>
      <c r="ETT22" s="64"/>
      <c r="ETU22" s="64"/>
      <c r="ETV22" s="64"/>
      <c r="ETW22" s="64"/>
      <c r="ETX22" s="64"/>
      <c r="ETY22" s="64"/>
      <c r="ETZ22" s="64"/>
      <c r="EUA22" s="64"/>
      <c r="EUB22" s="64"/>
      <c r="EUC22" s="64"/>
      <c r="EUD22" s="64"/>
      <c r="EUE22" s="64"/>
      <c r="EUF22" s="64"/>
      <c r="EUG22" s="64"/>
      <c r="EUH22" s="64"/>
      <c r="EUI22" s="64"/>
      <c r="EUJ22" s="64"/>
      <c r="EUK22" s="64"/>
      <c r="EUL22" s="64"/>
      <c r="EUM22" s="64"/>
      <c r="EUN22" s="64"/>
      <c r="EUO22" s="64"/>
      <c r="EUP22" s="64"/>
      <c r="EUQ22" s="64"/>
      <c r="EUR22" s="64"/>
      <c r="EUS22" s="64"/>
      <c r="EUT22" s="64"/>
      <c r="EUU22" s="64"/>
      <c r="EUV22" s="64"/>
      <c r="EUW22" s="64"/>
      <c r="EUX22" s="64"/>
      <c r="EUY22" s="64"/>
      <c r="EUZ22" s="64"/>
      <c r="EVA22" s="64"/>
      <c r="EVB22" s="64"/>
      <c r="EVC22" s="64"/>
      <c r="EVD22" s="64"/>
      <c r="EVE22" s="64"/>
      <c r="EVF22" s="64"/>
      <c r="EVG22" s="64"/>
      <c r="EVH22" s="64"/>
      <c r="EVI22" s="64"/>
      <c r="EVJ22" s="64"/>
      <c r="EVK22" s="64"/>
      <c r="EVL22" s="64"/>
      <c r="EVM22" s="64"/>
      <c r="EVN22" s="64"/>
      <c r="EVO22" s="64"/>
      <c r="EVP22" s="64"/>
      <c r="EVQ22" s="64"/>
      <c r="EVR22" s="64"/>
      <c r="EVS22" s="64"/>
      <c r="EVT22" s="64"/>
      <c r="EVU22" s="64"/>
      <c r="EVV22" s="64"/>
      <c r="EVW22" s="64"/>
      <c r="EVX22" s="64"/>
      <c r="EVY22" s="64"/>
      <c r="EVZ22" s="64"/>
      <c r="EWA22" s="64"/>
      <c r="EWB22" s="64"/>
      <c r="EWC22" s="64"/>
      <c r="EWD22" s="64"/>
      <c r="EWE22" s="64"/>
      <c r="EWF22" s="64"/>
      <c r="EWG22" s="64"/>
      <c r="EWH22" s="64"/>
      <c r="EWI22" s="64"/>
      <c r="EWJ22" s="64"/>
      <c r="EWK22" s="64"/>
      <c r="EWL22" s="64"/>
      <c r="EWM22" s="64"/>
      <c r="EWN22" s="64"/>
      <c r="EWO22" s="64"/>
      <c r="EWP22" s="64"/>
      <c r="EWQ22" s="64"/>
      <c r="EWR22" s="64"/>
      <c r="EWS22" s="64"/>
      <c r="EWT22" s="64"/>
      <c r="EWU22" s="64"/>
      <c r="EWV22" s="64"/>
      <c r="EWW22" s="64"/>
      <c r="EWX22" s="64"/>
      <c r="EWY22" s="64"/>
      <c r="EWZ22" s="64"/>
      <c r="EXA22" s="64"/>
      <c r="EXB22" s="64"/>
      <c r="EXC22" s="64"/>
      <c r="EXD22" s="64"/>
      <c r="EXE22" s="64"/>
      <c r="EXF22" s="64"/>
      <c r="EXG22" s="64"/>
      <c r="EXH22" s="64"/>
      <c r="EXI22" s="64"/>
      <c r="EXJ22" s="64"/>
      <c r="EXK22" s="64"/>
      <c r="EXL22" s="64"/>
      <c r="EXM22" s="64"/>
      <c r="EXN22" s="64"/>
      <c r="EXO22" s="64"/>
      <c r="EXP22" s="64"/>
      <c r="EXQ22" s="64"/>
      <c r="EXR22" s="64"/>
      <c r="EXS22" s="64"/>
      <c r="EXT22" s="64"/>
      <c r="EXU22" s="64"/>
      <c r="EXV22" s="64"/>
      <c r="EXW22" s="64"/>
      <c r="EXX22" s="64"/>
      <c r="EXY22" s="64"/>
      <c r="EXZ22" s="64"/>
      <c r="EYA22" s="64"/>
      <c r="EYB22" s="64"/>
      <c r="EYC22" s="64"/>
      <c r="EYD22" s="64"/>
      <c r="EYE22" s="64"/>
      <c r="EYF22" s="64"/>
      <c r="EYG22" s="64"/>
      <c r="EYH22" s="64"/>
      <c r="EYI22" s="64"/>
      <c r="EYJ22" s="64"/>
      <c r="EYK22" s="64"/>
      <c r="EYL22" s="64"/>
      <c r="EYM22" s="64"/>
      <c r="EYN22" s="64"/>
      <c r="EYO22" s="64"/>
      <c r="EYP22" s="64"/>
      <c r="EYQ22" s="64"/>
      <c r="EYR22" s="64"/>
      <c r="EYS22" s="64"/>
      <c r="EYT22" s="64"/>
      <c r="EYU22" s="64"/>
      <c r="EYV22" s="64"/>
      <c r="EYW22" s="64"/>
      <c r="EYX22" s="64"/>
      <c r="EYY22" s="64"/>
      <c r="EYZ22" s="64"/>
      <c r="EZA22" s="64"/>
      <c r="EZB22" s="64"/>
      <c r="EZC22" s="64"/>
      <c r="EZD22" s="64"/>
      <c r="EZE22" s="64"/>
      <c r="EZF22" s="64"/>
      <c r="EZG22" s="64"/>
      <c r="EZH22" s="64"/>
      <c r="EZI22" s="64"/>
      <c r="EZJ22" s="64"/>
      <c r="EZK22" s="64"/>
      <c r="EZL22" s="64"/>
      <c r="EZM22" s="64"/>
      <c r="EZN22" s="64"/>
      <c r="EZO22" s="64"/>
      <c r="EZP22" s="64"/>
      <c r="EZQ22" s="64"/>
      <c r="EZR22" s="64"/>
      <c r="EZS22" s="64"/>
      <c r="EZT22" s="64"/>
      <c r="EZU22" s="64"/>
      <c r="EZV22" s="64"/>
      <c r="EZW22" s="64"/>
      <c r="EZX22" s="64"/>
      <c r="EZY22" s="64"/>
      <c r="EZZ22" s="64"/>
      <c r="FAA22" s="64"/>
      <c r="FAB22" s="64"/>
      <c r="FAC22" s="64"/>
      <c r="FAD22" s="64"/>
      <c r="FAE22" s="64"/>
      <c r="FAF22" s="64"/>
      <c r="FAG22" s="64"/>
      <c r="FAH22" s="64"/>
      <c r="FAI22" s="64"/>
      <c r="FAJ22" s="64"/>
      <c r="FAK22" s="64"/>
      <c r="FAL22" s="64"/>
      <c r="FAM22" s="64"/>
      <c r="FAN22" s="64"/>
      <c r="FAO22" s="64"/>
      <c r="FAP22" s="64"/>
      <c r="FAQ22" s="64"/>
      <c r="FAR22" s="64"/>
      <c r="FAS22" s="64"/>
      <c r="FAT22" s="64"/>
      <c r="FAU22" s="64"/>
      <c r="FAV22" s="64"/>
      <c r="FAW22" s="64"/>
      <c r="FAX22" s="64"/>
      <c r="FAY22" s="64"/>
      <c r="FAZ22" s="64"/>
      <c r="FBA22" s="64"/>
      <c r="FBB22" s="64"/>
      <c r="FBC22" s="64"/>
      <c r="FBD22" s="64"/>
      <c r="FBE22" s="64"/>
      <c r="FBF22" s="64"/>
      <c r="FBG22" s="64"/>
      <c r="FBH22" s="64"/>
      <c r="FBI22" s="64"/>
      <c r="FBJ22" s="64"/>
      <c r="FBK22" s="64"/>
      <c r="FBL22" s="64"/>
      <c r="FBM22" s="64"/>
      <c r="FBN22" s="64"/>
      <c r="FBO22" s="64"/>
      <c r="FBP22" s="64"/>
      <c r="FBQ22" s="64"/>
      <c r="FBR22" s="64"/>
      <c r="FBS22" s="64"/>
      <c r="FBT22" s="64"/>
      <c r="FBU22" s="64"/>
      <c r="FBV22" s="64"/>
      <c r="FBW22" s="64"/>
      <c r="FBX22" s="64"/>
      <c r="FBY22" s="64"/>
      <c r="FBZ22" s="64"/>
      <c r="FCA22" s="64"/>
      <c r="FCB22" s="64"/>
      <c r="FCC22" s="64"/>
      <c r="FCD22" s="64"/>
      <c r="FCE22" s="64"/>
      <c r="FCF22" s="64"/>
      <c r="FCG22" s="64"/>
      <c r="FCH22" s="64"/>
      <c r="FCI22" s="64"/>
      <c r="FCJ22" s="64"/>
      <c r="FCK22" s="64"/>
      <c r="FCL22" s="64"/>
      <c r="FCM22" s="64"/>
      <c r="FCN22" s="64"/>
      <c r="FCO22" s="64"/>
      <c r="FCP22" s="64"/>
      <c r="FCQ22" s="64"/>
      <c r="FCR22" s="64"/>
      <c r="FCS22" s="64"/>
      <c r="FCT22" s="64"/>
      <c r="FCU22" s="64"/>
      <c r="FCV22" s="64"/>
      <c r="FCW22" s="64"/>
      <c r="FCX22" s="64"/>
      <c r="FCY22" s="64"/>
      <c r="FCZ22" s="64"/>
      <c r="FDA22" s="64"/>
      <c r="FDB22" s="64"/>
      <c r="FDC22" s="64"/>
      <c r="FDD22" s="64"/>
      <c r="FDE22" s="64"/>
      <c r="FDF22" s="64"/>
      <c r="FDG22" s="64"/>
      <c r="FDH22" s="64"/>
      <c r="FDI22" s="64"/>
      <c r="FDJ22" s="64"/>
      <c r="FDK22" s="64"/>
      <c r="FDL22" s="64"/>
      <c r="FDM22" s="64"/>
      <c r="FDN22" s="64"/>
      <c r="FDO22" s="64"/>
      <c r="FDP22" s="64"/>
      <c r="FDQ22" s="64"/>
      <c r="FDR22" s="64"/>
      <c r="FDS22" s="64"/>
      <c r="FDT22" s="64"/>
      <c r="FDU22" s="64"/>
      <c r="FDV22" s="64"/>
      <c r="FDW22" s="64"/>
      <c r="FDX22" s="64"/>
      <c r="FDY22" s="64"/>
      <c r="FDZ22" s="64"/>
      <c r="FEA22" s="64"/>
      <c r="FEB22" s="64"/>
      <c r="FEC22" s="64"/>
      <c r="FED22" s="64"/>
      <c r="FEE22" s="64"/>
      <c r="FEF22" s="64"/>
      <c r="FEG22" s="64"/>
      <c r="FEH22" s="64"/>
      <c r="FEI22" s="64"/>
      <c r="FEJ22" s="64"/>
      <c r="FEK22" s="64"/>
      <c r="FEL22" s="64"/>
      <c r="FEM22" s="64"/>
      <c r="FEN22" s="64"/>
      <c r="FEO22" s="64"/>
      <c r="FEP22" s="64"/>
      <c r="FEQ22" s="64"/>
      <c r="FER22" s="64"/>
      <c r="FES22" s="64"/>
      <c r="FET22" s="64"/>
      <c r="FEU22" s="64"/>
      <c r="FEV22" s="64"/>
      <c r="FEW22" s="64"/>
      <c r="FEX22" s="64"/>
      <c r="FEY22" s="64"/>
      <c r="FEZ22" s="64"/>
      <c r="FFA22" s="64"/>
      <c r="FFB22" s="64"/>
      <c r="FFC22" s="64"/>
      <c r="FFD22" s="64"/>
      <c r="FFE22" s="64"/>
      <c r="FFF22" s="64"/>
      <c r="FFG22" s="64"/>
      <c r="FFH22" s="64"/>
      <c r="FFI22" s="64"/>
      <c r="FFJ22" s="64"/>
      <c r="FFK22" s="64"/>
      <c r="FFL22" s="64"/>
      <c r="FFM22" s="64"/>
      <c r="FFN22" s="64"/>
      <c r="FFO22" s="64"/>
      <c r="FFP22" s="64"/>
      <c r="FFQ22" s="64"/>
      <c r="FFR22" s="64"/>
      <c r="FFS22" s="64"/>
      <c r="FFT22" s="64"/>
      <c r="FFU22" s="64"/>
      <c r="FFV22" s="64"/>
      <c r="FFW22" s="64"/>
      <c r="FFX22" s="64"/>
      <c r="FFY22" s="64"/>
      <c r="FFZ22" s="64"/>
      <c r="FGA22" s="64"/>
      <c r="FGB22" s="64"/>
      <c r="FGC22" s="64"/>
      <c r="FGD22" s="64"/>
      <c r="FGE22" s="64"/>
      <c r="FGF22" s="64"/>
      <c r="FGG22" s="64"/>
      <c r="FGH22" s="64"/>
      <c r="FGI22" s="64"/>
      <c r="FGJ22" s="64"/>
      <c r="FGK22" s="64"/>
      <c r="FGL22" s="64"/>
      <c r="FGM22" s="64"/>
      <c r="FGN22" s="64"/>
      <c r="FGO22" s="64"/>
      <c r="FGP22" s="64"/>
      <c r="FGQ22" s="64"/>
      <c r="FGR22" s="64"/>
      <c r="FGS22" s="64"/>
      <c r="FGT22" s="64"/>
      <c r="FGU22" s="64"/>
      <c r="FGV22" s="64"/>
      <c r="FGW22" s="64"/>
      <c r="FGX22" s="64"/>
      <c r="FGY22" s="64"/>
      <c r="FGZ22" s="64"/>
      <c r="FHA22" s="64"/>
      <c r="FHB22" s="64"/>
      <c r="FHC22" s="64"/>
      <c r="FHD22" s="64"/>
      <c r="FHE22" s="64"/>
      <c r="FHF22" s="64"/>
      <c r="FHG22" s="64"/>
      <c r="FHH22" s="64"/>
      <c r="FHI22" s="64"/>
      <c r="FHJ22" s="64"/>
      <c r="FHK22" s="64"/>
      <c r="FHL22" s="64"/>
      <c r="FHM22" s="64"/>
      <c r="FHN22" s="64"/>
      <c r="FHO22" s="64"/>
      <c r="FHP22" s="64"/>
      <c r="FHQ22" s="64"/>
      <c r="FHR22" s="64"/>
      <c r="FHS22" s="64"/>
      <c r="FHT22" s="64"/>
      <c r="FHU22" s="64"/>
      <c r="FHV22" s="64"/>
      <c r="FHW22" s="64"/>
      <c r="FHX22" s="64"/>
      <c r="FHY22" s="64"/>
      <c r="FHZ22" s="64"/>
      <c r="FIA22" s="64"/>
      <c r="FIB22" s="64"/>
      <c r="FIC22" s="64"/>
      <c r="FID22" s="64"/>
      <c r="FIE22" s="64"/>
      <c r="FIF22" s="64"/>
      <c r="FIG22" s="64"/>
      <c r="FIH22" s="64"/>
      <c r="FII22" s="64"/>
      <c r="FIJ22" s="64"/>
      <c r="FIK22" s="64"/>
      <c r="FIL22" s="64"/>
      <c r="FIM22" s="64"/>
      <c r="FIN22" s="64"/>
      <c r="FIO22" s="64"/>
      <c r="FIP22" s="64"/>
      <c r="FIQ22" s="64"/>
      <c r="FIR22" s="64"/>
      <c r="FIS22" s="64"/>
      <c r="FIT22" s="64"/>
      <c r="FIU22" s="64"/>
      <c r="FIV22" s="64"/>
      <c r="FIW22" s="64"/>
      <c r="FIX22" s="64"/>
      <c r="FIY22" s="64"/>
      <c r="FIZ22" s="64"/>
      <c r="FJA22" s="64"/>
      <c r="FJB22" s="64"/>
      <c r="FJC22" s="64"/>
      <c r="FJD22" s="64"/>
      <c r="FJE22" s="64"/>
      <c r="FJF22" s="64"/>
      <c r="FJG22" s="64"/>
      <c r="FJH22" s="64"/>
      <c r="FJI22" s="64"/>
      <c r="FJJ22" s="64"/>
      <c r="FJK22" s="64"/>
      <c r="FJL22" s="64"/>
      <c r="FJM22" s="64"/>
      <c r="FJN22" s="64"/>
      <c r="FJO22" s="64"/>
      <c r="FJP22" s="64"/>
      <c r="FJQ22" s="64"/>
      <c r="FJR22" s="64"/>
      <c r="FJS22" s="64"/>
      <c r="FJT22" s="64"/>
      <c r="FJU22" s="64"/>
      <c r="FJV22" s="64"/>
      <c r="FJW22" s="64"/>
      <c r="FJX22" s="64"/>
      <c r="FJY22" s="64"/>
      <c r="FJZ22" s="64"/>
      <c r="FKA22" s="64"/>
      <c r="FKB22" s="64"/>
      <c r="FKC22" s="64"/>
      <c r="FKD22" s="64"/>
      <c r="FKE22" s="64"/>
      <c r="FKF22" s="64"/>
      <c r="FKG22" s="64"/>
      <c r="FKH22" s="64"/>
      <c r="FKI22" s="64"/>
      <c r="FKJ22" s="64"/>
      <c r="FKK22" s="64"/>
      <c r="FKL22" s="64"/>
      <c r="FKM22" s="64"/>
      <c r="FKN22" s="64"/>
      <c r="FKO22" s="64"/>
      <c r="FKP22" s="64"/>
      <c r="FKQ22" s="64"/>
      <c r="FKR22" s="64"/>
      <c r="FKS22" s="64"/>
      <c r="FKT22" s="64"/>
      <c r="FKU22" s="64"/>
      <c r="FKV22" s="64"/>
      <c r="FKW22" s="64"/>
      <c r="FKX22" s="64"/>
      <c r="FKY22" s="64"/>
      <c r="FKZ22" s="64"/>
      <c r="FLA22" s="64"/>
      <c r="FLB22" s="64"/>
      <c r="FLC22" s="64"/>
      <c r="FLD22" s="64"/>
      <c r="FLE22" s="64"/>
      <c r="FLF22" s="64"/>
      <c r="FLG22" s="64"/>
      <c r="FLH22" s="64"/>
      <c r="FLI22" s="64"/>
      <c r="FLJ22" s="64"/>
      <c r="FLK22" s="64"/>
      <c r="FLL22" s="64"/>
      <c r="FLM22" s="64"/>
      <c r="FLN22" s="64"/>
      <c r="FLO22" s="64"/>
      <c r="FLP22" s="64"/>
      <c r="FLQ22" s="64"/>
      <c r="FLR22" s="64"/>
      <c r="FLS22" s="64"/>
      <c r="FLT22" s="64"/>
      <c r="FLU22" s="64"/>
      <c r="FLV22" s="64"/>
      <c r="FLW22" s="64"/>
      <c r="FLX22" s="64"/>
      <c r="FLY22" s="64"/>
      <c r="FLZ22" s="64"/>
      <c r="FMA22" s="64"/>
      <c r="FMB22" s="64"/>
      <c r="FMC22" s="64"/>
      <c r="FMD22" s="64"/>
      <c r="FME22" s="64"/>
      <c r="FMF22" s="64"/>
      <c r="FMG22" s="64"/>
      <c r="FMH22" s="64"/>
      <c r="FMI22" s="64"/>
      <c r="FMJ22" s="64"/>
      <c r="FMK22" s="64"/>
      <c r="FML22" s="64"/>
      <c r="FMM22" s="64"/>
      <c r="FMN22" s="64"/>
      <c r="FMO22" s="64"/>
      <c r="FMP22" s="64"/>
      <c r="FMQ22" s="64"/>
      <c r="FMR22" s="64"/>
      <c r="FMS22" s="64"/>
      <c r="FMT22" s="64"/>
      <c r="FMU22" s="64"/>
      <c r="FMV22" s="64"/>
      <c r="FMW22" s="64"/>
      <c r="FMX22" s="64"/>
      <c r="FMY22" s="64"/>
      <c r="FMZ22" s="64"/>
      <c r="FNA22" s="64"/>
      <c r="FNB22" s="64"/>
      <c r="FNC22" s="64"/>
      <c r="FND22" s="64"/>
      <c r="FNE22" s="64"/>
      <c r="FNF22" s="64"/>
      <c r="FNG22" s="64"/>
      <c r="FNH22" s="64"/>
      <c r="FNI22" s="64"/>
      <c r="FNJ22" s="64"/>
      <c r="FNK22" s="64"/>
      <c r="FNL22" s="64"/>
      <c r="FNM22" s="64"/>
      <c r="FNN22" s="64"/>
      <c r="FNO22" s="64"/>
      <c r="FNP22" s="64"/>
      <c r="FNQ22" s="64"/>
      <c r="FNR22" s="64"/>
      <c r="FNS22" s="64"/>
      <c r="FNT22" s="64"/>
      <c r="FNU22" s="64"/>
      <c r="FNV22" s="64"/>
      <c r="FNW22" s="64"/>
      <c r="FNX22" s="64"/>
      <c r="FNY22" s="64"/>
      <c r="FNZ22" s="64"/>
      <c r="FOA22" s="64"/>
      <c r="FOB22" s="64"/>
      <c r="FOC22" s="64"/>
      <c r="FOD22" s="64"/>
      <c r="FOE22" s="64"/>
      <c r="FOF22" s="64"/>
      <c r="FOG22" s="64"/>
      <c r="FOH22" s="64"/>
      <c r="FOI22" s="64"/>
      <c r="FOJ22" s="64"/>
      <c r="FOK22" s="64"/>
      <c r="FOL22" s="64"/>
      <c r="FOM22" s="64"/>
      <c r="FON22" s="64"/>
      <c r="FOO22" s="64"/>
      <c r="FOP22" s="64"/>
      <c r="FOQ22" s="64"/>
      <c r="FOR22" s="64"/>
      <c r="FOS22" s="64"/>
      <c r="FOT22" s="64"/>
      <c r="FOU22" s="64"/>
      <c r="FOV22" s="64"/>
      <c r="FOW22" s="64"/>
      <c r="FOX22" s="64"/>
      <c r="FOY22" s="64"/>
      <c r="FOZ22" s="64"/>
      <c r="FPA22" s="64"/>
      <c r="FPB22" s="64"/>
      <c r="FPC22" s="64"/>
      <c r="FPD22" s="64"/>
      <c r="FPE22" s="64"/>
      <c r="FPF22" s="64"/>
      <c r="FPG22" s="64"/>
      <c r="FPH22" s="64"/>
      <c r="FPI22" s="64"/>
      <c r="FPJ22" s="64"/>
      <c r="FPK22" s="64"/>
      <c r="FPL22" s="64"/>
      <c r="FPM22" s="64"/>
      <c r="FPN22" s="64"/>
      <c r="FPO22" s="64"/>
      <c r="FPP22" s="64"/>
      <c r="FPQ22" s="64"/>
      <c r="FPR22" s="64"/>
      <c r="FPS22" s="64"/>
      <c r="FPT22" s="64"/>
      <c r="FPU22" s="64"/>
      <c r="FPV22" s="64"/>
      <c r="FPW22" s="64"/>
      <c r="FPX22" s="64"/>
      <c r="FPY22" s="64"/>
      <c r="FPZ22" s="64"/>
      <c r="FQA22" s="64"/>
      <c r="FQB22" s="64"/>
      <c r="FQC22" s="64"/>
      <c r="FQD22" s="64"/>
      <c r="FQE22" s="64"/>
      <c r="FQF22" s="64"/>
      <c r="FQG22" s="64"/>
      <c r="FQH22" s="64"/>
      <c r="FQI22" s="64"/>
      <c r="FQJ22" s="64"/>
      <c r="FQK22" s="64"/>
      <c r="FQL22" s="64"/>
      <c r="FQM22" s="64"/>
      <c r="FQN22" s="64"/>
      <c r="FQO22" s="64"/>
      <c r="FQP22" s="64"/>
      <c r="FQQ22" s="64"/>
      <c r="FQR22" s="64"/>
      <c r="FQS22" s="64"/>
      <c r="FQT22" s="64"/>
      <c r="FQU22" s="64"/>
      <c r="FQV22" s="64"/>
      <c r="FQW22" s="64"/>
      <c r="FQX22" s="64"/>
      <c r="FQY22" s="64"/>
      <c r="FQZ22" s="64"/>
      <c r="FRA22" s="64"/>
      <c r="FRB22" s="64"/>
      <c r="FRC22" s="64"/>
      <c r="FRD22" s="64"/>
      <c r="FRE22" s="64"/>
      <c r="FRF22" s="64"/>
      <c r="FRG22" s="64"/>
      <c r="FRH22" s="64"/>
      <c r="FRI22" s="64"/>
      <c r="FRJ22" s="64"/>
      <c r="FRK22" s="64"/>
      <c r="FRL22" s="64"/>
      <c r="FRM22" s="64"/>
      <c r="FRN22" s="64"/>
      <c r="FRO22" s="64"/>
      <c r="FRP22" s="64"/>
      <c r="FRQ22" s="64"/>
      <c r="FRR22" s="64"/>
      <c r="FRS22" s="64"/>
      <c r="FRT22" s="64"/>
      <c r="FRU22" s="64"/>
      <c r="FRV22" s="64"/>
      <c r="FRW22" s="64"/>
      <c r="FRX22" s="64"/>
      <c r="FRY22" s="64"/>
      <c r="FRZ22" s="64"/>
      <c r="FSA22" s="64"/>
      <c r="FSB22" s="64"/>
      <c r="FSC22" s="64"/>
      <c r="FSD22" s="64"/>
      <c r="FSE22" s="64"/>
      <c r="FSF22" s="64"/>
      <c r="FSG22" s="64"/>
      <c r="FSH22" s="64"/>
      <c r="FSI22" s="64"/>
      <c r="FSJ22" s="64"/>
      <c r="FSK22" s="64"/>
      <c r="FSL22" s="64"/>
      <c r="FSM22" s="64"/>
      <c r="FSN22" s="64"/>
      <c r="FSO22" s="64"/>
      <c r="FSP22" s="64"/>
      <c r="FSQ22" s="64"/>
      <c r="FSR22" s="64"/>
      <c r="FSS22" s="64"/>
      <c r="FST22" s="64"/>
      <c r="FSU22" s="64"/>
      <c r="FSV22" s="64"/>
      <c r="FSW22" s="64"/>
      <c r="FSX22" s="64"/>
      <c r="FSY22" s="64"/>
      <c r="FSZ22" s="64"/>
      <c r="FTA22" s="64"/>
      <c r="FTB22" s="64"/>
      <c r="FTC22" s="64"/>
      <c r="FTD22" s="64"/>
      <c r="FTE22" s="64"/>
      <c r="FTF22" s="64"/>
      <c r="FTG22" s="64"/>
      <c r="FTH22" s="64"/>
      <c r="FTI22" s="64"/>
      <c r="FTJ22" s="64"/>
      <c r="FTK22" s="64"/>
      <c r="FTL22" s="64"/>
      <c r="FTM22" s="64"/>
      <c r="FTN22" s="64"/>
      <c r="FTO22" s="64"/>
      <c r="FTP22" s="64"/>
      <c r="FTQ22" s="64"/>
      <c r="FTR22" s="64"/>
      <c r="FTS22" s="64"/>
      <c r="FTT22" s="64"/>
      <c r="FTU22" s="64"/>
      <c r="FTV22" s="64"/>
      <c r="FTW22" s="64"/>
      <c r="FTX22" s="64"/>
      <c r="FTY22" s="64"/>
      <c r="FTZ22" s="64"/>
      <c r="FUA22" s="64"/>
      <c r="FUB22" s="64"/>
      <c r="FUC22" s="64"/>
      <c r="FUD22" s="64"/>
      <c r="FUE22" s="64"/>
      <c r="FUF22" s="64"/>
      <c r="FUG22" s="64"/>
      <c r="FUH22" s="64"/>
      <c r="FUI22" s="64"/>
      <c r="FUJ22" s="64"/>
      <c r="FUK22" s="64"/>
      <c r="FUL22" s="64"/>
      <c r="FUM22" s="64"/>
      <c r="FUN22" s="64"/>
      <c r="FUO22" s="64"/>
      <c r="FUP22" s="64"/>
      <c r="FUQ22" s="64"/>
      <c r="FUR22" s="64"/>
      <c r="FUS22" s="64"/>
      <c r="FUT22" s="64"/>
      <c r="FUU22" s="64"/>
      <c r="FUV22" s="64"/>
      <c r="FUW22" s="64"/>
      <c r="FUX22" s="64"/>
      <c r="FUY22" s="64"/>
      <c r="FUZ22" s="64"/>
      <c r="FVA22" s="64"/>
      <c r="FVB22" s="64"/>
      <c r="FVC22" s="64"/>
      <c r="FVD22" s="64"/>
      <c r="FVE22" s="64"/>
      <c r="FVF22" s="64"/>
      <c r="FVG22" s="64"/>
      <c r="FVH22" s="64"/>
      <c r="FVI22" s="64"/>
      <c r="FVJ22" s="64"/>
      <c r="FVK22" s="64"/>
      <c r="FVL22" s="64"/>
      <c r="FVM22" s="64"/>
      <c r="FVN22" s="64"/>
      <c r="FVO22" s="64"/>
      <c r="FVP22" s="64"/>
      <c r="FVQ22" s="64"/>
      <c r="FVR22" s="64"/>
      <c r="FVS22" s="64"/>
      <c r="FVT22" s="64"/>
      <c r="FVU22" s="64"/>
      <c r="FVV22" s="64"/>
      <c r="FVW22" s="64"/>
      <c r="FVX22" s="64"/>
      <c r="FVY22" s="64"/>
      <c r="FVZ22" s="64"/>
      <c r="FWA22" s="64"/>
      <c r="FWB22" s="64"/>
      <c r="FWC22" s="64"/>
      <c r="FWD22" s="64"/>
      <c r="FWE22" s="64"/>
      <c r="FWF22" s="64"/>
      <c r="FWG22" s="64"/>
      <c r="FWH22" s="64"/>
      <c r="FWI22" s="64"/>
      <c r="FWJ22" s="64"/>
      <c r="FWK22" s="64"/>
      <c r="FWL22" s="64"/>
      <c r="FWM22" s="64"/>
      <c r="FWN22" s="64"/>
      <c r="FWO22" s="64"/>
      <c r="FWP22" s="64"/>
      <c r="FWQ22" s="64"/>
      <c r="FWR22" s="64"/>
      <c r="FWS22" s="64"/>
      <c r="FWT22" s="64"/>
      <c r="FWU22" s="64"/>
      <c r="FWV22" s="64"/>
      <c r="FWW22" s="64"/>
      <c r="FWX22" s="64"/>
      <c r="FWY22" s="64"/>
      <c r="FWZ22" s="64"/>
      <c r="FXA22" s="64"/>
      <c r="FXB22" s="64"/>
      <c r="FXC22" s="64"/>
      <c r="FXD22" s="64"/>
      <c r="FXE22" s="64"/>
      <c r="FXF22" s="64"/>
      <c r="FXG22" s="64"/>
      <c r="FXH22" s="64"/>
      <c r="FXI22" s="64"/>
      <c r="FXJ22" s="64"/>
      <c r="FXK22" s="64"/>
      <c r="FXL22" s="64"/>
      <c r="FXM22" s="64"/>
      <c r="FXN22" s="64"/>
      <c r="FXO22" s="64"/>
      <c r="FXP22" s="64"/>
      <c r="FXQ22" s="64"/>
      <c r="FXR22" s="64"/>
      <c r="FXS22" s="64"/>
      <c r="FXT22" s="64"/>
      <c r="FXU22" s="64"/>
      <c r="FXV22" s="64"/>
      <c r="FXW22" s="64"/>
      <c r="FXX22" s="64"/>
      <c r="FXY22" s="64"/>
      <c r="FXZ22" s="64"/>
      <c r="FYA22" s="64"/>
      <c r="FYB22" s="64"/>
      <c r="FYC22" s="64"/>
      <c r="FYD22" s="64"/>
      <c r="FYE22" s="64"/>
      <c r="FYF22" s="64"/>
      <c r="FYG22" s="64"/>
      <c r="FYH22" s="64"/>
      <c r="FYI22" s="64"/>
      <c r="FYJ22" s="64"/>
      <c r="FYK22" s="64"/>
      <c r="FYL22" s="64"/>
      <c r="FYM22" s="64"/>
      <c r="FYN22" s="64"/>
      <c r="FYO22" s="64"/>
      <c r="FYP22" s="64"/>
      <c r="FYQ22" s="64"/>
      <c r="FYR22" s="64"/>
      <c r="FYS22" s="64"/>
      <c r="FYT22" s="64"/>
      <c r="FYU22" s="64"/>
      <c r="FYV22" s="64"/>
      <c r="FYW22" s="64"/>
      <c r="FYX22" s="64"/>
      <c r="FYY22" s="64"/>
      <c r="FYZ22" s="64"/>
      <c r="FZA22" s="64"/>
      <c r="FZB22" s="64"/>
      <c r="FZC22" s="64"/>
      <c r="FZD22" s="64"/>
      <c r="FZE22" s="64"/>
      <c r="FZF22" s="64"/>
      <c r="FZG22" s="64"/>
      <c r="FZH22" s="64"/>
      <c r="FZI22" s="64"/>
      <c r="FZJ22" s="64"/>
      <c r="FZK22" s="64"/>
      <c r="FZL22" s="64"/>
      <c r="FZM22" s="64"/>
      <c r="FZN22" s="64"/>
      <c r="FZO22" s="64"/>
      <c r="FZP22" s="64"/>
      <c r="FZQ22" s="64"/>
      <c r="FZR22" s="64"/>
      <c r="FZS22" s="64"/>
      <c r="FZT22" s="64"/>
      <c r="FZU22" s="64"/>
      <c r="FZV22" s="64"/>
      <c r="FZW22" s="64"/>
      <c r="FZX22" s="64"/>
      <c r="FZY22" s="64"/>
      <c r="FZZ22" s="64"/>
      <c r="GAA22" s="64"/>
      <c r="GAB22" s="64"/>
      <c r="GAC22" s="64"/>
      <c r="GAD22" s="64"/>
      <c r="GAE22" s="64"/>
      <c r="GAF22" s="64"/>
      <c r="GAG22" s="64"/>
      <c r="GAH22" s="64"/>
      <c r="GAI22" s="64"/>
      <c r="GAJ22" s="64"/>
      <c r="GAK22" s="64"/>
      <c r="GAL22" s="64"/>
      <c r="GAM22" s="64"/>
      <c r="GAN22" s="64"/>
      <c r="GAO22" s="64"/>
      <c r="GAP22" s="64"/>
      <c r="GAQ22" s="64"/>
      <c r="GAR22" s="64"/>
      <c r="GAS22" s="64"/>
      <c r="GAT22" s="64"/>
      <c r="GAU22" s="64"/>
      <c r="GAV22" s="64"/>
      <c r="GAW22" s="64"/>
      <c r="GAX22" s="64"/>
      <c r="GAY22" s="64"/>
      <c r="GAZ22" s="64"/>
      <c r="GBA22" s="64"/>
      <c r="GBB22" s="64"/>
      <c r="GBC22" s="64"/>
      <c r="GBD22" s="64"/>
      <c r="GBE22" s="64"/>
      <c r="GBF22" s="64"/>
      <c r="GBG22" s="64"/>
      <c r="GBH22" s="64"/>
      <c r="GBI22" s="64"/>
      <c r="GBJ22" s="64"/>
      <c r="GBK22" s="64"/>
      <c r="GBL22" s="64"/>
      <c r="GBM22" s="64"/>
      <c r="GBN22" s="64"/>
      <c r="GBO22" s="64"/>
      <c r="GBP22" s="64"/>
      <c r="GBQ22" s="64"/>
      <c r="GBR22" s="64"/>
      <c r="GBS22" s="64"/>
      <c r="GBT22" s="64"/>
      <c r="GBU22" s="64"/>
      <c r="GBV22" s="64"/>
      <c r="GBW22" s="64"/>
      <c r="GBX22" s="64"/>
      <c r="GBY22" s="64"/>
      <c r="GBZ22" s="64"/>
      <c r="GCA22" s="64"/>
      <c r="GCB22" s="64"/>
      <c r="GCC22" s="64"/>
      <c r="GCD22" s="64"/>
      <c r="GCE22" s="64"/>
      <c r="GCF22" s="64"/>
      <c r="GCG22" s="64"/>
      <c r="GCH22" s="64"/>
      <c r="GCI22" s="64"/>
      <c r="GCJ22" s="64"/>
      <c r="GCK22" s="64"/>
      <c r="GCL22" s="64"/>
      <c r="GCM22" s="64"/>
      <c r="GCN22" s="64"/>
      <c r="GCO22" s="64"/>
      <c r="GCP22" s="64"/>
      <c r="GCQ22" s="64"/>
      <c r="GCR22" s="64"/>
      <c r="GCS22" s="64"/>
      <c r="GCT22" s="64"/>
      <c r="GCU22" s="64"/>
      <c r="GCV22" s="64"/>
      <c r="GCW22" s="64"/>
      <c r="GCX22" s="64"/>
      <c r="GCY22" s="64"/>
      <c r="GCZ22" s="64"/>
      <c r="GDA22" s="64"/>
      <c r="GDB22" s="64"/>
      <c r="GDC22" s="64"/>
      <c r="GDD22" s="64"/>
      <c r="GDE22" s="64"/>
      <c r="GDF22" s="64"/>
      <c r="GDG22" s="64"/>
      <c r="GDH22" s="64"/>
      <c r="GDI22" s="64"/>
      <c r="GDJ22" s="64"/>
      <c r="GDK22" s="64"/>
      <c r="GDL22" s="64"/>
      <c r="GDM22" s="64"/>
      <c r="GDN22" s="64"/>
      <c r="GDO22" s="64"/>
      <c r="GDP22" s="64"/>
      <c r="GDQ22" s="64"/>
      <c r="GDR22" s="64"/>
      <c r="GDS22" s="64"/>
      <c r="GDT22" s="64"/>
      <c r="GDU22" s="64"/>
      <c r="GDV22" s="64"/>
      <c r="GDW22" s="64"/>
      <c r="GDX22" s="64"/>
      <c r="GDY22" s="64"/>
      <c r="GDZ22" s="64"/>
      <c r="GEA22" s="64"/>
      <c r="GEB22" s="64"/>
      <c r="GEC22" s="64"/>
      <c r="GED22" s="64"/>
      <c r="GEE22" s="64"/>
      <c r="GEF22" s="64"/>
      <c r="GEG22" s="64"/>
      <c r="GEH22" s="64"/>
      <c r="GEI22" s="64"/>
      <c r="GEJ22" s="64"/>
      <c r="GEK22" s="64"/>
      <c r="GEL22" s="64"/>
      <c r="GEM22" s="64"/>
      <c r="GEN22" s="64"/>
      <c r="GEO22" s="64"/>
      <c r="GEP22" s="64"/>
      <c r="GEQ22" s="64"/>
      <c r="GER22" s="64"/>
      <c r="GES22" s="64"/>
      <c r="GET22" s="64"/>
      <c r="GEU22" s="64"/>
      <c r="GEV22" s="64"/>
      <c r="GEW22" s="64"/>
      <c r="GEX22" s="64"/>
      <c r="GEY22" s="64"/>
      <c r="GEZ22" s="64"/>
      <c r="GFA22" s="64"/>
      <c r="GFB22" s="64"/>
      <c r="GFC22" s="64"/>
      <c r="GFD22" s="64"/>
      <c r="GFE22" s="64"/>
      <c r="GFF22" s="64"/>
      <c r="GFG22" s="64"/>
      <c r="GFH22" s="64"/>
      <c r="GFI22" s="64"/>
      <c r="GFJ22" s="64"/>
      <c r="GFK22" s="64"/>
      <c r="GFL22" s="64"/>
      <c r="GFM22" s="64"/>
      <c r="GFN22" s="64"/>
      <c r="GFO22" s="64"/>
      <c r="GFP22" s="64"/>
      <c r="GFQ22" s="64"/>
      <c r="GFR22" s="64"/>
      <c r="GFS22" s="64"/>
      <c r="GFT22" s="64"/>
      <c r="GFU22" s="64"/>
      <c r="GFV22" s="64"/>
      <c r="GFW22" s="64"/>
      <c r="GFX22" s="64"/>
      <c r="GFY22" s="64"/>
      <c r="GFZ22" s="64"/>
      <c r="GGA22" s="64"/>
      <c r="GGB22" s="64"/>
      <c r="GGC22" s="64"/>
      <c r="GGD22" s="64"/>
      <c r="GGE22" s="64"/>
      <c r="GGF22" s="64"/>
      <c r="GGG22" s="64"/>
      <c r="GGH22" s="64"/>
      <c r="GGI22" s="64"/>
      <c r="GGJ22" s="64"/>
      <c r="GGK22" s="64"/>
      <c r="GGL22" s="64"/>
      <c r="GGM22" s="64"/>
      <c r="GGN22" s="64"/>
      <c r="GGO22" s="64"/>
      <c r="GGP22" s="64"/>
      <c r="GGQ22" s="64"/>
      <c r="GGR22" s="64"/>
      <c r="GGS22" s="64"/>
      <c r="GGT22" s="64"/>
      <c r="GGU22" s="64"/>
      <c r="GGV22" s="64"/>
      <c r="GGW22" s="64"/>
      <c r="GGX22" s="64"/>
      <c r="GGY22" s="64"/>
      <c r="GGZ22" s="64"/>
      <c r="GHA22" s="64"/>
      <c r="GHB22" s="64"/>
      <c r="GHC22" s="64"/>
      <c r="GHD22" s="64"/>
      <c r="GHE22" s="64"/>
      <c r="GHF22" s="64"/>
      <c r="GHG22" s="64"/>
      <c r="GHH22" s="64"/>
      <c r="GHI22" s="64"/>
      <c r="GHJ22" s="64"/>
      <c r="GHK22" s="64"/>
      <c r="GHL22" s="64"/>
      <c r="GHM22" s="64"/>
      <c r="GHN22" s="64"/>
      <c r="GHO22" s="64"/>
      <c r="GHP22" s="64"/>
      <c r="GHQ22" s="64"/>
      <c r="GHR22" s="64"/>
      <c r="GHS22" s="64"/>
      <c r="GHT22" s="64"/>
      <c r="GHU22" s="64"/>
      <c r="GHV22" s="64"/>
      <c r="GHW22" s="64"/>
      <c r="GHX22" s="64"/>
      <c r="GHY22" s="64"/>
      <c r="GHZ22" s="64"/>
      <c r="GIA22" s="64"/>
      <c r="GIB22" s="64"/>
      <c r="GIC22" s="64"/>
      <c r="GID22" s="64"/>
      <c r="GIE22" s="64"/>
      <c r="GIF22" s="64"/>
      <c r="GIG22" s="64"/>
      <c r="GIH22" s="64"/>
      <c r="GII22" s="64"/>
      <c r="GIJ22" s="64"/>
      <c r="GIK22" s="64"/>
      <c r="GIL22" s="64"/>
      <c r="GIM22" s="64"/>
      <c r="GIN22" s="64"/>
      <c r="GIO22" s="64"/>
      <c r="GIP22" s="64"/>
      <c r="GIQ22" s="64"/>
      <c r="GIR22" s="64"/>
      <c r="GIS22" s="64"/>
      <c r="GIT22" s="64"/>
      <c r="GIU22" s="64"/>
      <c r="GIV22" s="64"/>
      <c r="GIW22" s="64"/>
      <c r="GIX22" s="64"/>
      <c r="GIY22" s="64"/>
      <c r="GIZ22" s="64"/>
      <c r="GJA22" s="64"/>
      <c r="GJB22" s="64"/>
      <c r="GJC22" s="64"/>
      <c r="GJD22" s="64"/>
      <c r="GJE22" s="64"/>
      <c r="GJF22" s="64"/>
      <c r="GJG22" s="64"/>
      <c r="GJH22" s="64"/>
      <c r="GJI22" s="64"/>
      <c r="GJJ22" s="64"/>
      <c r="GJK22" s="64"/>
      <c r="GJL22" s="64"/>
      <c r="GJM22" s="64"/>
      <c r="GJN22" s="64"/>
      <c r="GJO22" s="64"/>
      <c r="GJP22" s="64"/>
      <c r="GJQ22" s="64"/>
      <c r="GJR22" s="64"/>
      <c r="GJS22" s="64"/>
      <c r="GJT22" s="64"/>
      <c r="GJU22" s="64"/>
      <c r="GJV22" s="64"/>
      <c r="GJW22" s="64"/>
      <c r="GJX22" s="64"/>
      <c r="GJY22" s="64"/>
      <c r="GJZ22" s="64"/>
      <c r="GKA22" s="64"/>
      <c r="GKB22" s="64"/>
      <c r="GKC22" s="64"/>
      <c r="GKD22" s="64"/>
      <c r="GKE22" s="64"/>
      <c r="GKF22" s="64"/>
      <c r="GKG22" s="64"/>
      <c r="GKH22" s="64"/>
      <c r="GKI22" s="64"/>
      <c r="GKJ22" s="64"/>
      <c r="GKK22" s="64"/>
      <c r="GKL22" s="64"/>
      <c r="GKM22" s="64"/>
      <c r="GKN22" s="64"/>
      <c r="GKO22" s="64"/>
      <c r="GKP22" s="64"/>
      <c r="GKQ22" s="64"/>
      <c r="GKR22" s="64"/>
      <c r="GKS22" s="64"/>
      <c r="GKT22" s="64"/>
      <c r="GKU22" s="64"/>
      <c r="GKV22" s="64"/>
      <c r="GKW22" s="64"/>
      <c r="GKX22" s="64"/>
      <c r="GKY22" s="64"/>
      <c r="GKZ22" s="64"/>
      <c r="GLA22" s="64"/>
      <c r="GLB22" s="64"/>
      <c r="GLC22" s="64"/>
      <c r="GLD22" s="64"/>
      <c r="GLE22" s="64"/>
      <c r="GLF22" s="64"/>
      <c r="GLG22" s="64"/>
      <c r="GLH22" s="64"/>
      <c r="GLI22" s="64"/>
      <c r="GLJ22" s="64"/>
      <c r="GLK22" s="64"/>
      <c r="GLL22" s="64"/>
      <c r="GLM22" s="64"/>
      <c r="GLN22" s="64"/>
      <c r="GLO22" s="64"/>
      <c r="GLP22" s="64"/>
      <c r="GLQ22" s="64"/>
      <c r="GLR22" s="64"/>
      <c r="GLS22" s="64"/>
      <c r="GLT22" s="64"/>
      <c r="GLU22" s="64"/>
      <c r="GLV22" s="64"/>
      <c r="GLW22" s="64"/>
      <c r="GLX22" s="64"/>
      <c r="GLY22" s="64"/>
      <c r="GLZ22" s="64"/>
      <c r="GMA22" s="64"/>
      <c r="GMB22" s="64"/>
      <c r="GMC22" s="64"/>
      <c r="GMD22" s="64"/>
      <c r="GME22" s="64"/>
      <c r="GMF22" s="64"/>
      <c r="GMG22" s="64"/>
      <c r="GMH22" s="64"/>
      <c r="GMI22" s="64"/>
      <c r="GMJ22" s="64"/>
      <c r="GMK22" s="64"/>
      <c r="GML22" s="64"/>
      <c r="GMM22" s="64"/>
      <c r="GMN22" s="64"/>
      <c r="GMO22" s="64"/>
      <c r="GMP22" s="64"/>
      <c r="GMQ22" s="64"/>
      <c r="GMR22" s="64"/>
      <c r="GMS22" s="64"/>
      <c r="GMT22" s="64"/>
      <c r="GMU22" s="64"/>
      <c r="GMV22" s="64"/>
      <c r="GMW22" s="64"/>
      <c r="GMX22" s="64"/>
      <c r="GMY22" s="64"/>
      <c r="GMZ22" s="64"/>
      <c r="GNA22" s="64"/>
      <c r="GNB22" s="64"/>
      <c r="GNC22" s="64"/>
      <c r="GND22" s="64"/>
      <c r="GNE22" s="64"/>
      <c r="GNF22" s="64"/>
      <c r="GNG22" s="64"/>
      <c r="GNH22" s="64"/>
      <c r="GNI22" s="64"/>
      <c r="GNJ22" s="64"/>
      <c r="GNK22" s="64"/>
      <c r="GNL22" s="64"/>
      <c r="GNM22" s="64"/>
      <c r="GNN22" s="64"/>
      <c r="GNO22" s="64"/>
      <c r="GNP22" s="64"/>
      <c r="GNQ22" s="64"/>
      <c r="GNR22" s="64"/>
      <c r="GNS22" s="64"/>
      <c r="GNT22" s="64"/>
      <c r="GNU22" s="64"/>
      <c r="GNV22" s="64"/>
      <c r="GNW22" s="64"/>
      <c r="GNX22" s="64"/>
      <c r="GNY22" s="64"/>
      <c r="GNZ22" s="64"/>
      <c r="GOA22" s="64"/>
      <c r="GOB22" s="64"/>
      <c r="GOC22" s="64"/>
      <c r="GOD22" s="64"/>
      <c r="GOE22" s="64"/>
      <c r="GOF22" s="64"/>
      <c r="GOG22" s="64"/>
      <c r="GOH22" s="64"/>
      <c r="GOI22" s="64"/>
      <c r="GOJ22" s="64"/>
      <c r="GOK22" s="64"/>
      <c r="GOL22" s="64"/>
      <c r="GOM22" s="64"/>
      <c r="GON22" s="64"/>
      <c r="GOO22" s="64"/>
      <c r="GOP22" s="64"/>
      <c r="GOQ22" s="64"/>
      <c r="GOR22" s="64"/>
      <c r="GOS22" s="64"/>
      <c r="GOT22" s="64"/>
      <c r="GOU22" s="64"/>
      <c r="GOV22" s="64"/>
      <c r="GOW22" s="64"/>
      <c r="GOX22" s="64"/>
      <c r="GOY22" s="64"/>
      <c r="GOZ22" s="64"/>
      <c r="GPA22" s="64"/>
      <c r="GPB22" s="64"/>
      <c r="GPC22" s="64"/>
      <c r="GPD22" s="64"/>
      <c r="GPE22" s="64"/>
      <c r="GPF22" s="64"/>
      <c r="GPG22" s="64"/>
      <c r="GPH22" s="64"/>
      <c r="GPI22" s="64"/>
      <c r="GPJ22" s="64"/>
      <c r="GPK22" s="64"/>
      <c r="GPL22" s="64"/>
      <c r="GPM22" s="64"/>
      <c r="GPN22" s="64"/>
      <c r="GPO22" s="64"/>
      <c r="GPP22" s="64"/>
      <c r="GPQ22" s="64"/>
      <c r="GPR22" s="64"/>
      <c r="GPS22" s="64"/>
      <c r="GPT22" s="64"/>
      <c r="GPU22" s="64"/>
      <c r="GPV22" s="64"/>
      <c r="GPW22" s="64"/>
      <c r="GPX22" s="64"/>
      <c r="GPY22" s="64"/>
      <c r="GPZ22" s="64"/>
      <c r="GQA22" s="64"/>
      <c r="GQB22" s="64"/>
      <c r="GQC22" s="64"/>
      <c r="GQD22" s="64"/>
      <c r="GQE22" s="64"/>
      <c r="GQF22" s="64"/>
      <c r="GQG22" s="64"/>
      <c r="GQH22" s="64"/>
      <c r="GQI22" s="64"/>
      <c r="GQJ22" s="64"/>
      <c r="GQK22" s="64"/>
      <c r="GQL22" s="64"/>
      <c r="GQM22" s="64"/>
      <c r="GQN22" s="64"/>
      <c r="GQO22" s="64"/>
      <c r="GQP22" s="64"/>
      <c r="GQQ22" s="64"/>
      <c r="GQR22" s="64"/>
      <c r="GQS22" s="64"/>
      <c r="GQT22" s="64"/>
      <c r="GQU22" s="64"/>
      <c r="GQV22" s="64"/>
      <c r="GQW22" s="64"/>
      <c r="GQX22" s="64"/>
      <c r="GQY22" s="64"/>
      <c r="GQZ22" s="64"/>
      <c r="GRA22" s="64"/>
      <c r="GRB22" s="64"/>
      <c r="GRC22" s="64"/>
      <c r="GRD22" s="64"/>
      <c r="GRE22" s="64"/>
      <c r="GRF22" s="64"/>
      <c r="GRG22" s="64"/>
      <c r="GRH22" s="64"/>
      <c r="GRI22" s="64"/>
      <c r="GRJ22" s="64"/>
      <c r="GRK22" s="64"/>
      <c r="GRL22" s="64"/>
      <c r="GRM22" s="64"/>
      <c r="GRN22" s="64"/>
      <c r="GRO22" s="64"/>
      <c r="GRP22" s="64"/>
      <c r="GRQ22" s="64"/>
      <c r="GRR22" s="64"/>
      <c r="GRS22" s="64"/>
      <c r="GRT22" s="64"/>
      <c r="GRU22" s="64"/>
      <c r="GRV22" s="64"/>
      <c r="GRW22" s="64"/>
      <c r="GRX22" s="64"/>
      <c r="GRY22" s="64"/>
      <c r="GRZ22" s="64"/>
      <c r="GSA22" s="64"/>
      <c r="GSB22" s="64"/>
      <c r="GSC22" s="64"/>
      <c r="GSD22" s="64"/>
      <c r="GSE22" s="64"/>
      <c r="GSF22" s="64"/>
      <c r="GSG22" s="64"/>
      <c r="GSH22" s="64"/>
      <c r="GSI22" s="64"/>
      <c r="GSJ22" s="64"/>
      <c r="GSK22" s="64"/>
      <c r="GSL22" s="64"/>
      <c r="GSM22" s="64"/>
      <c r="GSN22" s="64"/>
      <c r="GSO22" s="64"/>
      <c r="GSP22" s="64"/>
      <c r="GSQ22" s="64"/>
      <c r="GSR22" s="64"/>
      <c r="GSS22" s="64"/>
      <c r="GST22" s="64"/>
      <c r="GSU22" s="64"/>
      <c r="GSV22" s="64"/>
      <c r="GSW22" s="64"/>
      <c r="GSX22" s="64"/>
      <c r="GSY22" s="64"/>
      <c r="GSZ22" s="64"/>
      <c r="GTA22" s="64"/>
      <c r="GTB22" s="64"/>
      <c r="GTC22" s="64"/>
      <c r="GTD22" s="64"/>
      <c r="GTE22" s="64"/>
      <c r="GTF22" s="64"/>
      <c r="GTG22" s="64"/>
      <c r="GTH22" s="64"/>
      <c r="GTI22" s="64"/>
      <c r="GTJ22" s="64"/>
      <c r="GTK22" s="64"/>
      <c r="GTL22" s="64"/>
      <c r="GTM22" s="64"/>
      <c r="GTN22" s="64"/>
      <c r="GTO22" s="64"/>
      <c r="GTP22" s="64"/>
      <c r="GTQ22" s="64"/>
      <c r="GTR22" s="64"/>
      <c r="GTS22" s="64"/>
      <c r="GTT22" s="64"/>
      <c r="GTU22" s="64"/>
      <c r="GTV22" s="64"/>
      <c r="GTW22" s="64"/>
      <c r="GTX22" s="64"/>
      <c r="GTY22" s="64"/>
      <c r="GTZ22" s="64"/>
      <c r="GUA22" s="64"/>
      <c r="GUB22" s="64"/>
      <c r="GUC22" s="64"/>
      <c r="GUD22" s="64"/>
      <c r="GUE22" s="64"/>
      <c r="GUF22" s="64"/>
      <c r="GUG22" s="64"/>
      <c r="GUH22" s="64"/>
      <c r="GUI22" s="64"/>
      <c r="GUJ22" s="64"/>
      <c r="GUK22" s="64"/>
      <c r="GUL22" s="64"/>
      <c r="GUM22" s="64"/>
      <c r="GUN22" s="64"/>
      <c r="GUO22" s="64"/>
      <c r="GUP22" s="64"/>
      <c r="GUQ22" s="64"/>
      <c r="GUR22" s="64"/>
      <c r="GUS22" s="64"/>
      <c r="GUT22" s="64"/>
      <c r="GUU22" s="64"/>
      <c r="GUV22" s="64"/>
      <c r="GUW22" s="64"/>
      <c r="GUX22" s="64"/>
      <c r="GUY22" s="64"/>
      <c r="GUZ22" s="64"/>
      <c r="GVA22" s="64"/>
      <c r="GVB22" s="64"/>
      <c r="GVC22" s="64"/>
      <c r="GVD22" s="64"/>
      <c r="GVE22" s="64"/>
      <c r="GVF22" s="64"/>
      <c r="GVG22" s="64"/>
      <c r="GVH22" s="64"/>
      <c r="GVI22" s="64"/>
      <c r="GVJ22" s="64"/>
      <c r="GVK22" s="64"/>
      <c r="GVL22" s="64"/>
      <c r="GVM22" s="64"/>
      <c r="GVN22" s="64"/>
      <c r="GVO22" s="64"/>
      <c r="GVP22" s="64"/>
      <c r="GVQ22" s="64"/>
      <c r="GVR22" s="64"/>
      <c r="GVS22" s="64"/>
      <c r="GVT22" s="64"/>
      <c r="GVU22" s="64"/>
      <c r="GVV22" s="64"/>
      <c r="GVW22" s="64"/>
      <c r="GVX22" s="64"/>
      <c r="GVY22" s="64"/>
      <c r="GVZ22" s="64"/>
      <c r="GWA22" s="64"/>
      <c r="GWB22" s="64"/>
      <c r="GWC22" s="64"/>
      <c r="GWD22" s="64"/>
      <c r="GWE22" s="64"/>
      <c r="GWF22" s="64"/>
      <c r="GWG22" s="64"/>
      <c r="GWH22" s="64"/>
      <c r="GWI22" s="64"/>
      <c r="GWJ22" s="64"/>
      <c r="GWK22" s="64"/>
      <c r="GWL22" s="64"/>
      <c r="GWM22" s="64"/>
      <c r="GWN22" s="64"/>
      <c r="GWO22" s="64"/>
      <c r="GWP22" s="64"/>
      <c r="GWQ22" s="64"/>
      <c r="GWR22" s="64"/>
      <c r="GWS22" s="64"/>
      <c r="GWT22" s="64"/>
      <c r="GWU22" s="64"/>
      <c r="GWV22" s="64"/>
      <c r="GWW22" s="64"/>
      <c r="GWX22" s="64"/>
      <c r="GWY22" s="64"/>
      <c r="GWZ22" s="64"/>
      <c r="GXA22" s="64"/>
      <c r="GXB22" s="64"/>
      <c r="GXC22" s="64"/>
      <c r="GXD22" s="64"/>
      <c r="GXE22" s="64"/>
      <c r="GXF22" s="64"/>
      <c r="GXG22" s="64"/>
      <c r="GXH22" s="64"/>
      <c r="GXI22" s="64"/>
      <c r="GXJ22" s="64"/>
      <c r="GXK22" s="64"/>
      <c r="GXL22" s="64"/>
      <c r="GXM22" s="64"/>
      <c r="GXN22" s="64"/>
      <c r="GXO22" s="64"/>
      <c r="GXP22" s="64"/>
      <c r="GXQ22" s="64"/>
      <c r="GXR22" s="64"/>
      <c r="GXS22" s="64"/>
      <c r="GXT22" s="64"/>
      <c r="GXU22" s="64"/>
      <c r="GXV22" s="64"/>
      <c r="GXW22" s="64"/>
      <c r="GXX22" s="64"/>
      <c r="GXY22" s="64"/>
      <c r="GXZ22" s="64"/>
      <c r="GYA22" s="64"/>
      <c r="GYB22" s="64"/>
      <c r="GYC22" s="64"/>
      <c r="GYD22" s="64"/>
      <c r="GYE22" s="64"/>
      <c r="GYF22" s="64"/>
      <c r="GYG22" s="64"/>
      <c r="GYH22" s="64"/>
      <c r="GYI22" s="64"/>
      <c r="GYJ22" s="64"/>
      <c r="GYK22" s="64"/>
      <c r="GYL22" s="64"/>
      <c r="GYM22" s="64"/>
      <c r="GYN22" s="64"/>
      <c r="GYO22" s="64"/>
      <c r="GYP22" s="64"/>
      <c r="GYQ22" s="64"/>
      <c r="GYR22" s="64"/>
      <c r="GYS22" s="64"/>
      <c r="GYT22" s="64"/>
      <c r="GYU22" s="64"/>
      <c r="GYV22" s="64"/>
      <c r="GYW22" s="64"/>
      <c r="GYX22" s="64"/>
      <c r="GYY22" s="64"/>
      <c r="GYZ22" s="64"/>
      <c r="GZA22" s="64"/>
      <c r="GZB22" s="64"/>
      <c r="GZC22" s="64"/>
      <c r="GZD22" s="64"/>
      <c r="GZE22" s="64"/>
      <c r="GZF22" s="64"/>
      <c r="GZG22" s="64"/>
      <c r="GZH22" s="64"/>
      <c r="GZI22" s="64"/>
      <c r="GZJ22" s="64"/>
      <c r="GZK22" s="64"/>
      <c r="GZL22" s="64"/>
      <c r="GZM22" s="64"/>
      <c r="GZN22" s="64"/>
      <c r="GZO22" s="64"/>
      <c r="GZP22" s="64"/>
      <c r="GZQ22" s="64"/>
      <c r="GZR22" s="64"/>
      <c r="GZS22" s="64"/>
      <c r="GZT22" s="64"/>
      <c r="GZU22" s="64"/>
      <c r="GZV22" s="64"/>
      <c r="GZW22" s="64"/>
      <c r="GZX22" s="64"/>
      <c r="GZY22" s="64"/>
      <c r="GZZ22" s="64"/>
      <c r="HAA22" s="64"/>
      <c r="HAB22" s="64"/>
      <c r="HAC22" s="64"/>
      <c r="HAD22" s="64"/>
      <c r="HAE22" s="64"/>
      <c r="HAF22" s="64"/>
      <c r="HAG22" s="64"/>
      <c r="HAH22" s="64"/>
      <c r="HAI22" s="64"/>
      <c r="HAJ22" s="64"/>
      <c r="HAK22" s="64"/>
      <c r="HAL22" s="64"/>
      <c r="HAM22" s="64"/>
      <c r="HAN22" s="64"/>
      <c r="HAO22" s="64"/>
      <c r="HAP22" s="64"/>
      <c r="HAQ22" s="64"/>
      <c r="HAR22" s="64"/>
      <c r="HAS22" s="64"/>
      <c r="HAT22" s="64"/>
      <c r="HAU22" s="64"/>
      <c r="HAV22" s="64"/>
      <c r="HAW22" s="64"/>
      <c r="HAX22" s="64"/>
      <c r="HAY22" s="64"/>
      <c r="HAZ22" s="64"/>
      <c r="HBA22" s="64"/>
      <c r="HBB22" s="64"/>
      <c r="HBC22" s="64"/>
      <c r="HBD22" s="64"/>
      <c r="HBE22" s="64"/>
      <c r="HBF22" s="64"/>
      <c r="HBG22" s="64"/>
      <c r="HBH22" s="64"/>
      <c r="HBI22" s="64"/>
      <c r="HBJ22" s="64"/>
      <c r="HBK22" s="64"/>
      <c r="HBL22" s="64"/>
      <c r="HBM22" s="64"/>
      <c r="HBN22" s="64"/>
      <c r="HBO22" s="64"/>
      <c r="HBP22" s="64"/>
      <c r="HBQ22" s="64"/>
      <c r="HBR22" s="64"/>
      <c r="HBS22" s="64"/>
      <c r="HBT22" s="64"/>
      <c r="HBU22" s="64"/>
      <c r="HBV22" s="64"/>
      <c r="HBW22" s="64"/>
      <c r="HBX22" s="64"/>
      <c r="HBY22" s="64"/>
      <c r="HBZ22" s="64"/>
      <c r="HCA22" s="64"/>
      <c r="HCB22" s="64"/>
      <c r="HCC22" s="64"/>
      <c r="HCD22" s="64"/>
      <c r="HCE22" s="64"/>
      <c r="HCF22" s="64"/>
      <c r="HCG22" s="64"/>
      <c r="HCH22" s="64"/>
      <c r="HCI22" s="64"/>
      <c r="HCJ22" s="64"/>
      <c r="HCK22" s="64"/>
      <c r="HCL22" s="64"/>
      <c r="HCM22" s="64"/>
      <c r="HCN22" s="64"/>
      <c r="HCO22" s="64"/>
      <c r="HCP22" s="64"/>
      <c r="HCQ22" s="64"/>
      <c r="HCR22" s="64"/>
      <c r="HCS22" s="64"/>
      <c r="HCT22" s="64"/>
      <c r="HCU22" s="64"/>
      <c r="HCV22" s="64"/>
      <c r="HCW22" s="64"/>
      <c r="HCX22" s="64"/>
      <c r="HCY22" s="64"/>
      <c r="HCZ22" s="64"/>
      <c r="HDA22" s="64"/>
      <c r="HDB22" s="64"/>
      <c r="HDC22" s="64"/>
      <c r="HDD22" s="64"/>
      <c r="HDE22" s="64"/>
      <c r="HDF22" s="64"/>
      <c r="HDG22" s="64"/>
      <c r="HDH22" s="64"/>
      <c r="HDI22" s="64"/>
      <c r="HDJ22" s="64"/>
      <c r="HDK22" s="64"/>
      <c r="HDL22" s="64"/>
      <c r="HDM22" s="64"/>
      <c r="HDN22" s="64"/>
      <c r="HDO22" s="64"/>
      <c r="HDP22" s="64"/>
      <c r="HDQ22" s="64"/>
      <c r="HDR22" s="64"/>
      <c r="HDS22" s="64"/>
      <c r="HDT22" s="64"/>
      <c r="HDU22" s="64"/>
      <c r="HDV22" s="64"/>
      <c r="HDW22" s="64"/>
      <c r="HDX22" s="64"/>
      <c r="HDY22" s="64"/>
      <c r="HDZ22" s="64"/>
      <c r="HEA22" s="64"/>
      <c r="HEB22" s="64"/>
      <c r="HEC22" s="64"/>
      <c r="HED22" s="64"/>
      <c r="HEE22" s="64"/>
      <c r="HEF22" s="64"/>
      <c r="HEG22" s="64"/>
      <c r="HEH22" s="64"/>
      <c r="HEI22" s="64"/>
      <c r="HEJ22" s="64"/>
      <c r="HEK22" s="64"/>
      <c r="HEL22" s="64"/>
      <c r="HEM22" s="64"/>
      <c r="HEN22" s="64"/>
      <c r="HEO22" s="64"/>
      <c r="HEP22" s="64"/>
      <c r="HEQ22" s="64"/>
      <c r="HER22" s="64"/>
      <c r="HES22" s="64"/>
      <c r="HET22" s="64"/>
      <c r="HEU22" s="64"/>
      <c r="HEV22" s="64"/>
      <c r="HEW22" s="64"/>
      <c r="HEX22" s="64"/>
      <c r="HEY22" s="64"/>
      <c r="HEZ22" s="64"/>
      <c r="HFA22" s="64"/>
      <c r="HFB22" s="64"/>
      <c r="HFC22" s="64"/>
      <c r="HFD22" s="64"/>
      <c r="HFE22" s="64"/>
      <c r="HFF22" s="64"/>
      <c r="HFG22" s="64"/>
      <c r="HFH22" s="64"/>
      <c r="HFI22" s="64"/>
      <c r="HFJ22" s="64"/>
      <c r="HFK22" s="64"/>
      <c r="HFL22" s="64"/>
      <c r="HFM22" s="64"/>
      <c r="HFN22" s="64"/>
      <c r="HFO22" s="64"/>
      <c r="HFP22" s="64"/>
      <c r="HFQ22" s="64"/>
      <c r="HFR22" s="64"/>
      <c r="HFS22" s="64"/>
      <c r="HFT22" s="64"/>
      <c r="HFU22" s="64"/>
      <c r="HFV22" s="64"/>
      <c r="HFW22" s="64"/>
      <c r="HFX22" s="64"/>
      <c r="HFY22" s="64"/>
      <c r="HFZ22" s="64"/>
      <c r="HGA22" s="64"/>
      <c r="HGB22" s="64"/>
      <c r="HGC22" s="64"/>
      <c r="HGD22" s="64"/>
      <c r="HGE22" s="64"/>
      <c r="HGF22" s="64"/>
      <c r="HGG22" s="64"/>
      <c r="HGH22" s="64"/>
      <c r="HGI22" s="64"/>
      <c r="HGJ22" s="64"/>
      <c r="HGK22" s="64"/>
      <c r="HGL22" s="64"/>
      <c r="HGM22" s="64"/>
      <c r="HGN22" s="64"/>
      <c r="HGO22" s="64"/>
      <c r="HGP22" s="64"/>
      <c r="HGQ22" s="64"/>
      <c r="HGR22" s="64"/>
      <c r="HGS22" s="64"/>
      <c r="HGT22" s="64"/>
      <c r="HGU22" s="64"/>
      <c r="HGV22" s="64"/>
      <c r="HGW22" s="64"/>
      <c r="HGX22" s="64"/>
      <c r="HGY22" s="64"/>
      <c r="HGZ22" s="64"/>
      <c r="HHA22" s="64"/>
      <c r="HHB22" s="64"/>
      <c r="HHC22" s="64"/>
      <c r="HHD22" s="64"/>
      <c r="HHE22" s="64"/>
      <c r="HHF22" s="64"/>
      <c r="HHG22" s="64"/>
      <c r="HHH22" s="64"/>
      <c r="HHI22" s="64"/>
      <c r="HHJ22" s="64"/>
      <c r="HHK22" s="64"/>
      <c r="HHL22" s="64"/>
      <c r="HHM22" s="64"/>
      <c r="HHN22" s="64"/>
      <c r="HHO22" s="64"/>
      <c r="HHP22" s="64"/>
      <c r="HHQ22" s="64"/>
      <c r="HHR22" s="64"/>
      <c r="HHS22" s="64"/>
      <c r="HHT22" s="64"/>
      <c r="HHU22" s="64"/>
      <c r="HHV22" s="64"/>
      <c r="HHW22" s="64"/>
      <c r="HHX22" s="64"/>
      <c r="HHY22" s="64"/>
      <c r="HHZ22" s="64"/>
      <c r="HIA22" s="64"/>
      <c r="HIB22" s="64"/>
      <c r="HIC22" s="64"/>
      <c r="HID22" s="64"/>
      <c r="HIE22" s="64"/>
      <c r="HIF22" s="64"/>
      <c r="HIG22" s="64"/>
      <c r="HIH22" s="64"/>
      <c r="HII22" s="64"/>
      <c r="HIJ22" s="64"/>
      <c r="HIK22" s="64"/>
      <c r="HIL22" s="64"/>
      <c r="HIM22" s="64"/>
      <c r="HIN22" s="64"/>
      <c r="HIO22" s="64"/>
      <c r="HIP22" s="64"/>
      <c r="HIQ22" s="64"/>
      <c r="HIR22" s="64"/>
      <c r="HIS22" s="64"/>
      <c r="HIT22" s="64"/>
      <c r="HIU22" s="64"/>
      <c r="HIV22" s="64"/>
      <c r="HIW22" s="64"/>
      <c r="HIX22" s="64"/>
      <c r="HIY22" s="64"/>
      <c r="HIZ22" s="64"/>
      <c r="HJA22" s="64"/>
      <c r="HJB22" s="64"/>
      <c r="HJC22" s="64"/>
      <c r="HJD22" s="64"/>
      <c r="HJE22" s="64"/>
      <c r="HJF22" s="64"/>
      <c r="HJG22" s="64"/>
      <c r="HJH22" s="64"/>
      <c r="HJI22" s="64"/>
      <c r="HJJ22" s="64"/>
      <c r="HJK22" s="64"/>
      <c r="HJL22" s="64"/>
      <c r="HJM22" s="64"/>
      <c r="HJN22" s="64"/>
      <c r="HJO22" s="64"/>
      <c r="HJP22" s="64"/>
      <c r="HJQ22" s="64"/>
      <c r="HJR22" s="64"/>
      <c r="HJS22" s="64"/>
      <c r="HJT22" s="64"/>
      <c r="HJU22" s="64"/>
      <c r="HJV22" s="64"/>
      <c r="HJW22" s="64"/>
      <c r="HJX22" s="64"/>
      <c r="HJY22" s="64"/>
      <c r="HJZ22" s="64"/>
      <c r="HKA22" s="64"/>
      <c r="HKB22" s="64"/>
      <c r="HKC22" s="64"/>
      <c r="HKD22" s="64"/>
      <c r="HKE22" s="64"/>
      <c r="HKF22" s="64"/>
      <c r="HKG22" s="64"/>
      <c r="HKH22" s="64"/>
      <c r="HKI22" s="64"/>
      <c r="HKJ22" s="64"/>
      <c r="HKK22" s="64"/>
      <c r="HKL22" s="64"/>
      <c r="HKM22" s="64"/>
      <c r="HKN22" s="64"/>
      <c r="HKO22" s="64"/>
      <c r="HKP22" s="64"/>
      <c r="HKQ22" s="64"/>
      <c r="HKR22" s="64"/>
      <c r="HKS22" s="64"/>
      <c r="HKT22" s="64"/>
      <c r="HKU22" s="64"/>
      <c r="HKV22" s="64"/>
      <c r="HKW22" s="64"/>
      <c r="HKX22" s="64"/>
      <c r="HKY22" s="64"/>
      <c r="HKZ22" s="64"/>
      <c r="HLA22" s="64"/>
      <c r="HLB22" s="64"/>
      <c r="HLC22" s="64"/>
      <c r="HLD22" s="64"/>
      <c r="HLE22" s="64"/>
      <c r="HLF22" s="64"/>
      <c r="HLG22" s="64"/>
      <c r="HLH22" s="64"/>
      <c r="HLI22" s="64"/>
      <c r="HLJ22" s="64"/>
      <c r="HLK22" s="64"/>
      <c r="HLL22" s="64"/>
      <c r="HLM22" s="64"/>
      <c r="HLN22" s="64"/>
      <c r="HLO22" s="64"/>
      <c r="HLP22" s="64"/>
      <c r="HLQ22" s="64"/>
      <c r="HLR22" s="64"/>
      <c r="HLS22" s="64"/>
      <c r="HLT22" s="64"/>
      <c r="HLU22" s="64"/>
      <c r="HLV22" s="64"/>
      <c r="HLW22" s="64"/>
      <c r="HLX22" s="64"/>
      <c r="HLY22" s="64"/>
      <c r="HLZ22" s="64"/>
      <c r="HMA22" s="64"/>
      <c r="HMB22" s="64"/>
      <c r="HMC22" s="64"/>
      <c r="HMD22" s="64"/>
      <c r="HME22" s="64"/>
      <c r="HMF22" s="64"/>
      <c r="HMG22" s="64"/>
      <c r="HMH22" s="64"/>
      <c r="HMI22" s="64"/>
      <c r="HMJ22" s="64"/>
      <c r="HMK22" s="64"/>
      <c r="HML22" s="64"/>
      <c r="HMM22" s="64"/>
      <c r="HMN22" s="64"/>
      <c r="HMO22" s="64"/>
      <c r="HMP22" s="64"/>
      <c r="HMQ22" s="64"/>
      <c r="HMR22" s="64"/>
      <c r="HMS22" s="64"/>
      <c r="HMT22" s="64"/>
      <c r="HMU22" s="64"/>
      <c r="HMV22" s="64"/>
      <c r="HMW22" s="64"/>
      <c r="HMX22" s="64"/>
      <c r="HMY22" s="64"/>
      <c r="HMZ22" s="64"/>
      <c r="HNA22" s="64"/>
      <c r="HNB22" s="64"/>
      <c r="HNC22" s="64"/>
      <c r="HND22" s="64"/>
      <c r="HNE22" s="64"/>
      <c r="HNF22" s="64"/>
      <c r="HNG22" s="64"/>
      <c r="HNH22" s="64"/>
      <c r="HNI22" s="64"/>
      <c r="HNJ22" s="64"/>
      <c r="HNK22" s="64"/>
      <c r="HNL22" s="64"/>
      <c r="HNM22" s="64"/>
      <c r="HNN22" s="64"/>
      <c r="HNO22" s="64"/>
      <c r="HNP22" s="64"/>
      <c r="HNQ22" s="64"/>
      <c r="HNR22" s="64"/>
      <c r="HNS22" s="64"/>
      <c r="HNT22" s="64"/>
      <c r="HNU22" s="64"/>
      <c r="HNV22" s="64"/>
      <c r="HNW22" s="64"/>
      <c r="HNX22" s="64"/>
      <c r="HNY22" s="64"/>
      <c r="HNZ22" s="64"/>
      <c r="HOA22" s="64"/>
      <c r="HOB22" s="64"/>
      <c r="HOC22" s="64"/>
      <c r="HOD22" s="64"/>
      <c r="HOE22" s="64"/>
      <c r="HOF22" s="64"/>
      <c r="HOG22" s="64"/>
      <c r="HOH22" s="64"/>
      <c r="HOI22" s="64"/>
      <c r="HOJ22" s="64"/>
      <c r="HOK22" s="64"/>
      <c r="HOL22" s="64"/>
      <c r="HOM22" s="64"/>
      <c r="HON22" s="64"/>
      <c r="HOO22" s="64"/>
      <c r="HOP22" s="64"/>
      <c r="HOQ22" s="64"/>
      <c r="HOR22" s="64"/>
      <c r="HOS22" s="64"/>
      <c r="HOT22" s="64"/>
      <c r="HOU22" s="64"/>
      <c r="HOV22" s="64"/>
      <c r="HOW22" s="64"/>
      <c r="HOX22" s="64"/>
      <c r="HOY22" s="64"/>
      <c r="HOZ22" s="64"/>
      <c r="HPA22" s="64"/>
      <c r="HPB22" s="64"/>
      <c r="HPC22" s="64"/>
      <c r="HPD22" s="64"/>
      <c r="HPE22" s="64"/>
      <c r="HPF22" s="64"/>
      <c r="HPG22" s="64"/>
      <c r="HPH22" s="64"/>
      <c r="HPI22" s="64"/>
      <c r="HPJ22" s="64"/>
      <c r="HPK22" s="64"/>
      <c r="HPL22" s="64"/>
      <c r="HPM22" s="64"/>
      <c r="HPN22" s="64"/>
      <c r="HPO22" s="64"/>
      <c r="HPP22" s="64"/>
      <c r="HPQ22" s="64"/>
      <c r="HPR22" s="64"/>
      <c r="HPS22" s="64"/>
      <c r="HPT22" s="64"/>
      <c r="HPU22" s="64"/>
      <c r="HPV22" s="64"/>
      <c r="HPW22" s="64"/>
      <c r="HPX22" s="64"/>
      <c r="HPY22" s="64"/>
      <c r="HPZ22" s="64"/>
      <c r="HQA22" s="64"/>
      <c r="HQB22" s="64"/>
      <c r="HQC22" s="64"/>
      <c r="HQD22" s="64"/>
      <c r="HQE22" s="64"/>
      <c r="HQF22" s="64"/>
      <c r="HQG22" s="64"/>
      <c r="HQH22" s="64"/>
      <c r="HQI22" s="64"/>
      <c r="HQJ22" s="64"/>
      <c r="HQK22" s="64"/>
      <c r="HQL22" s="64"/>
      <c r="HQM22" s="64"/>
      <c r="HQN22" s="64"/>
      <c r="HQO22" s="64"/>
      <c r="HQP22" s="64"/>
      <c r="HQQ22" s="64"/>
      <c r="HQR22" s="64"/>
      <c r="HQS22" s="64"/>
      <c r="HQT22" s="64"/>
      <c r="HQU22" s="64"/>
      <c r="HQV22" s="64"/>
      <c r="HQW22" s="64"/>
      <c r="HQX22" s="64"/>
      <c r="HQY22" s="64"/>
      <c r="HQZ22" s="64"/>
      <c r="HRA22" s="64"/>
      <c r="HRB22" s="64"/>
      <c r="HRC22" s="64"/>
      <c r="HRD22" s="64"/>
      <c r="HRE22" s="64"/>
      <c r="HRF22" s="64"/>
      <c r="HRG22" s="64"/>
      <c r="HRH22" s="64"/>
      <c r="HRI22" s="64"/>
      <c r="HRJ22" s="64"/>
      <c r="HRK22" s="64"/>
      <c r="HRL22" s="64"/>
      <c r="HRM22" s="64"/>
      <c r="HRN22" s="64"/>
      <c r="HRO22" s="64"/>
      <c r="HRP22" s="64"/>
      <c r="HRQ22" s="64"/>
      <c r="HRR22" s="64"/>
      <c r="HRS22" s="64"/>
      <c r="HRT22" s="64"/>
      <c r="HRU22" s="64"/>
      <c r="HRV22" s="64"/>
      <c r="HRW22" s="64"/>
      <c r="HRX22" s="64"/>
      <c r="HRY22" s="64"/>
      <c r="HRZ22" s="64"/>
      <c r="HSA22" s="64"/>
      <c r="HSB22" s="64"/>
      <c r="HSC22" s="64"/>
      <c r="HSD22" s="64"/>
      <c r="HSE22" s="64"/>
      <c r="HSF22" s="64"/>
      <c r="HSG22" s="64"/>
      <c r="HSH22" s="64"/>
      <c r="HSI22" s="64"/>
      <c r="HSJ22" s="64"/>
      <c r="HSK22" s="64"/>
      <c r="HSL22" s="64"/>
      <c r="HSM22" s="64"/>
      <c r="HSN22" s="64"/>
      <c r="HSO22" s="64"/>
      <c r="HSP22" s="64"/>
      <c r="HSQ22" s="64"/>
      <c r="HSR22" s="64"/>
      <c r="HSS22" s="64"/>
      <c r="HST22" s="64"/>
      <c r="HSU22" s="64"/>
      <c r="HSV22" s="64"/>
      <c r="HSW22" s="64"/>
      <c r="HSX22" s="64"/>
      <c r="HSY22" s="64"/>
      <c r="HSZ22" s="64"/>
      <c r="HTA22" s="64"/>
      <c r="HTB22" s="64"/>
      <c r="HTC22" s="64"/>
      <c r="HTD22" s="64"/>
      <c r="HTE22" s="64"/>
      <c r="HTF22" s="64"/>
      <c r="HTG22" s="64"/>
      <c r="HTH22" s="64"/>
      <c r="HTI22" s="64"/>
      <c r="HTJ22" s="64"/>
      <c r="HTK22" s="64"/>
      <c r="HTL22" s="64"/>
      <c r="HTM22" s="64"/>
      <c r="HTN22" s="64"/>
      <c r="HTO22" s="64"/>
      <c r="HTP22" s="64"/>
      <c r="HTQ22" s="64"/>
      <c r="HTR22" s="64"/>
      <c r="HTS22" s="64"/>
      <c r="HTT22" s="64"/>
      <c r="HTU22" s="64"/>
      <c r="HTV22" s="64"/>
      <c r="HTW22" s="64"/>
      <c r="HTX22" s="64"/>
      <c r="HTY22" s="64"/>
      <c r="HTZ22" s="64"/>
      <c r="HUA22" s="64"/>
      <c r="HUB22" s="64"/>
      <c r="HUC22" s="64"/>
      <c r="HUD22" s="64"/>
      <c r="HUE22" s="64"/>
      <c r="HUF22" s="64"/>
      <c r="HUG22" s="64"/>
      <c r="HUH22" s="64"/>
      <c r="HUI22" s="64"/>
      <c r="HUJ22" s="64"/>
      <c r="HUK22" s="64"/>
      <c r="HUL22" s="64"/>
      <c r="HUM22" s="64"/>
      <c r="HUN22" s="64"/>
      <c r="HUO22" s="64"/>
      <c r="HUP22" s="64"/>
      <c r="HUQ22" s="64"/>
      <c r="HUR22" s="64"/>
      <c r="HUS22" s="64"/>
      <c r="HUT22" s="64"/>
      <c r="HUU22" s="64"/>
      <c r="HUV22" s="64"/>
      <c r="HUW22" s="64"/>
      <c r="HUX22" s="64"/>
      <c r="HUY22" s="64"/>
      <c r="HUZ22" s="64"/>
      <c r="HVA22" s="64"/>
      <c r="HVB22" s="64"/>
      <c r="HVC22" s="64"/>
      <c r="HVD22" s="64"/>
      <c r="HVE22" s="64"/>
      <c r="HVF22" s="64"/>
      <c r="HVG22" s="64"/>
      <c r="HVH22" s="64"/>
      <c r="HVI22" s="64"/>
      <c r="HVJ22" s="64"/>
      <c r="HVK22" s="64"/>
      <c r="HVL22" s="64"/>
      <c r="HVM22" s="64"/>
      <c r="HVN22" s="64"/>
      <c r="HVO22" s="64"/>
      <c r="HVP22" s="64"/>
      <c r="HVQ22" s="64"/>
      <c r="HVR22" s="64"/>
      <c r="HVS22" s="64"/>
      <c r="HVT22" s="64"/>
      <c r="HVU22" s="64"/>
      <c r="HVV22" s="64"/>
      <c r="HVW22" s="64"/>
      <c r="HVX22" s="64"/>
      <c r="HVY22" s="64"/>
      <c r="HVZ22" s="64"/>
      <c r="HWA22" s="64"/>
      <c r="HWB22" s="64"/>
      <c r="HWC22" s="64"/>
      <c r="HWD22" s="64"/>
      <c r="HWE22" s="64"/>
      <c r="HWF22" s="64"/>
      <c r="HWG22" s="64"/>
      <c r="HWH22" s="64"/>
      <c r="HWI22" s="64"/>
      <c r="HWJ22" s="64"/>
      <c r="HWK22" s="64"/>
      <c r="HWL22" s="64"/>
      <c r="HWM22" s="64"/>
      <c r="HWN22" s="64"/>
      <c r="HWO22" s="64"/>
      <c r="HWP22" s="64"/>
      <c r="HWQ22" s="64"/>
      <c r="HWR22" s="64"/>
      <c r="HWS22" s="64"/>
      <c r="HWT22" s="64"/>
      <c r="HWU22" s="64"/>
      <c r="HWV22" s="64"/>
      <c r="HWW22" s="64"/>
      <c r="HWX22" s="64"/>
      <c r="HWY22" s="64"/>
      <c r="HWZ22" s="64"/>
      <c r="HXA22" s="64"/>
      <c r="HXB22" s="64"/>
      <c r="HXC22" s="64"/>
      <c r="HXD22" s="64"/>
      <c r="HXE22" s="64"/>
      <c r="HXF22" s="64"/>
      <c r="HXG22" s="64"/>
      <c r="HXH22" s="64"/>
      <c r="HXI22" s="64"/>
      <c r="HXJ22" s="64"/>
      <c r="HXK22" s="64"/>
      <c r="HXL22" s="64"/>
      <c r="HXM22" s="64"/>
      <c r="HXN22" s="64"/>
      <c r="HXO22" s="64"/>
      <c r="HXP22" s="64"/>
      <c r="HXQ22" s="64"/>
      <c r="HXR22" s="64"/>
      <c r="HXS22" s="64"/>
      <c r="HXT22" s="64"/>
      <c r="HXU22" s="64"/>
      <c r="HXV22" s="64"/>
      <c r="HXW22" s="64"/>
      <c r="HXX22" s="64"/>
      <c r="HXY22" s="64"/>
      <c r="HXZ22" s="64"/>
      <c r="HYA22" s="64"/>
      <c r="HYB22" s="64"/>
      <c r="HYC22" s="64"/>
      <c r="HYD22" s="64"/>
      <c r="HYE22" s="64"/>
      <c r="HYF22" s="64"/>
      <c r="HYG22" s="64"/>
      <c r="HYH22" s="64"/>
      <c r="HYI22" s="64"/>
      <c r="HYJ22" s="64"/>
      <c r="HYK22" s="64"/>
      <c r="HYL22" s="64"/>
      <c r="HYM22" s="64"/>
      <c r="HYN22" s="64"/>
      <c r="HYO22" s="64"/>
      <c r="HYP22" s="64"/>
      <c r="HYQ22" s="64"/>
      <c r="HYR22" s="64"/>
      <c r="HYS22" s="64"/>
      <c r="HYT22" s="64"/>
      <c r="HYU22" s="64"/>
      <c r="HYV22" s="64"/>
      <c r="HYW22" s="64"/>
      <c r="HYX22" s="64"/>
      <c r="HYY22" s="64"/>
      <c r="HYZ22" s="64"/>
      <c r="HZA22" s="64"/>
      <c r="HZB22" s="64"/>
      <c r="HZC22" s="64"/>
      <c r="HZD22" s="64"/>
      <c r="HZE22" s="64"/>
      <c r="HZF22" s="64"/>
      <c r="HZG22" s="64"/>
      <c r="HZH22" s="64"/>
      <c r="HZI22" s="64"/>
      <c r="HZJ22" s="64"/>
      <c r="HZK22" s="64"/>
      <c r="HZL22" s="64"/>
      <c r="HZM22" s="64"/>
      <c r="HZN22" s="64"/>
      <c r="HZO22" s="64"/>
      <c r="HZP22" s="64"/>
      <c r="HZQ22" s="64"/>
      <c r="HZR22" s="64"/>
      <c r="HZS22" s="64"/>
      <c r="HZT22" s="64"/>
      <c r="HZU22" s="64"/>
      <c r="HZV22" s="64"/>
      <c r="HZW22" s="64"/>
      <c r="HZX22" s="64"/>
      <c r="HZY22" s="64"/>
      <c r="HZZ22" s="64"/>
      <c r="IAA22" s="64"/>
      <c r="IAB22" s="64"/>
      <c r="IAC22" s="64"/>
      <c r="IAD22" s="64"/>
      <c r="IAE22" s="64"/>
      <c r="IAF22" s="64"/>
      <c r="IAG22" s="64"/>
      <c r="IAH22" s="64"/>
      <c r="IAI22" s="64"/>
      <c r="IAJ22" s="64"/>
      <c r="IAK22" s="64"/>
      <c r="IAL22" s="64"/>
      <c r="IAM22" s="64"/>
      <c r="IAN22" s="64"/>
      <c r="IAO22" s="64"/>
      <c r="IAP22" s="64"/>
      <c r="IAQ22" s="64"/>
      <c r="IAR22" s="64"/>
      <c r="IAS22" s="64"/>
      <c r="IAT22" s="64"/>
      <c r="IAU22" s="64"/>
      <c r="IAV22" s="64"/>
      <c r="IAW22" s="64"/>
      <c r="IAX22" s="64"/>
      <c r="IAY22" s="64"/>
      <c r="IAZ22" s="64"/>
      <c r="IBA22" s="64"/>
      <c r="IBB22" s="64"/>
      <c r="IBC22" s="64"/>
      <c r="IBD22" s="64"/>
      <c r="IBE22" s="64"/>
      <c r="IBF22" s="64"/>
      <c r="IBG22" s="64"/>
      <c r="IBH22" s="64"/>
      <c r="IBI22" s="64"/>
      <c r="IBJ22" s="64"/>
      <c r="IBK22" s="64"/>
      <c r="IBL22" s="64"/>
      <c r="IBM22" s="64"/>
      <c r="IBN22" s="64"/>
      <c r="IBO22" s="64"/>
      <c r="IBP22" s="64"/>
      <c r="IBQ22" s="64"/>
      <c r="IBR22" s="64"/>
      <c r="IBS22" s="64"/>
      <c r="IBT22" s="64"/>
      <c r="IBU22" s="64"/>
      <c r="IBV22" s="64"/>
      <c r="IBW22" s="64"/>
      <c r="IBX22" s="64"/>
      <c r="IBY22" s="64"/>
      <c r="IBZ22" s="64"/>
      <c r="ICA22" s="64"/>
      <c r="ICB22" s="64"/>
      <c r="ICC22" s="64"/>
      <c r="ICD22" s="64"/>
      <c r="ICE22" s="64"/>
      <c r="ICF22" s="64"/>
      <c r="ICG22" s="64"/>
      <c r="ICH22" s="64"/>
      <c r="ICI22" s="64"/>
      <c r="ICJ22" s="64"/>
      <c r="ICK22" s="64"/>
      <c r="ICL22" s="64"/>
      <c r="ICM22" s="64"/>
      <c r="ICN22" s="64"/>
      <c r="ICO22" s="64"/>
      <c r="ICP22" s="64"/>
      <c r="ICQ22" s="64"/>
      <c r="ICR22" s="64"/>
      <c r="ICS22" s="64"/>
      <c r="ICT22" s="64"/>
      <c r="ICU22" s="64"/>
      <c r="ICV22" s="64"/>
      <c r="ICW22" s="64"/>
      <c r="ICX22" s="64"/>
      <c r="ICY22" s="64"/>
      <c r="ICZ22" s="64"/>
      <c r="IDA22" s="64"/>
      <c r="IDB22" s="64"/>
      <c r="IDC22" s="64"/>
      <c r="IDD22" s="64"/>
      <c r="IDE22" s="64"/>
      <c r="IDF22" s="64"/>
      <c r="IDG22" s="64"/>
      <c r="IDH22" s="64"/>
      <c r="IDI22" s="64"/>
      <c r="IDJ22" s="64"/>
      <c r="IDK22" s="64"/>
      <c r="IDL22" s="64"/>
      <c r="IDM22" s="64"/>
      <c r="IDN22" s="64"/>
      <c r="IDO22" s="64"/>
      <c r="IDP22" s="64"/>
      <c r="IDQ22" s="64"/>
      <c r="IDR22" s="64"/>
      <c r="IDS22" s="64"/>
      <c r="IDT22" s="64"/>
      <c r="IDU22" s="64"/>
      <c r="IDV22" s="64"/>
      <c r="IDW22" s="64"/>
      <c r="IDX22" s="64"/>
      <c r="IDY22" s="64"/>
      <c r="IDZ22" s="64"/>
      <c r="IEA22" s="64"/>
      <c r="IEB22" s="64"/>
      <c r="IEC22" s="64"/>
      <c r="IED22" s="64"/>
      <c r="IEE22" s="64"/>
      <c r="IEF22" s="64"/>
      <c r="IEG22" s="64"/>
      <c r="IEH22" s="64"/>
      <c r="IEI22" s="64"/>
      <c r="IEJ22" s="64"/>
      <c r="IEK22" s="64"/>
      <c r="IEL22" s="64"/>
      <c r="IEM22" s="64"/>
      <c r="IEN22" s="64"/>
      <c r="IEO22" s="64"/>
      <c r="IEP22" s="64"/>
      <c r="IEQ22" s="64"/>
      <c r="IER22" s="64"/>
      <c r="IES22" s="64"/>
      <c r="IET22" s="64"/>
      <c r="IEU22" s="64"/>
      <c r="IEV22" s="64"/>
      <c r="IEW22" s="64"/>
      <c r="IEX22" s="64"/>
      <c r="IEY22" s="64"/>
      <c r="IEZ22" s="64"/>
      <c r="IFA22" s="64"/>
      <c r="IFB22" s="64"/>
      <c r="IFC22" s="64"/>
      <c r="IFD22" s="64"/>
      <c r="IFE22" s="64"/>
      <c r="IFF22" s="64"/>
      <c r="IFG22" s="64"/>
      <c r="IFH22" s="64"/>
      <c r="IFI22" s="64"/>
      <c r="IFJ22" s="64"/>
      <c r="IFK22" s="64"/>
      <c r="IFL22" s="64"/>
      <c r="IFM22" s="64"/>
      <c r="IFN22" s="64"/>
      <c r="IFO22" s="64"/>
      <c r="IFP22" s="64"/>
      <c r="IFQ22" s="64"/>
      <c r="IFR22" s="64"/>
      <c r="IFS22" s="64"/>
      <c r="IFT22" s="64"/>
      <c r="IFU22" s="64"/>
      <c r="IFV22" s="64"/>
      <c r="IFW22" s="64"/>
      <c r="IFX22" s="64"/>
      <c r="IFY22" s="64"/>
      <c r="IFZ22" s="64"/>
      <c r="IGA22" s="64"/>
      <c r="IGB22" s="64"/>
      <c r="IGC22" s="64"/>
      <c r="IGD22" s="64"/>
      <c r="IGE22" s="64"/>
      <c r="IGF22" s="64"/>
      <c r="IGG22" s="64"/>
      <c r="IGH22" s="64"/>
      <c r="IGI22" s="64"/>
      <c r="IGJ22" s="64"/>
      <c r="IGK22" s="64"/>
      <c r="IGL22" s="64"/>
      <c r="IGM22" s="64"/>
      <c r="IGN22" s="64"/>
      <c r="IGO22" s="64"/>
      <c r="IGP22" s="64"/>
      <c r="IGQ22" s="64"/>
      <c r="IGR22" s="64"/>
      <c r="IGS22" s="64"/>
      <c r="IGT22" s="64"/>
      <c r="IGU22" s="64"/>
      <c r="IGV22" s="64"/>
      <c r="IGW22" s="64"/>
      <c r="IGX22" s="64"/>
      <c r="IGY22" s="64"/>
      <c r="IGZ22" s="64"/>
      <c r="IHA22" s="64"/>
      <c r="IHB22" s="64"/>
      <c r="IHC22" s="64"/>
      <c r="IHD22" s="64"/>
      <c r="IHE22" s="64"/>
      <c r="IHF22" s="64"/>
      <c r="IHG22" s="64"/>
      <c r="IHH22" s="64"/>
      <c r="IHI22" s="64"/>
      <c r="IHJ22" s="64"/>
      <c r="IHK22" s="64"/>
      <c r="IHL22" s="64"/>
      <c r="IHM22" s="64"/>
      <c r="IHN22" s="64"/>
      <c r="IHO22" s="64"/>
      <c r="IHP22" s="64"/>
      <c r="IHQ22" s="64"/>
      <c r="IHR22" s="64"/>
      <c r="IHS22" s="64"/>
      <c r="IHT22" s="64"/>
      <c r="IHU22" s="64"/>
      <c r="IHV22" s="64"/>
      <c r="IHW22" s="64"/>
      <c r="IHX22" s="64"/>
      <c r="IHY22" s="64"/>
      <c r="IHZ22" s="64"/>
      <c r="IIA22" s="64"/>
      <c r="IIB22" s="64"/>
      <c r="IIC22" s="64"/>
      <c r="IID22" s="64"/>
      <c r="IIE22" s="64"/>
      <c r="IIF22" s="64"/>
      <c r="IIG22" s="64"/>
      <c r="IIH22" s="64"/>
      <c r="III22" s="64"/>
      <c r="IIJ22" s="64"/>
      <c r="IIK22" s="64"/>
      <c r="IIL22" s="64"/>
      <c r="IIM22" s="64"/>
      <c r="IIN22" s="64"/>
      <c r="IIO22" s="64"/>
      <c r="IIP22" s="64"/>
      <c r="IIQ22" s="64"/>
      <c r="IIR22" s="64"/>
      <c r="IIS22" s="64"/>
      <c r="IIT22" s="64"/>
      <c r="IIU22" s="64"/>
      <c r="IIV22" s="64"/>
      <c r="IIW22" s="64"/>
      <c r="IIX22" s="64"/>
      <c r="IIY22" s="64"/>
      <c r="IIZ22" s="64"/>
      <c r="IJA22" s="64"/>
      <c r="IJB22" s="64"/>
      <c r="IJC22" s="64"/>
      <c r="IJD22" s="64"/>
      <c r="IJE22" s="64"/>
      <c r="IJF22" s="64"/>
      <c r="IJG22" s="64"/>
      <c r="IJH22" s="64"/>
      <c r="IJI22" s="64"/>
      <c r="IJJ22" s="64"/>
      <c r="IJK22" s="64"/>
      <c r="IJL22" s="64"/>
      <c r="IJM22" s="64"/>
      <c r="IJN22" s="64"/>
      <c r="IJO22" s="64"/>
      <c r="IJP22" s="64"/>
      <c r="IJQ22" s="64"/>
      <c r="IJR22" s="64"/>
      <c r="IJS22" s="64"/>
      <c r="IJT22" s="64"/>
      <c r="IJU22" s="64"/>
      <c r="IJV22" s="64"/>
      <c r="IJW22" s="64"/>
      <c r="IJX22" s="64"/>
      <c r="IJY22" s="64"/>
      <c r="IJZ22" s="64"/>
      <c r="IKA22" s="64"/>
      <c r="IKB22" s="64"/>
      <c r="IKC22" s="64"/>
      <c r="IKD22" s="64"/>
      <c r="IKE22" s="64"/>
      <c r="IKF22" s="64"/>
      <c r="IKG22" s="64"/>
      <c r="IKH22" s="64"/>
      <c r="IKI22" s="64"/>
      <c r="IKJ22" s="64"/>
      <c r="IKK22" s="64"/>
      <c r="IKL22" s="64"/>
      <c r="IKM22" s="64"/>
      <c r="IKN22" s="64"/>
      <c r="IKO22" s="64"/>
      <c r="IKP22" s="64"/>
      <c r="IKQ22" s="64"/>
      <c r="IKR22" s="64"/>
      <c r="IKS22" s="64"/>
      <c r="IKT22" s="64"/>
      <c r="IKU22" s="64"/>
      <c r="IKV22" s="64"/>
      <c r="IKW22" s="64"/>
      <c r="IKX22" s="64"/>
      <c r="IKY22" s="64"/>
      <c r="IKZ22" s="64"/>
      <c r="ILA22" s="64"/>
      <c r="ILB22" s="64"/>
      <c r="ILC22" s="64"/>
      <c r="ILD22" s="64"/>
      <c r="ILE22" s="64"/>
      <c r="ILF22" s="64"/>
      <c r="ILG22" s="64"/>
      <c r="ILH22" s="64"/>
      <c r="ILI22" s="64"/>
      <c r="ILJ22" s="64"/>
      <c r="ILK22" s="64"/>
      <c r="ILL22" s="64"/>
      <c r="ILM22" s="64"/>
      <c r="ILN22" s="64"/>
      <c r="ILO22" s="64"/>
      <c r="ILP22" s="64"/>
      <c r="ILQ22" s="64"/>
      <c r="ILR22" s="64"/>
      <c r="ILS22" s="64"/>
      <c r="ILT22" s="64"/>
      <c r="ILU22" s="64"/>
      <c r="ILV22" s="64"/>
      <c r="ILW22" s="64"/>
      <c r="ILX22" s="64"/>
      <c r="ILY22" s="64"/>
      <c r="ILZ22" s="64"/>
      <c r="IMA22" s="64"/>
      <c r="IMB22" s="64"/>
      <c r="IMC22" s="64"/>
      <c r="IMD22" s="64"/>
      <c r="IME22" s="64"/>
      <c r="IMF22" s="64"/>
      <c r="IMG22" s="64"/>
      <c r="IMH22" s="64"/>
      <c r="IMI22" s="64"/>
      <c r="IMJ22" s="64"/>
      <c r="IMK22" s="64"/>
      <c r="IML22" s="64"/>
      <c r="IMM22" s="64"/>
      <c r="IMN22" s="64"/>
      <c r="IMO22" s="64"/>
      <c r="IMP22" s="64"/>
      <c r="IMQ22" s="64"/>
      <c r="IMR22" s="64"/>
      <c r="IMS22" s="64"/>
      <c r="IMT22" s="64"/>
      <c r="IMU22" s="64"/>
      <c r="IMV22" s="64"/>
      <c r="IMW22" s="64"/>
      <c r="IMX22" s="64"/>
      <c r="IMY22" s="64"/>
      <c r="IMZ22" s="64"/>
      <c r="INA22" s="64"/>
      <c r="INB22" s="64"/>
      <c r="INC22" s="64"/>
      <c r="IND22" s="64"/>
      <c r="INE22" s="64"/>
      <c r="INF22" s="64"/>
      <c r="ING22" s="64"/>
      <c r="INH22" s="64"/>
      <c r="INI22" s="64"/>
      <c r="INJ22" s="64"/>
      <c r="INK22" s="64"/>
      <c r="INL22" s="64"/>
      <c r="INM22" s="64"/>
      <c r="INN22" s="64"/>
      <c r="INO22" s="64"/>
      <c r="INP22" s="64"/>
      <c r="INQ22" s="64"/>
      <c r="INR22" s="64"/>
      <c r="INS22" s="64"/>
      <c r="INT22" s="64"/>
      <c r="INU22" s="64"/>
      <c r="INV22" s="64"/>
      <c r="INW22" s="64"/>
      <c r="INX22" s="64"/>
      <c r="INY22" s="64"/>
      <c r="INZ22" s="64"/>
      <c r="IOA22" s="64"/>
      <c r="IOB22" s="64"/>
      <c r="IOC22" s="64"/>
      <c r="IOD22" s="64"/>
      <c r="IOE22" s="64"/>
      <c r="IOF22" s="64"/>
      <c r="IOG22" s="64"/>
      <c r="IOH22" s="64"/>
      <c r="IOI22" s="64"/>
      <c r="IOJ22" s="64"/>
      <c r="IOK22" s="64"/>
      <c r="IOL22" s="64"/>
      <c r="IOM22" s="64"/>
      <c r="ION22" s="64"/>
      <c r="IOO22" s="64"/>
      <c r="IOP22" s="64"/>
      <c r="IOQ22" s="64"/>
      <c r="IOR22" s="64"/>
      <c r="IOS22" s="64"/>
      <c r="IOT22" s="64"/>
      <c r="IOU22" s="64"/>
      <c r="IOV22" s="64"/>
      <c r="IOW22" s="64"/>
      <c r="IOX22" s="64"/>
      <c r="IOY22" s="64"/>
      <c r="IOZ22" s="64"/>
      <c r="IPA22" s="64"/>
      <c r="IPB22" s="64"/>
      <c r="IPC22" s="64"/>
      <c r="IPD22" s="64"/>
      <c r="IPE22" s="64"/>
      <c r="IPF22" s="64"/>
      <c r="IPG22" s="64"/>
      <c r="IPH22" s="64"/>
      <c r="IPI22" s="64"/>
      <c r="IPJ22" s="64"/>
      <c r="IPK22" s="64"/>
      <c r="IPL22" s="64"/>
      <c r="IPM22" s="64"/>
      <c r="IPN22" s="64"/>
      <c r="IPO22" s="64"/>
      <c r="IPP22" s="64"/>
      <c r="IPQ22" s="64"/>
      <c r="IPR22" s="64"/>
      <c r="IPS22" s="64"/>
      <c r="IPT22" s="64"/>
      <c r="IPU22" s="64"/>
      <c r="IPV22" s="64"/>
      <c r="IPW22" s="64"/>
      <c r="IPX22" s="64"/>
      <c r="IPY22" s="64"/>
      <c r="IPZ22" s="64"/>
      <c r="IQA22" s="64"/>
      <c r="IQB22" s="64"/>
      <c r="IQC22" s="64"/>
      <c r="IQD22" s="64"/>
      <c r="IQE22" s="64"/>
      <c r="IQF22" s="64"/>
      <c r="IQG22" s="64"/>
      <c r="IQH22" s="64"/>
      <c r="IQI22" s="64"/>
      <c r="IQJ22" s="64"/>
      <c r="IQK22" s="64"/>
      <c r="IQL22" s="64"/>
      <c r="IQM22" s="64"/>
      <c r="IQN22" s="64"/>
      <c r="IQO22" s="64"/>
      <c r="IQP22" s="64"/>
      <c r="IQQ22" s="64"/>
      <c r="IQR22" s="64"/>
      <c r="IQS22" s="64"/>
      <c r="IQT22" s="64"/>
      <c r="IQU22" s="64"/>
      <c r="IQV22" s="64"/>
      <c r="IQW22" s="64"/>
      <c r="IQX22" s="64"/>
      <c r="IQY22" s="64"/>
      <c r="IQZ22" s="64"/>
      <c r="IRA22" s="64"/>
      <c r="IRB22" s="64"/>
      <c r="IRC22" s="64"/>
      <c r="IRD22" s="64"/>
      <c r="IRE22" s="64"/>
      <c r="IRF22" s="64"/>
      <c r="IRG22" s="64"/>
      <c r="IRH22" s="64"/>
      <c r="IRI22" s="64"/>
      <c r="IRJ22" s="64"/>
      <c r="IRK22" s="64"/>
      <c r="IRL22" s="64"/>
      <c r="IRM22" s="64"/>
      <c r="IRN22" s="64"/>
      <c r="IRO22" s="64"/>
      <c r="IRP22" s="64"/>
      <c r="IRQ22" s="64"/>
      <c r="IRR22" s="64"/>
      <c r="IRS22" s="64"/>
      <c r="IRT22" s="64"/>
      <c r="IRU22" s="64"/>
      <c r="IRV22" s="64"/>
      <c r="IRW22" s="64"/>
      <c r="IRX22" s="64"/>
      <c r="IRY22" s="64"/>
      <c r="IRZ22" s="64"/>
      <c r="ISA22" s="64"/>
      <c r="ISB22" s="64"/>
      <c r="ISC22" s="64"/>
      <c r="ISD22" s="64"/>
      <c r="ISE22" s="64"/>
      <c r="ISF22" s="64"/>
      <c r="ISG22" s="64"/>
      <c r="ISH22" s="64"/>
      <c r="ISI22" s="64"/>
      <c r="ISJ22" s="64"/>
      <c r="ISK22" s="64"/>
      <c r="ISL22" s="64"/>
      <c r="ISM22" s="64"/>
      <c r="ISN22" s="64"/>
      <c r="ISO22" s="64"/>
      <c r="ISP22" s="64"/>
      <c r="ISQ22" s="64"/>
      <c r="ISR22" s="64"/>
      <c r="ISS22" s="64"/>
      <c r="IST22" s="64"/>
      <c r="ISU22" s="64"/>
      <c r="ISV22" s="64"/>
      <c r="ISW22" s="64"/>
      <c r="ISX22" s="64"/>
      <c r="ISY22" s="64"/>
      <c r="ISZ22" s="64"/>
      <c r="ITA22" s="64"/>
      <c r="ITB22" s="64"/>
      <c r="ITC22" s="64"/>
      <c r="ITD22" s="64"/>
      <c r="ITE22" s="64"/>
      <c r="ITF22" s="64"/>
      <c r="ITG22" s="64"/>
      <c r="ITH22" s="64"/>
      <c r="ITI22" s="64"/>
      <c r="ITJ22" s="64"/>
      <c r="ITK22" s="64"/>
      <c r="ITL22" s="64"/>
      <c r="ITM22" s="64"/>
      <c r="ITN22" s="64"/>
      <c r="ITO22" s="64"/>
      <c r="ITP22" s="64"/>
      <c r="ITQ22" s="64"/>
      <c r="ITR22" s="64"/>
      <c r="ITS22" s="64"/>
      <c r="ITT22" s="64"/>
      <c r="ITU22" s="64"/>
      <c r="ITV22" s="64"/>
      <c r="ITW22" s="64"/>
      <c r="ITX22" s="64"/>
      <c r="ITY22" s="64"/>
      <c r="ITZ22" s="64"/>
      <c r="IUA22" s="64"/>
      <c r="IUB22" s="64"/>
      <c r="IUC22" s="64"/>
      <c r="IUD22" s="64"/>
      <c r="IUE22" s="64"/>
      <c r="IUF22" s="64"/>
      <c r="IUG22" s="64"/>
      <c r="IUH22" s="64"/>
      <c r="IUI22" s="64"/>
      <c r="IUJ22" s="64"/>
      <c r="IUK22" s="64"/>
      <c r="IUL22" s="64"/>
      <c r="IUM22" s="64"/>
      <c r="IUN22" s="64"/>
      <c r="IUO22" s="64"/>
      <c r="IUP22" s="64"/>
      <c r="IUQ22" s="64"/>
      <c r="IUR22" s="64"/>
      <c r="IUS22" s="64"/>
      <c r="IUT22" s="64"/>
      <c r="IUU22" s="64"/>
      <c r="IUV22" s="64"/>
      <c r="IUW22" s="64"/>
      <c r="IUX22" s="64"/>
      <c r="IUY22" s="64"/>
      <c r="IUZ22" s="64"/>
      <c r="IVA22" s="64"/>
      <c r="IVB22" s="64"/>
      <c r="IVC22" s="64"/>
      <c r="IVD22" s="64"/>
      <c r="IVE22" s="64"/>
      <c r="IVF22" s="64"/>
      <c r="IVG22" s="64"/>
      <c r="IVH22" s="64"/>
      <c r="IVI22" s="64"/>
      <c r="IVJ22" s="64"/>
      <c r="IVK22" s="64"/>
      <c r="IVL22" s="64"/>
      <c r="IVM22" s="64"/>
      <c r="IVN22" s="64"/>
      <c r="IVO22" s="64"/>
      <c r="IVP22" s="64"/>
      <c r="IVQ22" s="64"/>
      <c r="IVR22" s="64"/>
      <c r="IVS22" s="64"/>
      <c r="IVT22" s="64"/>
      <c r="IVU22" s="64"/>
      <c r="IVV22" s="64"/>
      <c r="IVW22" s="64"/>
      <c r="IVX22" s="64"/>
      <c r="IVY22" s="64"/>
      <c r="IVZ22" s="64"/>
      <c r="IWA22" s="64"/>
      <c r="IWB22" s="64"/>
      <c r="IWC22" s="64"/>
      <c r="IWD22" s="64"/>
      <c r="IWE22" s="64"/>
      <c r="IWF22" s="64"/>
      <c r="IWG22" s="64"/>
      <c r="IWH22" s="64"/>
      <c r="IWI22" s="64"/>
      <c r="IWJ22" s="64"/>
      <c r="IWK22" s="64"/>
      <c r="IWL22" s="64"/>
      <c r="IWM22" s="64"/>
      <c r="IWN22" s="64"/>
      <c r="IWO22" s="64"/>
      <c r="IWP22" s="64"/>
      <c r="IWQ22" s="64"/>
      <c r="IWR22" s="64"/>
      <c r="IWS22" s="64"/>
      <c r="IWT22" s="64"/>
      <c r="IWU22" s="64"/>
      <c r="IWV22" s="64"/>
      <c r="IWW22" s="64"/>
      <c r="IWX22" s="64"/>
      <c r="IWY22" s="64"/>
      <c r="IWZ22" s="64"/>
      <c r="IXA22" s="64"/>
      <c r="IXB22" s="64"/>
      <c r="IXC22" s="64"/>
      <c r="IXD22" s="64"/>
      <c r="IXE22" s="64"/>
      <c r="IXF22" s="64"/>
      <c r="IXG22" s="64"/>
      <c r="IXH22" s="64"/>
      <c r="IXI22" s="64"/>
      <c r="IXJ22" s="64"/>
      <c r="IXK22" s="64"/>
      <c r="IXL22" s="64"/>
      <c r="IXM22" s="64"/>
      <c r="IXN22" s="64"/>
      <c r="IXO22" s="64"/>
      <c r="IXP22" s="64"/>
      <c r="IXQ22" s="64"/>
      <c r="IXR22" s="64"/>
      <c r="IXS22" s="64"/>
      <c r="IXT22" s="64"/>
      <c r="IXU22" s="64"/>
      <c r="IXV22" s="64"/>
      <c r="IXW22" s="64"/>
      <c r="IXX22" s="64"/>
      <c r="IXY22" s="64"/>
      <c r="IXZ22" s="64"/>
      <c r="IYA22" s="64"/>
      <c r="IYB22" s="64"/>
      <c r="IYC22" s="64"/>
      <c r="IYD22" s="64"/>
      <c r="IYE22" s="64"/>
      <c r="IYF22" s="64"/>
      <c r="IYG22" s="64"/>
      <c r="IYH22" s="64"/>
      <c r="IYI22" s="64"/>
      <c r="IYJ22" s="64"/>
      <c r="IYK22" s="64"/>
      <c r="IYL22" s="64"/>
      <c r="IYM22" s="64"/>
      <c r="IYN22" s="64"/>
      <c r="IYO22" s="64"/>
      <c r="IYP22" s="64"/>
      <c r="IYQ22" s="64"/>
      <c r="IYR22" s="64"/>
      <c r="IYS22" s="64"/>
      <c r="IYT22" s="64"/>
      <c r="IYU22" s="64"/>
      <c r="IYV22" s="64"/>
      <c r="IYW22" s="64"/>
      <c r="IYX22" s="64"/>
      <c r="IYY22" s="64"/>
      <c r="IYZ22" s="64"/>
      <c r="IZA22" s="64"/>
      <c r="IZB22" s="64"/>
      <c r="IZC22" s="64"/>
      <c r="IZD22" s="64"/>
      <c r="IZE22" s="64"/>
      <c r="IZF22" s="64"/>
      <c r="IZG22" s="64"/>
      <c r="IZH22" s="64"/>
      <c r="IZI22" s="64"/>
      <c r="IZJ22" s="64"/>
      <c r="IZK22" s="64"/>
      <c r="IZL22" s="64"/>
      <c r="IZM22" s="64"/>
      <c r="IZN22" s="64"/>
      <c r="IZO22" s="64"/>
      <c r="IZP22" s="64"/>
      <c r="IZQ22" s="64"/>
      <c r="IZR22" s="64"/>
      <c r="IZS22" s="64"/>
      <c r="IZT22" s="64"/>
      <c r="IZU22" s="64"/>
      <c r="IZV22" s="64"/>
      <c r="IZW22" s="64"/>
      <c r="IZX22" s="64"/>
      <c r="IZY22" s="64"/>
      <c r="IZZ22" s="64"/>
      <c r="JAA22" s="64"/>
      <c r="JAB22" s="64"/>
      <c r="JAC22" s="64"/>
      <c r="JAD22" s="64"/>
      <c r="JAE22" s="64"/>
      <c r="JAF22" s="64"/>
      <c r="JAG22" s="64"/>
      <c r="JAH22" s="64"/>
      <c r="JAI22" s="64"/>
      <c r="JAJ22" s="64"/>
      <c r="JAK22" s="64"/>
      <c r="JAL22" s="64"/>
      <c r="JAM22" s="64"/>
      <c r="JAN22" s="64"/>
      <c r="JAO22" s="64"/>
      <c r="JAP22" s="64"/>
      <c r="JAQ22" s="64"/>
      <c r="JAR22" s="64"/>
      <c r="JAS22" s="64"/>
      <c r="JAT22" s="64"/>
      <c r="JAU22" s="64"/>
      <c r="JAV22" s="64"/>
      <c r="JAW22" s="64"/>
      <c r="JAX22" s="64"/>
      <c r="JAY22" s="64"/>
      <c r="JAZ22" s="64"/>
      <c r="JBA22" s="64"/>
      <c r="JBB22" s="64"/>
      <c r="JBC22" s="64"/>
      <c r="JBD22" s="64"/>
      <c r="JBE22" s="64"/>
      <c r="JBF22" s="64"/>
      <c r="JBG22" s="64"/>
      <c r="JBH22" s="64"/>
      <c r="JBI22" s="64"/>
      <c r="JBJ22" s="64"/>
      <c r="JBK22" s="64"/>
      <c r="JBL22" s="64"/>
      <c r="JBM22" s="64"/>
      <c r="JBN22" s="64"/>
      <c r="JBO22" s="64"/>
      <c r="JBP22" s="64"/>
      <c r="JBQ22" s="64"/>
      <c r="JBR22" s="64"/>
      <c r="JBS22" s="64"/>
      <c r="JBT22" s="64"/>
      <c r="JBU22" s="64"/>
      <c r="JBV22" s="64"/>
      <c r="JBW22" s="64"/>
      <c r="JBX22" s="64"/>
      <c r="JBY22" s="64"/>
      <c r="JBZ22" s="64"/>
      <c r="JCA22" s="64"/>
      <c r="JCB22" s="64"/>
      <c r="JCC22" s="64"/>
      <c r="JCD22" s="64"/>
      <c r="JCE22" s="64"/>
      <c r="JCF22" s="64"/>
      <c r="JCG22" s="64"/>
      <c r="JCH22" s="64"/>
      <c r="JCI22" s="64"/>
      <c r="JCJ22" s="64"/>
      <c r="JCK22" s="64"/>
      <c r="JCL22" s="64"/>
      <c r="JCM22" s="64"/>
      <c r="JCN22" s="64"/>
      <c r="JCO22" s="64"/>
      <c r="JCP22" s="64"/>
      <c r="JCQ22" s="64"/>
      <c r="JCR22" s="64"/>
      <c r="JCS22" s="64"/>
      <c r="JCT22" s="64"/>
      <c r="JCU22" s="64"/>
      <c r="JCV22" s="64"/>
      <c r="JCW22" s="64"/>
      <c r="JCX22" s="64"/>
      <c r="JCY22" s="64"/>
      <c r="JCZ22" s="64"/>
      <c r="JDA22" s="64"/>
      <c r="JDB22" s="64"/>
      <c r="JDC22" s="64"/>
      <c r="JDD22" s="64"/>
      <c r="JDE22" s="64"/>
      <c r="JDF22" s="64"/>
      <c r="JDG22" s="64"/>
      <c r="JDH22" s="64"/>
      <c r="JDI22" s="64"/>
      <c r="JDJ22" s="64"/>
      <c r="JDK22" s="64"/>
      <c r="JDL22" s="64"/>
      <c r="JDM22" s="64"/>
      <c r="JDN22" s="64"/>
      <c r="JDO22" s="64"/>
      <c r="JDP22" s="64"/>
      <c r="JDQ22" s="64"/>
      <c r="JDR22" s="64"/>
      <c r="JDS22" s="64"/>
      <c r="JDT22" s="64"/>
      <c r="JDU22" s="64"/>
      <c r="JDV22" s="64"/>
      <c r="JDW22" s="64"/>
      <c r="JDX22" s="64"/>
      <c r="JDY22" s="64"/>
      <c r="JDZ22" s="64"/>
      <c r="JEA22" s="64"/>
      <c r="JEB22" s="64"/>
      <c r="JEC22" s="64"/>
      <c r="JED22" s="64"/>
      <c r="JEE22" s="64"/>
      <c r="JEF22" s="64"/>
      <c r="JEG22" s="64"/>
      <c r="JEH22" s="64"/>
      <c r="JEI22" s="64"/>
      <c r="JEJ22" s="64"/>
      <c r="JEK22" s="64"/>
      <c r="JEL22" s="64"/>
      <c r="JEM22" s="64"/>
      <c r="JEN22" s="64"/>
      <c r="JEO22" s="64"/>
      <c r="JEP22" s="64"/>
      <c r="JEQ22" s="64"/>
      <c r="JER22" s="64"/>
      <c r="JES22" s="64"/>
      <c r="JET22" s="64"/>
      <c r="JEU22" s="64"/>
      <c r="JEV22" s="64"/>
      <c r="JEW22" s="64"/>
      <c r="JEX22" s="64"/>
      <c r="JEY22" s="64"/>
      <c r="JEZ22" s="64"/>
      <c r="JFA22" s="64"/>
      <c r="JFB22" s="64"/>
      <c r="JFC22" s="64"/>
      <c r="JFD22" s="64"/>
      <c r="JFE22" s="64"/>
      <c r="JFF22" s="64"/>
      <c r="JFG22" s="64"/>
      <c r="JFH22" s="64"/>
      <c r="JFI22" s="64"/>
      <c r="JFJ22" s="64"/>
      <c r="JFK22" s="64"/>
      <c r="JFL22" s="64"/>
      <c r="JFM22" s="64"/>
      <c r="JFN22" s="64"/>
      <c r="JFO22" s="64"/>
      <c r="JFP22" s="64"/>
      <c r="JFQ22" s="64"/>
      <c r="JFR22" s="64"/>
      <c r="JFS22" s="64"/>
      <c r="JFT22" s="64"/>
      <c r="JFU22" s="64"/>
      <c r="JFV22" s="64"/>
      <c r="JFW22" s="64"/>
      <c r="JFX22" s="64"/>
      <c r="JFY22" s="64"/>
      <c r="JFZ22" s="64"/>
      <c r="JGA22" s="64"/>
      <c r="JGB22" s="64"/>
      <c r="JGC22" s="64"/>
      <c r="JGD22" s="64"/>
      <c r="JGE22" s="64"/>
      <c r="JGF22" s="64"/>
      <c r="JGG22" s="64"/>
      <c r="JGH22" s="64"/>
      <c r="JGI22" s="64"/>
      <c r="JGJ22" s="64"/>
      <c r="JGK22" s="64"/>
      <c r="JGL22" s="64"/>
      <c r="JGM22" s="64"/>
      <c r="JGN22" s="64"/>
      <c r="JGO22" s="64"/>
      <c r="JGP22" s="64"/>
      <c r="JGQ22" s="64"/>
      <c r="JGR22" s="64"/>
      <c r="JGS22" s="64"/>
      <c r="JGT22" s="64"/>
      <c r="JGU22" s="64"/>
      <c r="JGV22" s="64"/>
      <c r="JGW22" s="64"/>
      <c r="JGX22" s="64"/>
      <c r="JGY22" s="64"/>
      <c r="JGZ22" s="64"/>
      <c r="JHA22" s="64"/>
      <c r="JHB22" s="64"/>
      <c r="JHC22" s="64"/>
      <c r="JHD22" s="64"/>
      <c r="JHE22" s="64"/>
      <c r="JHF22" s="64"/>
      <c r="JHG22" s="64"/>
      <c r="JHH22" s="64"/>
      <c r="JHI22" s="64"/>
      <c r="JHJ22" s="64"/>
      <c r="JHK22" s="64"/>
      <c r="JHL22" s="64"/>
      <c r="JHM22" s="64"/>
      <c r="JHN22" s="64"/>
      <c r="JHO22" s="64"/>
      <c r="JHP22" s="64"/>
      <c r="JHQ22" s="64"/>
      <c r="JHR22" s="64"/>
      <c r="JHS22" s="64"/>
      <c r="JHT22" s="64"/>
      <c r="JHU22" s="64"/>
      <c r="JHV22" s="64"/>
      <c r="JHW22" s="64"/>
      <c r="JHX22" s="64"/>
      <c r="JHY22" s="64"/>
      <c r="JHZ22" s="64"/>
      <c r="JIA22" s="64"/>
      <c r="JIB22" s="64"/>
      <c r="JIC22" s="64"/>
      <c r="JID22" s="64"/>
      <c r="JIE22" s="64"/>
      <c r="JIF22" s="64"/>
      <c r="JIG22" s="64"/>
      <c r="JIH22" s="64"/>
      <c r="JII22" s="64"/>
      <c r="JIJ22" s="64"/>
      <c r="JIK22" s="64"/>
      <c r="JIL22" s="64"/>
      <c r="JIM22" s="64"/>
      <c r="JIN22" s="64"/>
      <c r="JIO22" s="64"/>
      <c r="JIP22" s="64"/>
      <c r="JIQ22" s="64"/>
      <c r="JIR22" s="64"/>
      <c r="JIS22" s="64"/>
      <c r="JIT22" s="64"/>
      <c r="JIU22" s="64"/>
      <c r="JIV22" s="64"/>
      <c r="JIW22" s="64"/>
      <c r="JIX22" s="64"/>
      <c r="JIY22" s="64"/>
      <c r="JIZ22" s="64"/>
      <c r="JJA22" s="64"/>
      <c r="JJB22" s="64"/>
      <c r="JJC22" s="64"/>
      <c r="JJD22" s="64"/>
      <c r="JJE22" s="64"/>
      <c r="JJF22" s="64"/>
      <c r="JJG22" s="64"/>
      <c r="JJH22" s="64"/>
      <c r="JJI22" s="64"/>
      <c r="JJJ22" s="64"/>
      <c r="JJK22" s="64"/>
      <c r="JJL22" s="64"/>
      <c r="JJM22" s="64"/>
      <c r="JJN22" s="64"/>
      <c r="JJO22" s="64"/>
      <c r="JJP22" s="64"/>
      <c r="JJQ22" s="64"/>
      <c r="JJR22" s="64"/>
      <c r="JJS22" s="64"/>
      <c r="JJT22" s="64"/>
      <c r="JJU22" s="64"/>
      <c r="JJV22" s="64"/>
      <c r="JJW22" s="64"/>
      <c r="JJX22" s="64"/>
      <c r="JJY22" s="64"/>
      <c r="JJZ22" s="64"/>
      <c r="JKA22" s="64"/>
      <c r="JKB22" s="64"/>
      <c r="JKC22" s="64"/>
      <c r="JKD22" s="64"/>
      <c r="JKE22" s="64"/>
      <c r="JKF22" s="64"/>
      <c r="JKG22" s="64"/>
      <c r="JKH22" s="64"/>
      <c r="JKI22" s="64"/>
      <c r="JKJ22" s="64"/>
      <c r="JKK22" s="64"/>
      <c r="JKL22" s="64"/>
      <c r="JKM22" s="64"/>
      <c r="JKN22" s="64"/>
      <c r="JKO22" s="64"/>
      <c r="JKP22" s="64"/>
      <c r="JKQ22" s="64"/>
      <c r="JKR22" s="64"/>
      <c r="JKS22" s="64"/>
      <c r="JKT22" s="64"/>
      <c r="JKU22" s="64"/>
      <c r="JKV22" s="64"/>
      <c r="JKW22" s="64"/>
      <c r="JKX22" s="64"/>
      <c r="JKY22" s="64"/>
      <c r="JKZ22" s="64"/>
      <c r="JLA22" s="64"/>
      <c r="JLB22" s="64"/>
      <c r="JLC22" s="64"/>
      <c r="JLD22" s="64"/>
      <c r="JLE22" s="64"/>
      <c r="JLF22" s="64"/>
      <c r="JLG22" s="64"/>
      <c r="JLH22" s="64"/>
      <c r="JLI22" s="64"/>
      <c r="JLJ22" s="64"/>
      <c r="JLK22" s="64"/>
      <c r="JLL22" s="64"/>
      <c r="JLM22" s="64"/>
      <c r="JLN22" s="64"/>
      <c r="JLO22" s="64"/>
      <c r="JLP22" s="64"/>
      <c r="JLQ22" s="64"/>
      <c r="JLR22" s="64"/>
      <c r="JLS22" s="64"/>
      <c r="JLT22" s="64"/>
      <c r="JLU22" s="64"/>
      <c r="JLV22" s="64"/>
      <c r="JLW22" s="64"/>
      <c r="JLX22" s="64"/>
      <c r="JLY22" s="64"/>
      <c r="JLZ22" s="64"/>
      <c r="JMA22" s="64"/>
      <c r="JMB22" s="64"/>
      <c r="JMC22" s="64"/>
      <c r="JMD22" s="64"/>
      <c r="JME22" s="64"/>
      <c r="JMF22" s="64"/>
      <c r="JMG22" s="64"/>
      <c r="JMH22" s="64"/>
      <c r="JMI22" s="64"/>
      <c r="JMJ22" s="64"/>
      <c r="JMK22" s="64"/>
      <c r="JML22" s="64"/>
      <c r="JMM22" s="64"/>
      <c r="JMN22" s="64"/>
      <c r="JMO22" s="64"/>
      <c r="JMP22" s="64"/>
      <c r="JMQ22" s="64"/>
      <c r="JMR22" s="64"/>
      <c r="JMS22" s="64"/>
      <c r="JMT22" s="64"/>
      <c r="JMU22" s="64"/>
      <c r="JMV22" s="64"/>
      <c r="JMW22" s="64"/>
      <c r="JMX22" s="64"/>
      <c r="JMY22" s="64"/>
      <c r="JMZ22" s="64"/>
      <c r="JNA22" s="64"/>
      <c r="JNB22" s="64"/>
      <c r="JNC22" s="64"/>
      <c r="JND22" s="64"/>
      <c r="JNE22" s="64"/>
      <c r="JNF22" s="64"/>
      <c r="JNG22" s="64"/>
      <c r="JNH22" s="64"/>
      <c r="JNI22" s="64"/>
      <c r="JNJ22" s="64"/>
      <c r="JNK22" s="64"/>
      <c r="JNL22" s="64"/>
      <c r="JNM22" s="64"/>
      <c r="JNN22" s="64"/>
      <c r="JNO22" s="64"/>
      <c r="JNP22" s="64"/>
      <c r="JNQ22" s="64"/>
      <c r="JNR22" s="64"/>
      <c r="JNS22" s="64"/>
      <c r="JNT22" s="64"/>
      <c r="JNU22" s="64"/>
      <c r="JNV22" s="64"/>
      <c r="JNW22" s="64"/>
      <c r="JNX22" s="64"/>
      <c r="JNY22" s="64"/>
      <c r="JNZ22" s="64"/>
      <c r="JOA22" s="64"/>
      <c r="JOB22" s="64"/>
      <c r="JOC22" s="64"/>
      <c r="JOD22" s="64"/>
      <c r="JOE22" s="64"/>
      <c r="JOF22" s="64"/>
      <c r="JOG22" s="64"/>
      <c r="JOH22" s="64"/>
      <c r="JOI22" s="64"/>
      <c r="JOJ22" s="64"/>
      <c r="JOK22" s="64"/>
      <c r="JOL22" s="64"/>
      <c r="JOM22" s="64"/>
      <c r="JON22" s="64"/>
      <c r="JOO22" s="64"/>
      <c r="JOP22" s="64"/>
      <c r="JOQ22" s="64"/>
      <c r="JOR22" s="64"/>
      <c r="JOS22" s="64"/>
      <c r="JOT22" s="64"/>
      <c r="JOU22" s="64"/>
      <c r="JOV22" s="64"/>
      <c r="JOW22" s="64"/>
      <c r="JOX22" s="64"/>
      <c r="JOY22" s="64"/>
      <c r="JOZ22" s="64"/>
      <c r="JPA22" s="64"/>
      <c r="JPB22" s="64"/>
      <c r="JPC22" s="64"/>
      <c r="JPD22" s="64"/>
      <c r="JPE22" s="64"/>
      <c r="JPF22" s="64"/>
      <c r="JPG22" s="64"/>
      <c r="JPH22" s="64"/>
      <c r="JPI22" s="64"/>
      <c r="JPJ22" s="64"/>
      <c r="JPK22" s="64"/>
      <c r="JPL22" s="64"/>
      <c r="JPM22" s="64"/>
      <c r="JPN22" s="64"/>
      <c r="JPO22" s="64"/>
      <c r="JPP22" s="64"/>
      <c r="JPQ22" s="64"/>
      <c r="JPR22" s="64"/>
      <c r="JPS22" s="64"/>
      <c r="JPT22" s="64"/>
      <c r="JPU22" s="64"/>
      <c r="JPV22" s="64"/>
      <c r="JPW22" s="64"/>
      <c r="JPX22" s="64"/>
      <c r="JPY22" s="64"/>
      <c r="JPZ22" s="64"/>
      <c r="JQA22" s="64"/>
      <c r="JQB22" s="64"/>
      <c r="JQC22" s="64"/>
      <c r="JQD22" s="64"/>
      <c r="JQE22" s="64"/>
      <c r="JQF22" s="64"/>
      <c r="JQG22" s="64"/>
      <c r="JQH22" s="64"/>
      <c r="JQI22" s="64"/>
      <c r="JQJ22" s="64"/>
      <c r="JQK22" s="64"/>
      <c r="JQL22" s="64"/>
      <c r="JQM22" s="64"/>
      <c r="JQN22" s="64"/>
      <c r="JQO22" s="64"/>
      <c r="JQP22" s="64"/>
      <c r="JQQ22" s="64"/>
      <c r="JQR22" s="64"/>
      <c r="JQS22" s="64"/>
      <c r="JQT22" s="64"/>
      <c r="JQU22" s="64"/>
      <c r="JQV22" s="64"/>
      <c r="JQW22" s="64"/>
      <c r="JQX22" s="64"/>
      <c r="JQY22" s="64"/>
      <c r="JQZ22" s="64"/>
      <c r="JRA22" s="64"/>
      <c r="JRB22" s="64"/>
      <c r="JRC22" s="64"/>
      <c r="JRD22" s="64"/>
      <c r="JRE22" s="64"/>
      <c r="JRF22" s="64"/>
      <c r="JRG22" s="64"/>
      <c r="JRH22" s="64"/>
      <c r="JRI22" s="64"/>
      <c r="JRJ22" s="64"/>
      <c r="JRK22" s="64"/>
      <c r="JRL22" s="64"/>
      <c r="JRM22" s="64"/>
      <c r="JRN22" s="64"/>
      <c r="JRO22" s="64"/>
      <c r="JRP22" s="64"/>
      <c r="JRQ22" s="64"/>
      <c r="JRR22" s="64"/>
      <c r="JRS22" s="64"/>
      <c r="JRT22" s="64"/>
      <c r="JRU22" s="64"/>
      <c r="JRV22" s="64"/>
      <c r="JRW22" s="64"/>
      <c r="JRX22" s="64"/>
      <c r="JRY22" s="64"/>
      <c r="JRZ22" s="64"/>
      <c r="JSA22" s="64"/>
      <c r="JSB22" s="64"/>
      <c r="JSC22" s="64"/>
      <c r="JSD22" s="64"/>
      <c r="JSE22" s="64"/>
      <c r="JSF22" s="64"/>
      <c r="JSG22" s="64"/>
      <c r="JSH22" s="64"/>
      <c r="JSI22" s="64"/>
      <c r="JSJ22" s="64"/>
      <c r="JSK22" s="64"/>
      <c r="JSL22" s="64"/>
      <c r="JSM22" s="64"/>
      <c r="JSN22" s="64"/>
      <c r="JSO22" s="64"/>
      <c r="JSP22" s="64"/>
      <c r="JSQ22" s="64"/>
      <c r="JSR22" s="64"/>
      <c r="JSS22" s="64"/>
      <c r="JST22" s="64"/>
      <c r="JSU22" s="64"/>
      <c r="JSV22" s="64"/>
      <c r="JSW22" s="64"/>
      <c r="JSX22" s="64"/>
      <c r="JSY22" s="64"/>
      <c r="JSZ22" s="64"/>
      <c r="JTA22" s="64"/>
      <c r="JTB22" s="64"/>
      <c r="JTC22" s="64"/>
      <c r="JTD22" s="64"/>
      <c r="JTE22" s="64"/>
      <c r="JTF22" s="64"/>
      <c r="JTG22" s="64"/>
      <c r="JTH22" s="64"/>
      <c r="JTI22" s="64"/>
      <c r="JTJ22" s="64"/>
      <c r="JTK22" s="64"/>
      <c r="JTL22" s="64"/>
      <c r="JTM22" s="64"/>
      <c r="JTN22" s="64"/>
      <c r="JTO22" s="64"/>
      <c r="JTP22" s="64"/>
      <c r="JTQ22" s="64"/>
      <c r="JTR22" s="64"/>
      <c r="JTS22" s="64"/>
      <c r="JTT22" s="64"/>
      <c r="JTU22" s="64"/>
      <c r="JTV22" s="64"/>
      <c r="JTW22" s="64"/>
      <c r="JTX22" s="64"/>
      <c r="JTY22" s="64"/>
      <c r="JTZ22" s="64"/>
      <c r="JUA22" s="64"/>
      <c r="JUB22" s="64"/>
      <c r="JUC22" s="64"/>
      <c r="JUD22" s="64"/>
      <c r="JUE22" s="64"/>
      <c r="JUF22" s="64"/>
      <c r="JUG22" s="64"/>
      <c r="JUH22" s="64"/>
      <c r="JUI22" s="64"/>
      <c r="JUJ22" s="64"/>
      <c r="JUK22" s="64"/>
      <c r="JUL22" s="64"/>
      <c r="JUM22" s="64"/>
      <c r="JUN22" s="64"/>
      <c r="JUO22" s="64"/>
      <c r="JUP22" s="64"/>
      <c r="JUQ22" s="64"/>
      <c r="JUR22" s="64"/>
      <c r="JUS22" s="64"/>
      <c r="JUT22" s="64"/>
      <c r="JUU22" s="64"/>
      <c r="JUV22" s="64"/>
      <c r="JUW22" s="64"/>
      <c r="JUX22" s="64"/>
      <c r="JUY22" s="64"/>
      <c r="JUZ22" s="64"/>
      <c r="JVA22" s="64"/>
      <c r="JVB22" s="64"/>
      <c r="JVC22" s="64"/>
      <c r="JVD22" s="64"/>
      <c r="JVE22" s="64"/>
      <c r="JVF22" s="64"/>
      <c r="JVG22" s="64"/>
      <c r="JVH22" s="64"/>
      <c r="JVI22" s="64"/>
      <c r="JVJ22" s="64"/>
      <c r="JVK22" s="64"/>
      <c r="JVL22" s="64"/>
      <c r="JVM22" s="64"/>
      <c r="JVN22" s="64"/>
      <c r="JVO22" s="64"/>
      <c r="JVP22" s="64"/>
      <c r="JVQ22" s="64"/>
      <c r="JVR22" s="64"/>
      <c r="JVS22" s="64"/>
      <c r="JVT22" s="64"/>
      <c r="JVU22" s="64"/>
      <c r="JVV22" s="64"/>
      <c r="JVW22" s="64"/>
      <c r="JVX22" s="64"/>
      <c r="JVY22" s="64"/>
      <c r="JVZ22" s="64"/>
      <c r="JWA22" s="64"/>
      <c r="JWB22" s="64"/>
      <c r="JWC22" s="64"/>
      <c r="JWD22" s="64"/>
      <c r="JWE22" s="64"/>
      <c r="JWF22" s="64"/>
      <c r="JWG22" s="64"/>
      <c r="JWH22" s="64"/>
      <c r="JWI22" s="64"/>
      <c r="JWJ22" s="64"/>
      <c r="JWK22" s="64"/>
      <c r="JWL22" s="64"/>
      <c r="JWM22" s="64"/>
      <c r="JWN22" s="64"/>
      <c r="JWO22" s="64"/>
      <c r="JWP22" s="64"/>
      <c r="JWQ22" s="64"/>
      <c r="JWR22" s="64"/>
      <c r="JWS22" s="64"/>
      <c r="JWT22" s="64"/>
      <c r="JWU22" s="64"/>
      <c r="JWV22" s="64"/>
      <c r="JWW22" s="64"/>
      <c r="JWX22" s="64"/>
      <c r="JWY22" s="64"/>
      <c r="JWZ22" s="64"/>
      <c r="JXA22" s="64"/>
      <c r="JXB22" s="64"/>
      <c r="JXC22" s="64"/>
      <c r="JXD22" s="64"/>
      <c r="JXE22" s="64"/>
      <c r="JXF22" s="64"/>
      <c r="JXG22" s="64"/>
      <c r="JXH22" s="64"/>
      <c r="JXI22" s="64"/>
      <c r="JXJ22" s="64"/>
      <c r="JXK22" s="64"/>
      <c r="JXL22" s="64"/>
      <c r="JXM22" s="64"/>
      <c r="JXN22" s="64"/>
      <c r="JXO22" s="64"/>
      <c r="JXP22" s="64"/>
      <c r="JXQ22" s="64"/>
      <c r="JXR22" s="64"/>
      <c r="JXS22" s="64"/>
      <c r="JXT22" s="64"/>
      <c r="JXU22" s="64"/>
      <c r="JXV22" s="64"/>
      <c r="JXW22" s="64"/>
      <c r="JXX22" s="64"/>
      <c r="JXY22" s="64"/>
      <c r="JXZ22" s="64"/>
      <c r="JYA22" s="64"/>
      <c r="JYB22" s="64"/>
      <c r="JYC22" s="64"/>
      <c r="JYD22" s="64"/>
      <c r="JYE22" s="64"/>
      <c r="JYF22" s="64"/>
      <c r="JYG22" s="64"/>
      <c r="JYH22" s="64"/>
      <c r="JYI22" s="64"/>
      <c r="JYJ22" s="64"/>
      <c r="JYK22" s="64"/>
      <c r="JYL22" s="64"/>
      <c r="JYM22" s="64"/>
      <c r="JYN22" s="64"/>
      <c r="JYO22" s="64"/>
      <c r="JYP22" s="64"/>
      <c r="JYQ22" s="64"/>
      <c r="JYR22" s="64"/>
      <c r="JYS22" s="64"/>
      <c r="JYT22" s="64"/>
      <c r="JYU22" s="64"/>
      <c r="JYV22" s="64"/>
      <c r="JYW22" s="64"/>
      <c r="JYX22" s="64"/>
      <c r="JYY22" s="64"/>
      <c r="JYZ22" s="64"/>
      <c r="JZA22" s="64"/>
      <c r="JZB22" s="64"/>
      <c r="JZC22" s="64"/>
      <c r="JZD22" s="64"/>
      <c r="JZE22" s="64"/>
      <c r="JZF22" s="64"/>
      <c r="JZG22" s="64"/>
      <c r="JZH22" s="64"/>
      <c r="JZI22" s="64"/>
      <c r="JZJ22" s="64"/>
      <c r="JZK22" s="64"/>
      <c r="JZL22" s="64"/>
      <c r="JZM22" s="64"/>
      <c r="JZN22" s="64"/>
      <c r="JZO22" s="64"/>
      <c r="JZP22" s="64"/>
      <c r="JZQ22" s="64"/>
      <c r="JZR22" s="64"/>
      <c r="JZS22" s="64"/>
      <c r="JZT22" s="64"/>
      <c r="JZU22" s="64"/>
      <c r="JZV22" s="64"/>
      <c r="JZW22" s="64"/>
      <c r="JZX22" s="64"/>
      <c r="JZY22" s="64"/>
      <c r="JZZ22" s="64"/>
      <c r="KAA22" s="64"/>
      <c r="KAB22" s="64"/>
      <c r="KAC22" s="64"/>
      <c r="KAD22" s="64"/>
      <c r="KAE22" s="64"/>
      <c r="KAF22" s="64"/>
      <c r="KAG22" s="64"/>
      <c r="KAH22" s="64"/>
      <c r="KAI22" s="64"/>
      <c r="KAJ22" s="64"/>
      <c r="KAK22" s="64"/>
      <c r="KAL22" s="64"/>
      <c r="KAM22" s="64"/>
      <c r="KAN22" s="64"/>
      <c r="KAO22" s="64"/>
      <c r="KAP22" s="64"/>
      <c r="KAQ22" s="64"/>
      <c r="KAR22" s="64"/>
      <c r="KAS22" s="64"/>
      <c r="KAT22" s="64"/>
      <c r="KAU22" s="64"/>
      <c r="KAV22" s="64"/>
      <c r="KAW22" s="64"/>
      <c r="KAX22" s="64"/>
      <c r="KAY22" s="64"/>
      <c r="KAZ22" s="64"/>
      <c r="KBA22" s="64"/>
      <c r="KBB22" s="64"/>
      <c r="KBC22" s="64"/>
      <c r="KBD22" s="64"/>
      <c r="KBE22" s="64"/>
      <c r="KBF22" s="64"/>
      <c r="KBG22" s="64"/>
      <c r="KBH22" s="64"/>
      <c r="KBI22" s="64"/>
      <c r="KBJ22" s="64"/>
      <c r="KBK22" s="64"/>
      <c r="KBL22" s="64"/>
      <c r="KBM22" s="64"/>
      <c r="KBN22" s="64"/>
      <c r="KBO22" s="64"/>
      <c r="KBP22" s="64"/>
      <c r="KBQ22" s="64"/>
      <c r="KBR22" s="64"/>
      <c r="KBS22" s="64"/>
      <c r="KBT22" s="64"/>
      <c r="KBU22" s="64"/>
      <c r="KBV22" s="64"/>
      <c r="KBW22" s="64"/>
      <c r="KBX22" s="64"/>
      <c r="KBY22" s="64"/>
      <c r="KBZ22" s="64"/>
      <c r="KCA22" s="64"/>
      <c r="KCB22" s="64"/>
      <c r="KCC22" s="64"/>
      <c r="KCD22" s="64"/>
      <c r="KCE22" s="64"/>
      <c r="KCF22" s="64"/>
      <c r="KCG22" s="64"/>
      <c r="KCH22" s="64"/>
      <c r="KCI22" s="64"/>
      <c r="KCJ22" s="64"/>
      <c r="KCK22" s="64"/>
      <c r="KCL22" s="64"/>
      <c r="KCM22" s="64"/>
      <c r="KCN22" s="64"/>
      <c r="KCO22" s="64"/>
      <c r="KCP22" s="64"/>
      <c r="KCQ22" s="64"/>
      <c r="KCR22" s="64"/>
      <c r="KCS22" s="64"/>
      <c r="KCT22" s="64"/>
      <c r="KCU22" s="64"/>
      <c r="KCV22" s="64"/>
      <c r="KCW22" s="64"/>
      <c r="KCX22" s="64"/>
      <c r="KCY22" s="64"/>
      <c r="KCZ22" s="64"/>
      <c r="KDA22" s="64"/>
      <c r="KDB22" s="64"/>
      <c r="KDC22" s="64"/>
      <c r="KDD22" s="64"/>
      <c r="KDE22" s="64"/>
      <c r="KDF22" s="64"/>
      <c r="KDG22" s="64"/>
      <c r="KDH22" s="64"/>
      <c r="KDI22" s="64"/>
      <c r="KDJ22" s="64"/>
      <c r="KDK22" s="64"/>
      <c r="KDL22" s="64"/>
      <c r="KDM22" s="64"/>
      <c r="KDN22" s="64"/>
      <c r="KDO22" s="64"/>
      <c r="KDP22" s="64"/>
      <c r="KDQ22" s="64"/>
      <c r="KDR22" s="64"/>
      <c r="KDS22" s="64"/>
      <c r="KDT22" s="64"/>
      <c r="KDU22" s="64"/>
      <c r="KDV22" s="64"/>
      <c r="KDW22" s="64"/>
      <c r="KDX22" s="64"/>
      <c r="KDY22" s="64"/>
      <c r="KDZ22" s="64"/>
      <c r="KEA22" s="64"/>
      <c r="KEB22" s="64"/>
      <c r="KEC22" s="64"/>
      <c r="KED22" s="64"/>
      <c r="KEE22" s="64"/>
      <c r="KEF22" s="64"/>
      <c r="KEG22" s="64"/>
      <c r="KEH22" s="64"/>
      <c r="KEI22" s="64"/>
      <c r="KEJ22" s="64"/>
      <c r="KEK22" s="64"/>
      <c r="KEL22" s="64"/>
      <c r="KEM22" s="64"/>
      <c r="KEN22" s="64"/>
      <c r="KEO22" s="64"/>
      <c r="KEP22" s="64"/>
      <c r="KEQ22" s="64"/>
      <c r="KER22" s="64"/>
      <c r="KES22" s="64"/>
      <c r="KET22" s="64"/>
      <c r="KEU22" s="64"/>
      <c r="KEV22" s="64"/>
      <c r="KEW22" s="64"/>
      <c r="KEX22" s="64"/>
      <c r="KEY22" s="64"/>
      <c r="KEZ22" s="64"/>
      <c r="KFA22" s="64"/>
      <c r="KFB22" s="64"/>
      <c r="KFC22" s="64"/>
      <c r="KFD22" s="64"/>
      <c r="KFE22" s="64"/>
      <c r="KFF22" s="64"/>
      <c r="KFG22" s="64"/>
      <c r="KFH22" s="64"/>
      <c r="KFI22" s="64"/>
      <c r="KFJ22" s="64"/>
      <c r="KFK22" s="64"/>
      <c r="KFL22" s="64"/>
      <c r="KFM22" s="64"/>
      <c r="KFN22" s="64"/>
      <c r="KFO22" s="64"/>
      <c r="KFP22" s="64"/>
      <c r="KFQ22" s="64"/>
      <c r="KFR22" s="64"/>
      <c r="KFS22" s="64"/>
      <c r="KFT22" s="64"/>
      <c r="KFU22" s="64"/>
      <c r="KFV22" s="64"/>
      <c r="KFW22" s="64"/>
      <c r="KFX22" s="64"/>
      <c r="KFY22" s="64"/>
      <c r="KFZ22" s="64"/>
      <c r="KGA22" s="64"/>
      <c r="KGB22" s="64"/>
      <c r="KGC22" s="64"/>
      <c r="KGD22" s="64"/>
      <c r="KGE22" s="64"/>
      <c r="KGF22" s="64"/>
      <c r="KGG22" s="64"/>
      <c r="KGH22" s="64"/>
      <c r="KGI22" s="64"/>
      <c r="KGJ22" s="64"/>
      <c r="KGK22" s="64"/>
      <c r="KGL22" s="64"/>
      <c r="KGM22" s="64"/>
      <c r="KGN22" s="64"/>
      <c r="KGO22" s="64"/>
      <c r="KGP22" s="64"/>
      <c r="KGQ22" s="64"/>
      <c r="KGR22" s="64"/>
      <c r="KGS22" s="64"/>
      <c r="KGT22" s="64"/>
      <c r="KGU22" s="64"/>
      <c r="KGV22" s="64"/>
      <c r="KGW22" s="64"/>
      <c r="KGX22" s="64"/>
      <c r="KGY22" s="64"/>
      <c r="KGZ22" s="64"/>
      <c r="KHA22" s="64"/>
      <c r="KHB22" s="64"/>
      <c r="KHC22" s="64"/>
      <c r="KHD22" s="64"/>
      <c r="KHE22" s="64"/>
      <c r="KHF22" s="64"/>
      <c r="KHG22" s="64"/>
      <c r="KHH22" s="64"/>
      <c r="KHI22" s="64"/>
      <c r="KHJ22" s="64"/>
      <c r="KHK22" s="64"/>
      <c r="KHL22" s="64"/>
      <c r="KHM22" s="64"/>
      <c r="KHN22" s="64"/>
      <c r="KHO22" s="64"/>
      <c r="KHP22" s="64"/>
      <c r="KHQ22" s="64"/>
      <c r="KHR22" s="64"/>
      <c r="KHS22" s="64"/>
      <c r="KHT22" s="64"/>
      <c r="KHU22" s="64"/>
      <c r="KHV22" s="64"/>
      <c r="KHW22" s="64"/>
      <c r="KHX22" s="64"/>
      <c r="KHY22" s="64"/>
      <c r="KHZ22" s="64"/>
      <c r="KIA22" s="64"/>
      <c r="KIB22" s="64"/>
      <c r="KIC22" s="64"/>
      <c r="KID22" s="64"/>
      <c r="KIE22" s="64"/>
      <c r="KIF22" s="64"/>
      <c r="KIG22" s="64"/>
      <c r="KIH22" s="64"/>
      <c r="KII22" s="64"/>
      <c r="KIJ22" s="64"/>
      <c r="KIK22" s="64"/>
      <c r="KIL22" s="64"/>
      <c r="KIM22" s="64"/>
      <c r="KIN22" s="64"/>
      <c r="KIO22" s="64"/>
      <c r="KIP22" s="64"/>
      <c r="KIQ22" s="64"/>
      <c r="KIR22" s="64"/>
      <c r="KIS22" s="64"/>
      <c r="KIT22" s="64"/>
      <c r="KIU22" s="64"/>
      <c r="KIV22" s="64"/>
      <c r="KIW22" s="64"/>
      <c r="KIX22" s="64"/>
      <c r="KIY22" s="64"/>
      <c r="KIZ22" s="64"/>
      <c r="KJA22" s="64"/>
      <c r="KJB22" s="64"/>
      <c r="KJC22" s="64"/>
      <c r="KJD22" s="64"/>
      <c r="KJE22" s="64"/>
      <c r="KJF22" s="64"/>
      <c r="KJG22" s="64"/>
      <c r="KJH22" s="64"/>
      <c r="KJI22" s="64"/>
      <c r="KJJ22" s="64"/>
      <c r="KJK22" s="64"/>
      <c r="KJL22" s="64"/>
      <c r="KJM22" s="64"/>
      <c r="KJN22" s="64"/>
      <c r="KJO22" s="64"/>
      <c r="KJP22" s="64"/>
      <c r="KJQ22" s="64"/>
      <c r="KJR22" s="64"/>
      <c r="KJS22" s="64"/>
      <c r="KJT22" s="64"/>
      <c r="KJU22" s="64"/>
      <c r="KJV22" s="64"/>
      <c r="KJW22" s="64"/>
      <c r="KJX22" s="64"/>
      <c r="KJY22" s="64"/>
      <c r="KJZ22" s="64"/>
      <c r="KKA22" s="64"/>
      <c r="KKB22" s="64"/>
      <c r="KKC22" s="64"/>
      <c r="KKD22" s="64"/>
      <c r="KKE22" s="64"/>
      <c r="KKF22" s="64"/>
      <c r="KKG22" s="64"/>
      <c r="KKH22" s="64"/>
      <c r="KKI22" s="64"/>
      <c r="KKJ22" s="64"/>
      <c r="KKK22" s="64"/>
      <c r="KKL22" s="64"/>
      <c r="KKM22" s="64"/>
      <c r="KKN22" s="64"/>
      <c r="KKO22" s="64"/>
      <c r="KKP22" s="64"/>
      <c r="KKQ22" s="64"/>
      <c r="KKR22" s="64"/>
      <c r="KKS22" s="64"/>
      <c r="KKT22" s="64"/>
      <c r="KKU22" s="64"/>
      <c r="KKV22" s="64"/>
      <c r="KKW22" s="64"/>
      <c r="KKX22" s="64"/>
      <c r="KKY22" s="64"/>
      <c r="KKZ22" s="64"/>
      <c r="KLA22" s="64"/>
      <c r="KLB22" s="64"/>
      <c r="KLC22" s="64"/>
      <c r="KLD22" s="64"/>
      <c r="KLE22" s="64"/>
      <c r="KLF22" s="64"/>
      <c r="KLG22" s="64"/>
      <c r="KLH22" s="64"/>
      <c r="KLI22" s="64"/>
      <c r="KLJ22" s="64"/>
      <c r="KLK22" s="64"/>
      <c r="KLL22" s="64"/>
      <c r="KLM22" s="64"/>
      <c r="KLN22" s="64"/>
      <c r="KLO22" s="64"/>
      <c r="KLP22" s="64"/>
      <c r="KLQ22" s="64"/>
      <c r="KLR22" s="64"/>
      <c r="KLS22" s="64"/>
      <c r="KLT22" s="64"/>
      <c r="KLU22" s="64"/>
      <c r="KLV22" s="64"/>
      <c r="KLW22" s="64"/>
      <c r="KLX22" s="64"/>
      <c r="KLY22" s="64"/>
      <c r="KLZ22" s="64"/>
      <c r="KMA22" s="64"/>
      <c r="KMB22" s="64"/>
      <c r="KMC22" s="64"/>
      <c r="KMD22" s="64"/>
      <c r="KME22" s="64"/>
      <c r="KMF22" s="64"/>
      <c r="KMG22" s="64"/>
      <c r="KMH22" s="64"/>
      <c r="KMI22" s="64"/>
      <c r="KMJ22" s="64"/>
      <c r="KMK22" s="64"/>
      <c r="KML22" s="64"/>
      <c r="KMM22" s="64"/>
      <c r="KMN22" s="64"/>
      <c r="KMO22" s="64"/>
      <c r="KMP22" s="64"/>
      <c r="KMQ22" s="64"/>
      <c r="KMR22" s="64"/>
      <c r="KMS22" s="64"/>
      <c r="KMT22" s="64"/>
      <c r="KMU22" s="64"/>
      <c r="KMV22" s="64"/>
      <c r="KMW22" s="64"/>
      <c r="KMX22" s="64"/>
      <c r="KMY22" s="64"/>
      <c r="KMZ22" s="64"/>
      <c r="KNA22" s="64"/>
      <c r="KNB22" s="64"/>
      <c r="KNC22" s="64"/>
      <c r="KND22" s="64"/>
      <c r="KNE22" s="64"/>
      <c r="KNF22" s="64"/>
      <c r="KNG22" s="64"/>
      <c r="KNH22" s="64"/>
      <c r="KNI22" s="64"/>
      <c r="KNJ22" s="64"/>
      <c r="KNK22" s="64"/>
      <c r="KNL22" s="64"/>
      <c r="KNM22" s="64"/>
      <c r="KNN22" s="64"/>
      <c r="KNO22" s="64"/>
      <c r="KNP22" s="64"/>
      <c r="KNQ22" s="64"/>
      <c r="KNR22" s="64"/>
      <c r="KNS22" s="64"/>
      <c r="KNT22" s="64"/>
      <c r="KNU22" s="64"/>
      <c r="KNV22" s="64"/>
      <c r="KNW22" s="64"/>
      <c r="KNX22" s="64"/>
      <c r="KNY22" s="64"/>
      <c r="KNZ22" s="64"/>
      <c r="KOA22" s="64"/>
      <c r="KOB22" s="64"/>
      <c r="KOC22" s="64"/>
      <c r="KOD22" s="64"/>
      <c r="KOE22" s="64"/>
      <c r="KOF22" s="64"/>
      <c r="KOG22" s="64"/>
      <c r="KOH22" s="64"/>
      <c r="KOI22" s="64"/>
      <c r="KOJ22" s="64"/>
      <c r="KOK22" s="64"/>
      <c r="KOL22" s="64"/>
      <c r="KOM22" s="64"/>
      <c r="KON22" s="64"/>
      <c r="KOO22" s="64"/>
      <c r="KOP22" s="64"/>
      <c r="KOQ22" s="64"/>
      <c r="KOR22" s="64"/>
      <c r="KOS22" s="64"/>
      <c r="KOT22" s="64"/>
      <c r="KOU22" s="64"/>
      <c r="KOV22" s="64"/>
      <c r="KOW22" s="64"/>
      <c r="KOX22" s="64"/>
      <c r="KOY22" s="64"/>
      <c r="KOZ22" s="64"/>
      <c r="KPA22" s="64"/>
      <c r="KPB22" s="64"/>
      <c r="KPC22" s="64"/>
      <c r="KPD22" s="64"/>
      <c r="KPE22" s="64"/>
      <c r="KPF22" s="64"/>
      <c r="KPG22" s="64"/>
      <c r="KPH22" s="64"/>
      <c r="KPI22" s="64"/>
      <c r="KPJ22" s="64"/>
      <c r="KPK22" s="64"/>
      <c r="KPL22" s="64"/>
      <c r="KPM22" s="64"/>
      <c r="KPN22" s="64"/>
      <c r="KPO22" s="64"/>
      <c r="KPP22" s="64"/>
      <c r="KPQ22" s="64"/>
      <c r="KPR22" s="64"/>
      <c r="KPS22" s="64"/>
      <c r="KPT22" s="64"/>
      <c r="KPU22" s="64"/>
      <c r="KPV22" s="64"/>
      <c r="KPW22" s="64"/>
      <c r="KPX22" s="64"/>
      <c r="KPY22" s="64"/>
      <c r="KPZ22" s="64"/>
      <c r="KQA22" s="64"/>
      <c r="KQB22" s="64"/>
      <c r="KQC22" s="64"/>
      <c r="KQD22" s="64"/>
      <c r="KQE22" s="64"/>
      <c r="KQF22" s="64"/>
      <c r="KQG22" s="64"/>
      <c r="KQH22" s="64"/>
      <c r="KQI22" s="64"/>
      <c r="KQJ22" s="64"/>
      <c r="KQK22" s="64"/>
      <c r="KQL22" s="64"/>
      <c r="KQM22" s="64"/>
      <c r="KQN22" s="64"/>
      <c r="KQO22" s="64"/>
      <c r="KQP22" s="64"/>
      <c r="KQQ22" s="64"/>
      <c r="KQR22" s="64"/>
      <c r="KQS22" s="64"/>
      <c r="KQT22" s="64"/>
      <c r="KQU22" s="64"/>
      <c r="KQV22" s="64"/>
      <c r="KQW22" s="64"/>
      <c r="KQX22" s="64"/>
      <c r="KQY22" s="64"/>
      <c r="KQZ22" s="64"/>
      <c r="KRA22" s="64"/>
      <c r="KRB22" s="64"/>
      <c r="KRC22" s="64"/>
      <c r="KRD22" s="64"/>
      <c r="KRE22" s="64"/>
      <c r="KRF22" s="64"/>
      <c r="KRG22" s="64"/>
      <c r="KRH22" s="64"/>
      <c r="KRI22" s="64"/>
      <c r="KRJ22" s="64"/>
      <c r="KRK22" s="64"/>
      <c r="KRL22" s="64"/>
      <c r="KRM22" s="64"/>
      <c r="KRN22" s="64"/>
      <c r="KRO22" s="64"/>
      <c r="KRP22" s="64"/>
      <c r="KRQ22" s="64"/>
      <c r="KRR22" s="64"/>
      <c r="KRS22" s="64"/>
      <c r="KRT22" s="64"/>
      <c r="KRU22" s="64"/>
      <c r="KRV22" s="64"/>
      <c r="KRW22" s="64"/>
      <c r="KRX22" s="64"/>
      <c r="KRY22" s="64"/>
      <c r="KRZ22" s="64"/>
      <c r="KSA22" s="64"/>
      <c r="KSB22" s="64"/>
      <c r="KSC22" s="64"/>
      <c r="KSD22" s="64"/>
      <c r="KSE22" s="64"/>
      <c r="KSF22" s="64"/>
      <c r="KSG22" s="64"/>
      <c r="KSH22" s="64"/>
      <c r="KSI22" s="64"/>
      <c r="KSJ22" s="64"/>
      <c r="KSK22" s="64"/>
      <c r="KSL22" s="64"/>
      <c r="KSM22" s="64"/>
      <c r="KSN22" s="64"/>
      <c r="KSO22" s="64"/>
      <c r="KSP22" s="64"/>
      <c r="KSQ22" s="64"/>
      <c r="KSR22" s="64"/>
      <c r="KSS22" s="64"/>
      <c r="KST22" s="64"/>
      <c r="KSU22" s="64"/>
      <c r="KSV22" s="64"/>
      <c r="KSW22" s="64"/>
      <c r="KSX22" s="64"/>
      <c r="KSY22" s="64"/>
      <c r="KSZ22" s="64"/>
      <c r="KTA22" s="64"/>
      <c r="KTB22" s="64"/>
      <c r="KTC22" s="64"/>
      <c r="KTD22" s="64"/>
      <c r="KTE22" s="64"/>
      <c r="KTF22" s="64"/>
      <c r="KTG22" s="64"/>
      <c r="KTH22" s="64"/>
      <c r="KTI22" s="64"/>
      <c r="KTJ22" s="64"/>
      <c r="KTK22" s="64"/>
      <c r="KTL22" s="64"/>
      <c r="KTM22" s="64"/>
      <c r="KTN22" s="64"/>
      <c r="KTO22" s="64"/>
      <c r="KTP22" s="64"/>
      <c r="KTQ22" s="64"/>
      <c r="KTR22" s="64"/>
      <c r="KTS22" s="64"/>
      <c r="KTT22" s="64"/>
      <c r="KTU22" s="64"/>
      <c r="KTV22" s="64"/>
      <c r="KTW22" s="64"/>
      <c r="KTX22" s="64"/>
      <c r="KTY22" s="64"/>
      <c r="KTZ22" s="64"/>
      <c r="KUA22" s="64"/>
      <c r="KUB22" s="64"/>
      <c r="KUC22" s="64"/>
      <c r="KUD22" s="64"/>
      <c r="KUE22" s="64"/>
      <c r="KUF22" s="64"/>
      <c r="KUG22" s="64"/>
      <c r="KUH22" s="64"/>
      <c r="KUI22" s="64"/>
      <c r="KUJ22" s="64"/>
      <c r="KUK22" s="64"/>
      <c r="KUL22" s="64"/>
      <c r="KUM22" s="64"/>
      <c r="KUN22" s="64"/>
      <c r="KUO22" s="64"/>
      <c r="KUP22" s="64"/>
      <c r="KUQ22" s="64"/>
      <c r="KUR22" s="64"/>
      <c r="KUS22" s="64"/>
      <c r="KUT22" s="64"/>
      <c r="KUU22" s="64"/>
      <c r="KUV22" s="64"/>
      <c r="KUW22" s="64"/>
      <c r="KUX22" s="64"/>
      <c r="KUY22" s="64"/>
      <c r="KUZ22" s="64"/>
      <c r="KVA22" s="64"/>
      <c r="KVB22" s="64"/>
      <c r="KVC22" s="64"/>
      <c r="KVD22" s="64"/>
      <c r="KVE22" s="64"/>
      <c r="KVF22" s="64"/>
      <c r="KVG22" s="64"/>
      <c r="KVH22" s="64"/>
      <c r="KVI22" s="64"/>
      <c r="KVJ22" s="64"/>
      <c r="KVK22" s="64"/>
      <c r="KVL22" s="64"/>
      <c r="KVM22" s="64"/>
      <c r="KVN22" s="64"/>
      <c r="KVO22" s="64"/>
      <c r="KVP22" s="64"/>
      <c r="KVQ22" s="64"/>
      <c r="KVR22" s="64"/>
      <c r="KVS22" s="64"/>
      <c r="KVT22" s="64"/>
      <c r="KVU22" s="64"/>
      <c r="KVV22" s="64"/>
      <c r="KVW22" s="64"/>
      <c r="KVX22" s="64"/>
      <c r="KVY22" s="64"/>
      <c r="KVZ22" s="64"/>
      <c r="KWA22" s="64"/>
      <c r="KWB22" s="64"/>
      <c r="KWC22" s="64"/>
      <c r="KWD22" s="64"/>
      <c r="KWE22" s="64"/>
      <c r="KWF22" s="64"/>
      <c r="KWG22" s="64"/>
      <c r="KWH22" s="64"/>
      <c r="KWI22" s="64"/>
      <c r="KWJ22" s="64"/>
      <c r="KWK22" s="64"/>
      <c r="KWL22" s="64"/>
      <c r="KWM22" s="64"/>
      <c r="KWN22" s="64"/>
      <c r="KWO22" s="64"/>
      <c r="KWP22" s="64"/>
      <c r="KWQ22" s="64"/>
      <c r="KWR22" s="64"/>
      <c r="KWS22" s="64"/>
      <c r="KWT22" s="64"/>
      <c r="KWU22" s="64"/>
      <c r="KWV22" s="64"/>
      <c r="KWW22" s="64"/>
      <c r="KWX22" s="64"/>
      <c r="KWY22" s="64"/>
      <c r="KWZ22" s="64"/>
      <c r="KXA22" s="64"/>
      <c r="KXB22" s="64"/>
      <c r="KXC22" s="64"/>
      <c r="KXD22" s="64"/>
      <c r="KXE22" s="64"/>
      <c r="KXF22" s="64"/>
      <c r="KXG22" s="64"/>
      <c r="KXH22" s="64"/>
      <c r="KXI22" s="64"/>
      <c r="KXJ22" s="64"/>
      <c r="KXK22" s="64"/>
      <c r="KXL22" s="64"/>
      <c r="KXM22" s="64"/>
      <c r="KXN22" s="64"/>
      <c r="KXO22" s="64"/>
      <c r="KXP22" s="64"/>
      <c r="KXQ22" s="64"/>
      <c r="KXR22" s="64"/>
      <c r="KXS22" s="64"/>
      <c r="KXT22" s="64"/>
      <c r="KXU22" s="64"/>
      <c r="KXV22" s="64"/>
      <c r="KXW22" s="64"/>
      <c r="KXX22" s="64"/>
      <c r="KXY22" s="64"/>
      <c r="KXZ22" s="64"/>
      <c r="KYA22" s="64"/>
      <c r="KYB22" s="64"/>
      <c r="KYC22" s="64"/>
      <c r="KYD22" s="64"/>
      <c r="KYE22" s="64"/>
      <c r="KYF22" s="64"/>
      <c r="KYG22" s="64"/>
      <c r="KYH22" s="64"/>
      <c r="KYI22" s="64"/>
      <c r="KYJ22" s="64"/>
      <c r="KYK22" s="64"/>
      <c r="KYL22" s="64"/>
      <c r="KYM22" s="64"/>
      <c r="KYN22" s="64"/>
      <c r="KYO22" s="64"/>
      <c r="KYP22" s="64"/>
      <c r="KYQ22" s="64"/>
      <c r="KYR22" s="64"/>
      <c r="KYS22" s="64"/>
      <c r="KYT22" s="64"/>
      <c r="KYU22" s="64"/>
      <c r="KYV22" s="64"/>
      <c r="KYW22" s="64"/>
      <c r="KYX22" s="64"/>
      <c r="KYY22" s="64"/>
      <c r="KYZ22" s="64"/>
      <c r="KZA22" s="64"/>
      <c r="KZB22" s="64"/>
      <c r="KZC22" s="64"/>
      <c r="KZD22" s="64"/>
      <c r="KZE22" s="64"/>
      <c r="KZF22" s="64"/>
      <c r="KZG22" s="64"/>
      <c r="KZH22" s="64"/>
      <c r="KZI22" s="64"/>
      <c r="KZJ22" s="64"/>
      <c r="KZK22" s="64"/>
      <c r="KZL22" s="64"/>
      <c r="KZM22" s="64"/>
      <c r="KZN22" s="64"/>
      <c r="KZO22" s="64"/>
      <c r="KZP22" s="64"/>
      <c r="KZQ22" s="64"/>
      <c r="KZR22" s="64"/>
      <c r="KZS22" s="64"/>
      <c r="KZT22" s="64"/>
      <c r="KZU22" s="64"/>
      <c r="KZV22" s="64"/>
      <c r="KZW22" s="64"/>
      <c r="KZX22" s="64"/>
      <c r="KZY22" s="64"/>
      <c r="KZZ22" s="64"/>
      <c r="LAA22" s="64"/>
      <c r="LAB22" s="64"/>
      <c r="LAC22" s="64"/>
      <c r="LAD22" s="64"/>
      <c r="LAE22" s="64"/>
      <c r="LAF22" s="64"/>
      <c r="LAG22" s="64"/>
      <c r="LAH22" s="64"/>
      <c r="LAI22" s="64"/>
      <c r="LAJ22" s="64"/>
      <c r="LAK22" s="64"/>
      <c r="LAL22" s="64"/>
      <c r="LAM22" s="64"/>
      <c r="LAN22" s="64"/>
      <c r="LAO22" s="64"/>
      <c r="LAP22" s="64"/>
      <c r="LAQ22" s="64"/>
      <c r="LAR22" s="64"/>
      <c r="LAS22" s="64"/>
      <c r="LAT22" s="64"/>
      <c r="LAU22" s="64"/>
      <c r="LAV22" s="64"/>
      <c r="LAW22" s="64"/>
      <c r="LAX22" s="64"/>
      <c r="LAY22" s="64"/>
      <c r="LAZ22" s="64"/>
      <c r="LBA22" s="64"/>
      <c r="LBB22" s="64"/>
      <c r="LBC22" s="64"/>
      <c r="LBD22" s="64"/>
      <c r="LBE22" s="64"/>
      <c r="LBF22" s="64"/>
      <c r="LBG22" s="64"/>
      <c r="LBH22" s="64"/>
      <c r="LBI22" s="64"/>
      <c r="LBJ22" s="64"/>
      <c r="LBK22" s="64"/>
      <c r="LBL22" s="64"/>
      <c r="LBM22" s="64"/>
      <c r="LBN22" s="64"/>
      <c r="LBO22" s="64"/>
      <c r="LBP22" s="64"/>
      <c r="LBQ22" s="64"/>
      <c r="LBR22" s="64"/>
      <c r="LBS22" s="64"/>
      <c r="LBT22" s="64"/>
      <c r="LBU22" s="64"/>
      <c r="LBV22" s="64"/>
      <c r="LBW22" s="64"/>
      <c r="LBX22" s="64"/>
      <c r="LBY22" s="64"/>
      <c r="LBZ22" s="64"/>
      <c r="LCA22" s="64"/>
      <c r="LCB22" s="64"/>
      <c r="LCC22" s="64"/>
      <c r="LCD22" s="64"/>
      <c r="LCE22" s="64"/>
      <c r="LCF22" s="64"/>
      <c r="LCG22" s="64"/>
      <c r="LCH22" s="64"/>
      <c r="LCI22" s="64"/>
      <c r="LCJ22" s="64"/>
      <c r="LCK22" s="64"/>
      <c r="LCL22" s="64"/>
      <c r="LCM22" s="64"/>
      <c r="LCN22" s="64"/>
      <c r="LCO22" s="64"/>
      <c r="LCP22" s="64"/>
      <c r="LCQ22" s="64"/>
      <c r="LCR22" s="64"/>
      <c r="LCS22" s="64"/>
      <c r="LCT22" s="64"/>
      <c r="LCU22" s="64"/>
      <c r="LCV22" s="64"/>
      <c r="LCW22" s="64"/>
      <c r="LCX22" s="64"/>
      <c r="LCY22" s="64"/>
      <c r="LCZ22" s="64"/>
      <c r="LDA22" s="64"/>
      <c r="LDB22" s="64"/>
      <c r="LDC22" s="64"/>
      <c r="LDD22" s="64"/>
      <c r="LDE22" s="64"/>
      <c r="LDF22" s="64"/>
      <c r="LDG22" s="64"/>
      <c r="LDH22" s="64"/>
      <c r="LDI22" s="64"/>
      <c r="LDJ22" s="64"/>
      <c r="LDK22" s="64"/>
      <c r="LDL22" s="64"/>
      <c r="LDM22" s="64"/>
      <c r="LDN22" s="64"/>
      <c r="LDO22" s="64"/>
      <c r="LDP22" s="64"/>
      <c r="LDQ22" s="64"/>
      <c r="LDR22" s="64"/>
      <c r="LDS22" s="64"/>
      <c r="LDT22" s="64"/>
      <c r="LDU22" s="64"/>
      <c r="LDV22" s="64"/>
      <c r="LDW22" s="64"/>
      <c r="LDX22" s="64"/>
      <c r="LDY22" s="64"/>
      <c r="LDZ22" s="64"/>
      <c r="LEA22" s="64"/>
      <c r="LEB22" s="64"/>
      <c r="LEC22" s="64"/>
      <c r="LED22" s="64"/>
      <c r="LEE22" s="64"/>
      <c r="LEF22" s="64"/>
      <c r="LEG22" s="64"/>
      <c r="LEH22" s="64"/>
      <c r="LEI22" s="64"/>
      <c r="LEJ22" s="64"/>
      <c r="LEK22" s="64"/>
      <c r="LEL22" s="64"/>
      <c r="LEM22" s="64"/>
      <c r="LEN22" s="64"/>
      <c r="LEO22" s="64"/>
      <c r="LEP22" s="64"/>
      <c r="LEQ22" s="64"/>
      <c r="LER22" s="64"/>
      <c r="LES22" s="64"/>
      <c r="LET22" s="64"/>
      <c r="LEU22" s="64"/>
      <c r="LEV22" s="64"/>
      <c r="LEW22" s="64"/>
      <c r="LEX22" s="64"/>
      <c r="LEY22" s="64"/>
      <c r="LEZ22" s="64"/>
      <c r="LFA22" s="64"/>
      <c r="LFB22" s="64"/>
      <c r="LFC22" s="64"/>
      <c r="LFD22" s="64"/>
      <c r="LFE22" s="64"/>
      <c r="LFF22" s="64"/>
      <c r="LFG22" s="64"/>
      <c r="LFH22" s="64"/>
      <c r="LFI22" s="64"/>
      <c r="LFJ22" s="64"/>
      <c r="LFK22" s="64"/>
      <c r="LFL22" s="64"/>
      <c r="LFM22" s="64"/>
      <c r="LFN22" s="64"/>
      <c r="LFO22" s="64"/>
      <c r="LFP22" s="64"/>
      <c r="LFQ22" s="64"/>
      <c r="LFR22" s="64"/>
      <c r="LFS22" s="64"/>
      <c r="LFT22" s="64"/>
      <c r="LFU22" s="64"/>
      <c r="LFV22" s="64"/>
      <c r="LFW22" s="64"/>
      <c r="LFX22" s="64"/>
      <c r="LFY22" s="64"/>
      <c r="LFZ22" s="64"/>
      <c r="LGA22" s="64"/>
      <c r="LGB22" s="64"/>
      <c r="LGC22" s="64"/>
      <c r="LGD22" s="64"/>
      <c r="LGE22" s="64"/>
      <c r="LGF22" s="64"/>
      <c r="LGG22" s="64"/>
      <c r="LGH22" s="64"/>
      <c r="LGI22" s="64"/>
      <c r="LGJ22" s="64"/>
      <c r="LGK22" s="64"/>
      <c r="LGL22" s="64"/>
      <c r="LGM22" s="64"/>
      <c r="LGN22" s="64"/>
      <c r="LGO22" s="64"/>
      <c r="LGP22" s="64"/>
      <c r="LGQ22" s="64"/>
      <c r="LGR22" s="64"/>
      <c r="LGS22" s="64"/>
      <c r="LGT22" s="64"/>
      <c r="LGU22" s="64"/>
      <c r="LGV22" s="64"/>
      <c r="LGW22" s="64"/>
      <c r="LGX22" s="64"/>
      <c r="LGY22" s="64"/>
      <c r="LGZ22" s="64"/>
      <c r="LHA22" s="64"/>
      <c r="LHB22" s="64"/>
      <c r="LHC22" s="64"/>
      <c r="LHD22" s="64"/>
      <c r="LHE22" s="64"/>
      <c r="LHF22" s="64"/>
      <c r="LHG22" s="64"/>
      <c r="LHH22" s="64"/>
      <c r="LHI22" s="64"/>
      <c r="LHJ22" s="64"/>
      <c r="LHK22" s="64"/>
      <c r="LHL22" s="64"/>
      <c r="LHM22" s="64"/>
      <c r="LHN22" s="64"/>
      <c r="LHO22" s="64"/>
      <c r="LHP22" s="64"/>
      <c r="LHQ22" s="64"/>
      <c r="LHR22" s="64"/>
      <c r="LHS22" s="64"/>
      <c r="LHT22" s="64"/>
      <c r="LHU22" s="64"/>
      <c r="LHV22" s="64"/>
      <c r="LHW22" s="64"/>
      <c r="LHX22" s="64"/>
      <c r="LHY22" s="64"/>
      <c r="LHZ22" s="64"/>
      <c r="LIA22" s="64"/>
      <c r="LIB22" s="64"/>
      <c r="LIC22" s="64"/>
      <c r="LID22" s="64"/>
      <c r="LIE22" s="64"/>
      <c r="LIF22" s="64"/>
      <c r="LIG22" s="64"/>
      <c r="LIH22" s="64"/>
      <c r="LII22" s="64"/>
      <c r="LIJ22" s="64"/>
      <c r="LIK22" s="64"/>
      <c r="LIL22" s="64"/>
      <c r="LIM22" s="64"/>
      <c r="LIN22" s="64"/>
      <c r="LIO22" s="64"/>
      <c r="LIP22" s="64"/>
      <c r="LIQ22" s="64"/>
      <c r="LIR22" s="64"/>
      <c r="LIS22" s="64"/>
      <c r="LIT22" s="64"/>
      <c r="LIU22" s="64"/>
      <c r="LIV22" s="64"/>
      <c r="LIW22" s="64"/>
      <c r="LIX22" s="64"/>
      <c r="LIY22" s="64"/>
      <c r="LIZ22" s="64"/>
      <c r="LJA22" s="64"/>
      <c r="LJB22" s="64"/>
      <c r="LJC22" s="64"/>
      <c r="LJD22" s="64"/>
      <c r="LJE22" s="64"/>
      <c r="LJF22" s="64"/>
      <c r="LJG22" s="64"/>
      <c r="LJH22" s="64"/>
      <c r="LJI22" s="64"/>
      <c r="LJJ22" s="64"/>
      <c r="LJK22" s="64"/>
      <c r="LJL22" s="64"/>
      <c r="LJM22" s="64"/>
      <c r="LJN22" s="64"/>
      <c r="LJO22" s="64"/>
      <c r="LJP22" s="64"/>
      <c r="LJQ22" s="64"/>
      <c r="LJR22" s="64"/>
      <c r="LJS22" s="64"/>
      <c r="LJT22" s="64"/>
      <c r="LJU22" s="64"/>
      <c r="LJV22" s="64"/>
      <c r="LJW22" s="64"/>
      <c r="LJX22" s="64"/>
      <c r="LJY22" s="64"/>
      <c r="LJZ22" s="64"/>
      <c r="LKA22" s="64"/>
      <c r="LKB22" s="64"/>
      <c r="LKC22" s="64"/>
      <c r="LKD22" s="64"/>
      <c r="LKE22" s="64"/>
      <c r="LKF22" s="64"/>
      <c r="LKG22" s="64"/>
      <c r="LKH22" s="64"/>
      <c r="LKI22" s="64"/>
      <c r="LKJ22" s="64"/>
      <c r="LKK22" s="64"/>
      <c r="LKL22" s="64"/>
      <c r="LKM22" s="64"/>
      <c r="LKN22" s="64"/>
      <c r="LKO22" s="64"/>
      <c r="LKP22" s="64"/>
      <c r="LKQ22" s="64"/>
      <c r="LKR22" s="64"/>
      <c r="LKS22" s="64"/>
      <c r="LKT22" s="64"/>
      <c r="LKU22" s="64"/>
      <c r="LKV22" s="64"/>
      <c r="LKW22" s="64"/>
      <c r="LKX22" s="64"/>
      <c r="LKY22" s="64"/>
      <c r="LKZ22" s="64"/>
      <c r="LLA22" s="64"/>
      <c r="LLB22" s="64"/>
      <c r="LLC22" s="64"/>
      <c r="LLD22" s="64"/>
      <c r="LLE22" s="64"/>
      <c r="LLF22" s="64"/>
      <c r="LLG22" s="64"/>
      <c r="LLH22" s="64"/>
      <c r="LLI22" s="64"/>
      <c r="LLJ22" s="64"/>
      <c r="LLK22" s="64"/>
      <c r="LLL22" s="64"/>
      <c r="LLM22" s="64"/>
      <c r="LLN22" s="64"/>
      <c r="LLO22" s="64"/>
      <c r="LLP22" s="64"/>
      <c r="LLQ22" s="64"/>
      <c r="LLR22" s="64"/>
      <c r="LLS22" s="64"/>
      <c r="LLT22" s="64"/>
      <c r="LLU22" s="64"/>
      <c r="LLV22" s="64"/>
      <c r="LLW22" s="64"/>
      <c r="LLX22" s="64"/>
      <c r="LLY22" s="64"/>
      <c r="LLZ22" s="64"/>
      <c r="LMA22" s="64"/>
      <c r="LMB22" s="64"/>
      <c r="LMC22" s="64"/>
      <c r="LMD22" s="64"/>
      <c r="LME22" s="64"/>
      <c r="LMF22" s="64"/>
      <c r="LMG22" s="64"/>
      <c r="LMH22" s="64"/>
      <c r="LMI22" s="64"/>
      <c r="LMJ22" s="64"/>
      <c r="LMK22" s="64"/>
      <c r="LML22" s="64"/>
      <c r="LMM22" s="64"/>
      <c r="LMN22" s="64"/>
      <c r="LMO22" s="64"/>
      <c r="LMP22" s="64"/>
      <c r="LMQ22" s="64"/>
      <c r="LMR22" s="64"/>
      <c r="LMS22" s="64"/>
      <c r="LMT22" s="64"/>
      <c r="LMU22" s="64"/>
      <c r="LMV22" s="64"/>
      <c r="LMW22" s="64"/>
      <c r="LMX22" s="64"/>
      <c r="LMY22" s="64"/>
      <c r="LMZ22" s="64"/>
      <c r="LNA22" s="64"/>
      <c r="LNB22" s="64"/>
      <c r="LNC22" s="64"/>
      <c r="LND22" s="64"/>
      <c r="LNE22" s="64"/>
      <c r="LNF22" s="64"/>
      <c r="LNG22" s="64"/>
      <c r="LNH22" s="64"/>
      <c r="LNI22" s="64"/>
      <c r="LNJ22" s="64"/>
      <c r="LNK22" s="64"/>
      <c r="LNL22" s="64"/>
      <c r="LNM22" s="64"/>
      <c r="LNN22" s="64"/>
      <c r="LNO22" s="64"/>
      <c r="LNP22" s="64"/>
      <c r="LNQ22" s="64"/>
      <c r="LNR22" s="64"/>
      <c r="LNS22" s="64"/>
      <c r="LNT22" s="64"/>
      <c r="LNU22" s="64"/>
      <c r="LNV22" s="64"/>
      <c r="LNW22" s="64"/>
      <c r="LNX22" s="64"/>
      <c r="LNY22" s="64"/>
      <c r="LNZ22" s="64"/>
      <c r="LOA22" s="64"/>
      <c r="LOB22" s="64"/>
      <c r="LOC22" s="64"/>
      <c r="LOD22" s="64"/>
      <c r="LOE22" s="64"/>
      <c r="LOF22" s="64"/>
      <c r="LOG22" s="64"/>
      <c r="LOH22" s="64"/>
      <c r="LOI22" s="64"/>
      <c r="LOJ22" s="64"/>
      <c r="LOK22" s="64"/>
      <c r="LOL22" s="64"/>
      <c r="LOM22" s="64"/>
      <c r="LON22" s="64"/>
      <c r="LOO22" s="64"/>
      <c r="LOP22" s="64"/>
      <c r="LOQ22" s="64"/>
      <c r="LOR22" s="64"/>
      <c r="LOS22" s="64"/>
      <c r="LOT22" s="64"/>
      <c r="LOU22" s="64"/>
      <c r="LOV22" s="64"/>
      <c r="LOW22" s="64"/>
      <c r="LOX22" s="64"/>
      <c r="LOY22" s="64"/>
      <c r="LOZ22" s="64"/>
      <c r="LPA22" s="64"/>
      <c r="LPB22" s="64"/>
      <c r="LPC22" s="64"/>
      <c r="LPD22" s="64"/>
      <c r="LPE22" s="64"/>
      <c r="LPF22" s="64"/>
      <c r="LPG22" s="64"/>
      <c r="LPH22" s="64"/>
      <c r="LPI22" s="64"/>
      <c r="LPJ22" s="64"/>
      <c r="LPK22" s="64"/>
      <c r="LPL22" s="64"/>
      <c r="LPM22" s="64"/>
      <c r="LPN22" s="64"/>
      <c r="LPO22" s="64"/>
      <c r="LPP22" s="64"/>
      <c r="LPQ22" s="64"/>
      <c r="LPR22" s="64"/>
      <c r="LPS22" s="64"/>
      <c r="LPT22" s="64"/>
      <c r="LPU22" s="64"/>
      <c r="LPV22" s="64"/>
      <c r="LPW22" s="64"/>
      <c r="LPX22" s="64"/>
      <c r="LPY22" s="64"/>
      <c r="LPZ22" s="64"/>
      <c r="LQA22" s="64"/>
      <c r="LQB22" s="64"/>
      <c r="LQC22" s="64"/>
      <c r="LQD22" s="64"/>
      <c r="LQE22" s="64"/>
      <c r="LQF22" s="64"/>
      <c r="LQG22" s="64"/>
      <c r="LQH22" s="64"/>
      <c r="LQI22" s="64"/>
      <c r="LQJ22" s="64"/>
      <c r="LQK22" s="64"/>
      <c r="LQL22" s="64"/>
      <c r="LQM22" s="64"/>
      <c r="LQN22" s="64"/>
      <c r="LQO22" s="64"/>
      <c r="LQP22" s="64"/>
      <c r="LQQ22" s="64"/>
      <c r="LQR22" s="64"/>
      <c r="LQS22" s="64"/>
      <c r="LQT22" s="64"/>
      <c r="LQU22" s="64"/>
      <c r="LQV22" s="64"/>
      <c r="LQW22" s="64"/>
      <c r="LQX22" s="64"/>
      <c r="LQY22" s="64"/>
      <c r="LQZ22" s="64"/>
      <c r="LRA22" s="64"/>
      <c r="LRB22" s="64"/>
      <c r="LRC22" s="64"/>
      <c r="LRD22" s="64"/>
      <c r="LRE22" s="64"/>
      <c r="LRF22" s="64"/>
      <c r="LRG22" s="64"/>
      <c r="LRH22" s="64"/>
      <c r="LRI22" s="64"/>
      <c r="LRJ22" s="64"/>
      <c r="LRK22" s="64"/>
      <c r="LRL22" s="64"/>
      <c r="LRM22" s="64"/>
      <c r="LRN22" s="64"/>
      <c r="LRO22" s="64"/>
      <c r="LRP22" s="64"/>
      <c r="LRQ22" s="64"/>
      <c r="LRR22" s="64"/>
      <c r="LRS22" s="64"/>
      <c r="LRT22" s="64"/>
      <c r="LRU22" s="64"/>
      <c r="LRV22" s="64"/>
      <c r="LRW22" s="64"/>
      <c r="LRX22" s="64"/>
      <c r="LRY22" s="64"/>
      <c r="LRZ22" s="64"/>
      <c r="LSA22" s="64"/>
      <c r="LSB22" s="64"/>
      <c r="LSC22" s="64"/>
      <c r="LSD22" s="64"/>
      <c r="LSE22" s="64"/>
      <c r="LSF22" s="64"/>
      <c r="LSG22" s="64"/>
      <c r="LSH22" s="64"/>
      <c r="LSI22" s="64"/>
      <c r="LSJ22" s="64"/>
      <c r="LSK22" s="64"/>
      <c r="LSL22" s="64"/>
      <c r="LSM22" s="64"/>
      <c r="LSN22" s="64"/>
      <c r="LSO22" s="64"/>
      <c r="LSP22" s="64"/>
      <c r="LSQ22" s="64"/>
      <c r="LSR22" s="64"/>
      <c r="LSS22" s="64"/>
      <c r="LST22" s="64"/>
      <c r="LSU22" s="64"/>
      <c r="LSV22" s="64"/>
      <c r="LSW22" s="64"/>
      <c r="LSX22" s="64"/>
      <c r="LSY22" s="64"/>
      <c r="LSZ22" s="64"/>
      <c r="LTA22" s="64"/>
      <c r="LTB22" s="64"/>
      <c r="LTC22" s="64"/>
      <c r="LTD22" s="64"/>
      <c r="LTE22" s="64"/>
      <c r="LTF22" s="64"/>
      <c r="LTG22" s="64"/>
      <c r="LTH22" s="64"/>
      <c r="LTI22" s="64"/>
      <c r="LTJ22" s="64"/>
      <c r="LTK22" s="64"/>
      <c r="LTL22" s="64"/>
      <c r="LTM22" s="64"/>
      <c r="LTN22" s="64"/>
      <c r="LTO22" s="64"/>
      <c r="LTP22" s="64"/>
      <c r="LTQ22" s="64"/>
      <c r="LTR22" s="64"/>
      <c r="LTS22" s="64"/>
      <c r="LTT22" s="64"/>
      <c r="LTU22" s="64"/>
      <c r="LTV22" s="64"/>
      <c r="LTW22" s="64"/>
      <c r="LTX22" s="64"/>
      <c r="LTY22" s="64"/>
      <c r="LTZ22" s="64"/>
      <c r="LUA22" s="64"/>
      <c r="LUB22" s="64"/>
      <c r="LUC22" s="64"/>
      <c r="LUD22" s="64"/>
      <c r="LUE22" s="64"/>
      <c r="LUF22" s="64"/>
      <c r="LUG22" s="64"/>
      <c r="LUH22" s="64"/>
      <c r="LUI22" s="64"/>
      <c r="LUJ22" s="64"/>
      <c r="LUK22" s="64"/>
      <c r="LUL22" s="64"/>
      <c r="LUM22" s="64"/>
      <c r="LUN22" s="64"/>
      <c r="LUO22" s="64"/>
      <c r="LUP22" s="64"/>
      <c r="LUQ22" s="64"/>
      <c r="LUR22" s="64"/>
      <c r="LUS22" s="64"/>
      <c r="LUT22" s="64"/>
      <c r="LUU22" s="64"/>
      <c r="LUV22" s="64"/>
      <c r="LUW22" s="64"/>
      <c r="LUX22" s="64"/>
      <c r="LUY22" s="64"/>
      <c r="LUZ22" s="64"/>
      <c r="LVA22" s="64"/>
      <c r="LVB22" s="64"/>
      <c r="LVC22" s="64"/>
      <c r="LVD22" s="64"/>
      <c r="LVE22" s="64"/>
      <c r="LVF22" s="64"/>
      <c r="LVG22" s="64"/>
      <c r="LVH22" s="64"/>
      <c r="LVI22" s="64"/>
      <c r="LVJ22" s="64"/>
      <c r="LVK22" s="64"/>
      <c r="LVL22" s="64"/>
      <c r="LVM22" s="64"/>
      <c r="LVN22" s="64"/>
      <c r="LVO22" s="64"/>
      <c r="LVP22" s="64"/>
      <c r="LVQ22" s="64"/>
      <c r="LVR22" s="64"/>
      <c r="LVS22" s="64"/>
      <c r="LVT22" s="64"/>
      <c r="LVU22" s="64"/>
      <c r="LVV22" s="64"/>
      <c r="LVW22" s="64"/>
      <c r="LVX22" s="64"/>
      <c r="LVY22" s="64"/>
      <c r="LVZ22" s="64"/>
      <c r="LWA22" s="64"/>
      <c r="LWB22" s="64"/>
      <c r="LWC22" s="64"/>
      <c r="LWD22" s="64"/>
      <c r="LWE22" s="64"/>
      <c r="LWF22" s="64"/>
      <c r="LWG22" s="64"/>
      <c r="LWH22" s="64"/>
      <c r="LWI22" s="64"/>
      <c r="LWJ22" s="64"/>
      <c r="LWK22" s="64"/>
      <c r="LWL22" s="64"/>
      <c r="LWM22" s="64"/>
      <c r="LWN22" s="64"/>
      <c r="LWO22" s="64"/>
      <c r="LWP22" s="64"/>
      <c r="LWQ22" s="64"/>
      <c r="LWR22" s="64"/>
      <c r="LWS22" s="64"/>
      <c r="LWT22" s="64"/>
      <c r="LWU22" s="64"/>
      <c r="LWV22" s="64"/>
      <c r="LWW22" s="64"/>
      <c r="LWX22" s="64"/>
      <c r="LWY22" s="64"/>
      <c r="LWZ22" s="64"/>
      <c r="LXA22" s="64"/>
      <c r="LXB22" s="64"/>
      <c r="LXC22" s="64"/>
      <c r="LXD22" s="64"/>
      <c r="LXE22" s="64"/>
      <c r="LXF22" s="64"/>
      <c r="LXG22" s="64"/>
      <c r="LXH22" s="64"/>
      <c r="LXI22" s="64"/>
      <c r="LXJ22" s="64"/>
      <c r="LXK22" s="64"/>
      <c r="LXL22" s="64"/>
      <c r="LXM22" s="64"/>
      <c r="LXN22" s="64"/>
      <c r="LXO22" s="64"/>
      <c r="LXP22" s="64"/>
      <c r="LXQ22" s="64"/>
      <c r="LXR22" s="64"/>
      <c r="LXS22" s="64"/>
      <c r="LXT22" s="64"/>
      <c r="LXU22" s="64"/>
      <c r="LXV22" s="64"/>
      <c r="LXW22" s="64"/>
      <c r="LXX22" s="64"/>
      <c r="LXY22" s="64"/>
      <c r="LXZ22" s="64"/>
      <c r="LYA22" s="64"/>
      <c r="LYB22" s="64"/>
      <c r="LYC22" s="64"/>
      <c r="LYD22" s="64"/>
      <c r="LYE22" s="64"/>
      <c r="LYF22" s="64"/>
      <c r="LYG22" s="64"/>
      <c r="LYH22" s="64"/>
      <c r="LYI22" s="64"/>
      <c r="LYJ22" s="64"/>
      <c r="LYK22" s="64"/>
      <c r="LYL22" s="64"/>
      <c r="LYM22" s="64"/>
      <c r="LYN22" s="64"/>
      <c r="LYO22" s="64"/>
      <c r="LYP22" s="64"/>
      <c r="LYQ22" s="64"/>
      <c r="LYR22" s="64"/>
      <c r="LYS22" s="64"/>
      <c r="LYT22" s="64"/>
      <c r="LYU22" s="64"/>
      <c r="LYV22" s="64"/>
      <c r="LYW22" s="64"/>
      <c r="LYX22" s="64"/>
      <c r="LYY22" s="64"/>
      <c r="LYZ22" s="64"/>
      <c r="LZA22" s="64"/>
      <c r="LZB22" s="64"/>
      <c r="LZC22" s="64"/>
      <c r="LZD22" s="64"/>
      <c r="LZE22" s="64"/>
      <c r="LZF22" s="64"/>
      <c r="LZG22" s="64"/>
      <c r="LZH22" s="64"/>
      <c r="LZI22" s="64"/>
      <c r="LZJ22" s="64"/>
      <c r="LZK22" s="64"/>
      <c r="LZL22" s="64"/>
      <c r="LZM22" s="64"/>
      <c r="LZN22" s="64"/>
      <c r="LZO22" s="64"/>
      <c r="LZP22" s="64"/>
      <c r="LZQ22" s="64"/>
      <c r="LZR22" s="64"/>
      <c r="LZS22" s="64"/>
      <c r="LZT22" s="64"/>
      <c r="LZU22" s="64"/>
      <c r="LZV22" s="64"/>
      <c r="LZW22" s="64"/>
      <c r="LZX22" s="64"/>
      <c r="LZY22" s="64"/>
      <c r="LZZ22" s="64"/>
      <c r="MAA22" s="64"/>
      <c r="MAB22" s="64"/>
      <c r="MAC22" s="64"/>
      <c r="MAD22" s="64"/>
      <c r="MAE22" s="64"/>
      <c r="MAF22" s="64"/>
      <c r="MAG22" s="64"/>
      <c r="MAH22" s="64"/>
      <c r="MAI22" s="64"/>
      <c r="MAJ22" s="64"/>
      <c r="MAK22" s="64"/>
      <c r="MAL22" s="64"/>
      <c r="MAM22" s="64"/>
      <c r="MAN22" s="64"/>
      <c r="MAO22" s="64"/>
      <c r="MAP22" s="64"/>
      <c r="MAQ22" s="64"/>
      <c r="MAR22" s="64"/>
      <c r="MAS22" s="64"/>
      <c r="MAT22" s="64"/>
      <c r="MAU22" s="64"/>
      <c r="MAV22" s="64"/>
      <c r="MAW22" s="64"/>
      <c r="MAX22" s="64"/>
      <c r="MAY22" s="64"/>
      <c r="MAZ22" s="64"/>
      <c r="MBA22" s="64"/>
      <c r="MBB22" s="64"/>
      <c r="MBC22" s="64"/>
      <c r="MBD22" s="64"/>
      <c r="MBE22" s="64"/>
      <c r="MBF22" s="64"/>
      <c r="MBG22" s="64"/>
      <c r="MBH22" s="64"/>
      <c r="MBI22" s="64"/>
      <c r="MBJ22" s="64"/>
      <c r="MBK22" s="64"/>
      <c r="MBL22" s="64"/>
      <c r="MBM22" s="64"/>
      <c r="MBN22" s="64"/>
      <c r="MBO22" s="64"/>
      <c r="MBP22" s="64"/>
      <c r="MBQ22" s="64"/>
      <c r="MBR22" s="64"/>
      <c r="MBS22" s="64"/>
      <c r="MBT22" s="64"/>
      <c r="MBU22" s="64"/>
      <c r="MBV22" s="64"/>
      <c r="MBW22" s="64"/>
      <c r="MBX22" s="64"/>
      <c r="MBY22" s="64"/>
      <c r="MBZ22" s="64"/>
      <c r="MCA22" s="64"/>
      <c r="MCB22" s="64"/>
      <c r="MCC22" s="64"/>
      <c r="MCD22" s="64"/>
      <c r="MCE22" s="64"/>
      <c r="MCF22" s="64"/>
      <c r="MCG22" s="64"/>
      <c r="MCH22" s="64"/>
      <c r="MCI22" s="64"/>
      <c r="MCJ22" s="64"/>
      <c r="MCK22" s="64"/>
      <c r="MCL22" s="64"/>
      <c r="MCM22" s="64"/>
      <c r="MCN22" s="64"/>
      <c r="MCO22" s="64"/>
      <c r="MCP22" s="64"/>
      <c r="MCQ22" s="64"/>
      <c r="MCR22" s="64"/>
      <c r="MCS22" s="64"/>
      <c r="MCT22" s="64"/>
      <c r="MCU22" s="64"/>
      <c r="MCV22" s="64"/>
      <c r="MCW22" s="64"/>
      <c r="MCX22" s="64"/>
      <c r="MCY22" s="64"/>
      <c r="MCZ22" s="64"/>
      <c r="MDA22" s="64"/>
      <c r="MDB22" s="64"/>
      <c r="MDC22" s="64"/>
      <c r="MDD22" s="64"/>
      <c r="MDE22" s="64"/>
      <c r="MDF22" s="64"/>
      <c r="MDG22" s="64"/>
      <c r="MDH22" s="64"/>
      <c r="MDI22" s="64"/>
      <c r="MDJ22" s="64"/>
      <c r="MDK22" s="64"/>
      <c r="MDL22" s="64"/>
      <c r="MDM22" s="64"/>
      <c r="MDN22" s="64"/>
      <c r="MDO22" s="64"/>
      <c r="MDP22" s="64"/>
      <c r="MDQ22" s="64"/>
      <c r="MDR22" s="64"/>
      <c r="MDS22" s="64"/>
      <c r="MDT22" s="64"/>
      <c r="MDU22" s="64"/>
      <c r="MDV22" s="64"/>
      <c r="MDW22" s="64"/>
      <c r="MDX22" s="64"/>
      <c r="MDY22" s="64"/>
      <c r="MDZ22" s="64"/>
      <c r="MEA22" s="64"/>
      <c r="MEB22" s="64"/>
      <c r="MEC22" s="64"/>
      <c r="MED22" s="64"/>
      <c r="MEE22" s="64"/>
      <c r="MEF22" s="64"/>
      <c r="MEG22" s="64"/>
      <c r="MEH22" s="64"/>
      <c r="MEI22" s="64"/>
      <c r="MEJ22" s="64"/>
      <c r="MEK22" s="64"/>
      <c r="MEL22" s="64"/>
      <c r="MEM22" s="64"/>
      <c r="MEN22" s="64"/>
      <c r="MEO22" s="64"/>
      <c r="MEP22" s="64"/>
      <c r="MEQ22" s="64"/>
      <c r="MER22" s="64"/>
      <c r="MES22" s="64"/>
      <c r="MET22" s="64"/>
      <c r="MEU22" s="64"/>
      <c r="MEV22" s="64"/>
      <c r="MEW22" s="64"/>
      <c r="MEX22" s="64"/>
      <c r="MEY22" s="64"/>
      <c r="MEZ22" s="64"/>
      <c r="MFA22" s="64"/>
      <c r="MFB22" s="64"/>
      <c r="MFC22" s="64"/>
      <c r="MFD22" s="64"/>
      <c r="MFE22" s="64"/>
      <c r="MFF22" s="64"/>
      <c r="MFG22" s="64"/>
      <c r="MFH22" s="64"/>
      <c r="MFI22" s="64"/>
      <c r="MFJ22" s="64"/>
      <c r="MFK22" s="64"/>
      <c r="MFL22" s="64"/>
      <c r="MFM22" s="64"/>
      <c r="MFN22" s="64"/>
      <c r="MFO22" s="64"/>
      <c r="MFP22" s="64"/>
      <c r="MFQ22" s="64"/>
      <c r="MFR22" s="64"/>
      <c r="MFS22" s="64"/>
      <c r="MFT22" s="64"/>
      <c r="MFU22" s="64"/>
      <c r="MFV22" s="64"/>
      <c r="MFW22" s="64"/>
      <c r="MFX22" s="64"/>
      <c r="MFY22" s="64"/>
      <c r="MFZ22" s="64"/>
      <c r="MGA22" s="64"/>
      <c r="MGB22" s="64"/>
      <c r="MGC22" s="64"/>
      <c r="MGD22" s="64"/>
      <c r="MGE22" s="64"/>
      <c r="MGF22" s="64"/>
      <c r="MGG22" s="64"/>
      <c r="MGH22" s="64"/>
      <c r="MGI22" s="64"/>
      <c r="MGJ22" s="64"/>
      <c r="MGK22" s="64"/>
      <c r="MGL22" s="64"/>
      <c r="MGM22" s="64"/>
      <c r="MGN22" s="64"/>
      <c r="MGO22" s="64"/>
      <c r="MGP22" s="64"/>
      <c r="MGQ22" s="64"/>
      <c r="MGR22" s="64"/>
      <c r="MGS22" s="64"/>
      <c r="MGT22" s="64"/>
      <c r="MGU22" s="64"/>
      <c r="MGV22" s="64"/>
      <c r="MGW22" s="64"/>
      <c r="MGX22" s="64"/>
      <c r="MGY22" s="64"/>
      <c r="MGZ22" s="64"/>
      <c r="MHA22" s="64"/>
      <c r="MHB22" s="64"/>
      <c r="MHC22" s="64"/>
      <c r="MHD22" s="64"/>
      <c r="MHE22" s="64"/>
      <c r="MHF22" s="64"/>
      <c r="MHG22" s="64"/>
      <c r="MHH22" s="64"/>
      <c r="MHI22" s="64"/>
      <c r="MHJ22" s="64"/>
      <c r="MHK22" s="64"/>
      <c r="MHL22" s="64"/>
      <c r="MHM22" s="64"/>
      <c r="MHN22" s="64"/>
      <c r="MHO22" s="64"/>
      <c r="MHP22" s="64"/>
      <c r="MHQ22" s="64"/>
      <c r="MHR22" s="64"/>
      <c r="MHS22" s="64"/>
      <c r="MHT22" s="64"/>
      <c r="MHU22" s="64"/>
      <c r="MHV22" s="64"/>
      <c r="MHW22" s="64"/>
      <c r="MHX22" s="64"/>
      <c r="MHY22" s="64"/>
      <c r="MHZ22" s="64"/>
      <c r="MIA22" s="64"/>
      <c r="MIB22" s="64"/>
      <c r="MIC22" s="64"/>
      <c r="MID22" s="64"/>
      <c r="MIE22" s="64"/>
      <c r="MIF22" s="64"/>
      <c r="MIG22" s="64"/>
      <c r="MIH22" s="64"/>
      <c r="MII22" s="64"/>
      <c r="MIJ22" s="64"/>
      <c r="MIK22" s="64"/>
      <c r="MIL22" s="64"/>
      <c r="MIM22" s="64"/>
      <c r="MIN22" s="64"/>
      <c r="MIO22" s="64"/>
      <c r="MIP22" s="64"/>
      <c r="MIQ22" s="64"/>
      <c r="MIR22" s="64"/>
      <c r="MIS22" s="64"/>
      <c r="MIT22" s="64"/>
      <c r="MIU22" s="64"/>
      <c r="MIV22" s="64"/>
      <c r="MIW22" s="64"/>
      <c r="MIX22" s="64"/>
      <c r="MIY22" s="64"/>
      <c r="MIZ22" s="64"/>
      <c r="MJA22" s="64"/>
      <c r="MJB22" s="64"/>
      <c r="MJC22" s="64"/>
      <c r="MJD22" s="64"/>
      <c r="MJE22" s="64"/>
      <c r="MJF22" s="64"/>
      <c r="MJG22" s="64"/>
      <c r="MJH22" s="64"/>
      <c r="MJI22" s="64"/>
      <c r="MJJ22" s="64"/>
      <c r="MJK22" s="64"/>
      <c r="MJL22" s="64"/>
      <c r="MJM22" s="64"/>
      <c r="MJN22" s="64"/>
      <c r="MJO22" s="64"/>
      <c r="MJP22" s="64"/>
      <c r="MJQ22" s="64"/>
      <c r="MJR22" s="64"/>
      <c r="MJS22" s="64"/>
      <c r="MJT22" s="64"/>
      <c r="MJU22" s="64"/>
      <c r="MJV22" s="64"/>
      <c r="MJW22" s="64"/>
      <c r="MJX22" s="64"/>
      <c r="MJY22" s="64"/>
      <c r="MJZ22" s="64"/>
      <c r="MKA22" s="64"/>
      <c r="MKB22" s="64"/>
      <c r="MKC22" s="64"/>
      <c r="MKD22" s="64"/>
      <c r="MKE22" s="64"/>
      <c r="MKF22" s="64"/>
      <c r="MKG22" s="64"/>
      <c r="MKH22" s="64"/>
      <c r="MKI22" s="64"/>
      <c r="MKJ22" s="64"/>
      <c r="MKK22" s="64"/>
      <c r="MKL22" s="64"/>
      <c r="MKM22" s="64"/>
      <c r="MKN22" s="64"/>
      <c r="MKO22" s="64"/>
      <c r="MKP22" s="64"/>
      <c r="MKQ22" s="64"/>
      <c r="MKR22" s="64"/>
      <c r="MKS22" s="64"/>
      <c r="MKT22" s="64"/>
      <c r="MKU22" s="64"/>
      <c r="MKV22" s="64"/>
      <c r="MKW22" s="64"/>
      <c r="MKX22" s="64"/>
      <c r="MKY22" s="64"/>
      <c r="MKZ22" s="64"/>
      <c r="MLA22" s="64"/>
      <c r="MLB22" s="64"/>
      <c r="MLC22" s="64"/>
      <c r="MLD22" s="64"/>
      <c r="MLE22" s="64"/>
      <c r="MLF22" s="64"/>
      <c r="MLG22" s="64"/>
      <c r="MLH22" s="64"/>
      <c r="MLI22" s="64"/>
      <c r="MLJ22" s="64"/>
      <c r="MLK22" s="64"/>
      <c r="MLL22" s="64"/>
      <c r="MLM22" s="64"/>
      <c r="MLN22" s="64"/>
      <c r="MLO22" s="64"/>
      <c r="MLP22" s="64"/>
      <c r="MLQ22" s="64"/>
      <c r="MLR22" s="64"/>
      <c r="MLS22" s="64"/>
      <c r="MLT22" s="64"/>
      <c r="MLU22" s="64"/>
      <c r="MLV22" s="64"/>
      <c r="MLW22" s="64"/>
      <c r="MLX22" s="64"/>
      <c r="MLY22" s="64"/>
      <c r="MLZ22" s="64"/>
      <c r="MMA22" s="64"/>
      <c r="MMB22" s="64"/>
      <c r="MMC22" s="64"/>
      <c r="MMD22" s="64"/>
      <c r="MME22" s="64"/>
      <c r="MMF22" s="64"/>
      <c r="MMG22" s="64"/>
      <c r="MMH22" s="64"/>
      <c r="MMI22" s="64"/>
      <c r="MMJ22" s="64"/>
      <c r="MMK22" s="64"/>
      <c r="MML22" s="64"/>
      <c r="MMM22" s="64"/>
      <c r="MMN22" s="64"/>
      <c r="MMO22" s="64"/>
      <c r="MMP22" s="64"/>
      <c r="MMQ22" s="64"/>
      <c r="MMR22" s="64"/>
      <c r="MMS22" s="64"/>
      <c r="MMT22" s="64"/>
      <c r="MMU22" s="64"/>
      <c r="MMV22" s="64"/>
      <c r="MMW22" s="64"/>
      <c r="MMX22" s="64"/>
      <c r="MMY22" s="64"/>
      <c r="MMZ22" s="64"/>
      <c r="MNA22" s="64"/>
      <c r="MNB22" s="64"/>
      <c r="MNC22" s="64"/>
      <c r="MND22" s="64"/>
      <c r="MNE22" s="64"/>
      <c r="MNF22" s="64"/>
      <c r="MNG22" s="64"/>
      <c r="MNH22" s="64"/>
      <c r="MNI22" s="64"/>
      <c r="MNJ22" s="64"/>
      <c r="MNK22" s="64"/>
      <c r="MNL22" s="64"/>
      <c r="MNM22" s="64"/>
      <c r="MNN22" s="64"/>
      <c r="MNO22" s="64"/>
      <c r="MNP22" s="64"/>
      <c r="MNQ22" s="64"/>
      <c r="MNR22" s="64"/>
      <c r="MNS22" s="64"/>
      <c r="MNT22" s="64"/>
      <c r="MNU22" s="64"/>
      <c r="MNV22" s="64"/>
      <c r="MNW22" s="64"/>
      <c r="MNX22" s="64"/>
      <c r="MNY22" s="64"/>
      <c r="MNZ22" s="64"/>
      <c r="MOA22" s="64"/>
      <c r="MOB22" s="64"/>
      <c r="MOC22" s="64"/>
      <c r="MOD22" s="64"/>
      <c r="MOE22" s="64"/>
      <c r="MOF22" s="64"/>
      <c r="MOG22" s="64"/>
      <c r="MOH22" s="64"/>
      <c r="MOI22" s="64"/>
      <c r="MOJ22" s="64"/>
      <c r="MOK22" s="64"/>
      <c r="MOL22" s="64"/>
      <c r="MOM22" s="64"/>
      <c r="MON22" s="64"/>
      <c r="MOO22" s="64"/>
      <c r="MOP22" s="64"/>
      <c r="MOQ22" s="64"/>
      <c r="MOR22" s="64"/>
      <c r="MOS22" s="64"/>
      <c r="MOT22" s="64"/>
      <c r="MOU22" s="64"/>
      <c r="MOV22" s="64"/>
      <c r="MOW22" s="64"/>
      <c r="MOX22" s="64"/>
      <c r="MOY22" s="64"/>
      <c r="MOZ22" s="64"/>
      <c r="MPA22" s="64"/>
      <c r="MPB22" s="64"/>
      <c r="MPC22" s="64"/>
      <c r="MPD22" s="64"/>
      <c r="MPE22" s="64"/>
      <c r="MPF22" s="64"/>
      <c r="MPG22" s="64"/>
      <c r="MPH22" s="64"/>
      <c r="MPI22" s="64"/>
      <c r="MPJ22" s="64"/>
      <c r="MPK22" s="64"/>
      <c r="MPL22" s="64"/>
      <c r="MPM22" s="64"/>
      <c r="MPN22" s="64"/>
      <c r="MPO22" s="64"/>
      <c r="MPP22" s="64"/>
      <c r="MPQ22" s="64"/>
      <c r="MPR22" s="64"/>
      <c r="MPS22" s="64"/>
      <c r="MPT22" s="64"/>
      <c r="MPU22" s="64"/>
      <c r="MPV22" s="64"/>
      <c r="MPW22" s="64"/>
      <c r="MPX22" s="64"/>
      <c r="MPY22" s="64"/>
      <c r="MPZ22" s="64"/>
      <c r="MQA22" s="64"/>
      <c r="MQB22" s="64"/>
      <c r="MQC22" s="64"/>
      <c r="MQD22" s="64"/>
      <c r="MQE22" s="64"/>
      <c r="MQF22" s="64"/>
      <c r="MQG22" s="64"/>
      <c r="MQH22" s="64"/>
      <c r="MQI22" s="64"/>
      <c r="MQJ22" s="64"/>
      <c r="MQK22" s="64"/>
      <c r="MQL22" s="64"/>
      <c r="MQM22" s="64"/>
      <c r="MQN22" s="64"/>
      <c r="MQO22" s="64"/>
      <c r="MQP22" s="64"/>
      <c r="MQQ22" s="64"/>
      <c r="MQR22" s="64"/>
      <c r="MQS22" s="64"/>
      <c r="MQT22" s="64"/>
      <c r="MQU22" s="64"/>
      <c r="MQV22" s="64"/>
      <c r="MQW22" s="64"/>
      <c r="MQX22" s="64"/>
      <c r="MQY22" s="64"/>
      <c r="MQZ22" s="64"/>
      <c r="MRA22" s="64"/>
      <c r="MRB22" s="64"/>
      <c r="MRC22" s="64"/>
      <c r="MRD22" s="64"/>
      <c r="MRE22" s="64"/>
      <c r="MRF22" s="64"/>
      <c r="MRG22" s="64"/>
      <c r="MRH22" s="64"/>
      <c r="MRI22" s="64"/>
      <c r="MRJ22" s="64"/>
      <c r="MRK22" s="64"/>
      <c r="MRL22" s="64"/>
      <c r="MRM22" s="64"/>
      <c r="MRN22" s="64"/>
      <c r="MRO22" s="64"/>
      <c r="MRP22" s="64"/>
      <c r="MRQ22" s="64"/>
      <c r="MRR22" s="64"/>
      <c r="MRS22" s="64"/>
      <c r="MRT22" s="64"/>
      <c r="MRU22" s="64"/>
      <c r="MRV22" s="64"/>
      <c r="MRW22" s="64"/>
      <c r="MRX22" s="64"/>
      <c r="MRY22" s="64"/>
      <c r="MRZ22" s="64"/>
      <c r="MSA22" s="64"/>
      <c r="MSB22" s="64"/>
      <c r="MSC22" s="64"/>
      <c r="MSD22" s="64"/>
      <c r="MSE22" s="64"/>
      <c r="MSF22" s="64"/>
      <c r="MSG22" s="64"/>
      <c r="MSH22" s="64"/>
      <c r="MSI22" s="64"/>
      <c r="MSJ22" s="64"/>
      <c r="MSK22" s="64"/>
      <c r="MSL22" s="64"/>
      <c r="MSM22" s="64"/>
      <c r="MSN22" s="64"/>
      <c r="MSO22" s="64"/>
      <c r="MSP22" s="64"/>
      <c r="MSQ22" s="64"/>
      <c r="MSR22" s="64"/>
      <c r="MSS22" s="64"/>
      <c r="MST22" s="64"/>
      <c r="MSU22" s="64"/>
      <c r="MSV22" s="64"/>
      <c r="MSW22" s="64"/>
      <c r="MSX22" s="64"/>
      <c r="MSY22" s="64"/>
      <c r="MSZ22" s="64"/>
      <c r="MTA22" s="64"/>
      <c r="MTB22" s="64"/>
      <c r="MTC22" s="64"/>
      <c r="MTD22" s="64"/>
      <c r="MTE22" s="64"/>
      <c r="MTF22" s="64"/>
      <c r="MTG22" s="64"/>
      <c r="MTH22" s="64"/>
      <c r="MTI22" s="64"/>
      <c r="MTJ22" s="64"/>
      <c r="MTK22" s="64"/>
      <c r="MTL22" s="64"/>
      <c r="MTM22" s="64"/>
      <c r="MTN22" s="64"/>
      <c r="MTO22" s="64"/>
      <c r="MTP22" s="64"/>
      <c r="MTQ22" s="64"/>
      <c r="MTR22" s="64"/>
      <c r="MTS22" s="64"/>
      <c r="MTT22" s="64"/>
      <c r="MTU22" s="64"/>
      <c r="MTV22" s="64"/>
      <c r="MTW22" s="64"/>
      <c r="MTX22" s="64"/>
      <c r="MTY22" s="64"/>
      <c r="MTZ22" s="64"/>
      <c r="MUA22" s="64"/>
      <c r="MUB22" s="64"/>
      <c r="MUC22" s="64"/>
      <c r="MUD22" s="64"/>
      <c r="MUE22" s="64"/>
      <c r="MUF22" s="64"/>
      <c r="MUG22" s="64"/>
      <c r="MUH22" s="64"/>
      <c r="MUI22" s="64"/>
      <c r="MUJ22" s="64"/>
      <c r="MUK22" s="64"/>
      <c r="MUL22" s="64"/>
      <c r="MUM22" s="64"/>
      <c r="MUN22" s="64"/>
      <c r="MUO22" s="64"/>
      <c r="MUP22" s="64"/>
      <c r="MUQ22" s="64"/>
      <c r="MUR22" s="64"/>
      <c r="MUS22" s="64"/>
      <c r="MUT22" s="64"/>
      <c r="MUU22" s="64"/>
      <c r="MUV22" s="64"/>
      <c r="MUW22" s="64"/>
      <c r="MUX22" s="64"/>
      <c r="MUY22" s="64"/>
      <c r="MUZ22" s="64"/>
      <c r="MVA22" s="64"/>
      <c r="MVB22" s="64"/>
      <c r="MVC22" s="64"/>
      <c r="MVD22" s="64"/>
      <c r="MVE22" s="64"/>
      <c r="MVF22" s="64"/>
      <c r="MVG22" s="64"/>
      <c r="MVH22" s="64"/>
      <c r="MVI22" s="64"/>
      <c r="MVJ22" s="64"/>
      <c r="MVK22" s="64"/>
      <c r="MVL22" s="64"/>
      <c r="MVM22" s="64"/>
      <c r="MVN22" s="64"/>
      <c r="MVO22" s="64"/>
      <c r="MVP22" s="64"/>
      <c r="MVQ22" s="64"/>
      <c r="MVR22" s="64"/>
      <c r="MVS22" s="64"/>
      <c r="MVT22" s="64"/>
      <c r="MVU22" s="64"/>
      <c r="MVV22" s="64"/>
      <c r="MVW22" s="64"/>
      <c r="MVX22" s="64"/>
      <c r="MVY22" s="64"/>
      <c r="MVZ22" s="64"/>
      <c r="MWA22" s="64"/>
      <c r="MWB22" s="64"/>
      <c r="MWC22" s="64"/>
      <c r="MWD22" s="64"/>
      <c r="MWE22" s="64"/>
      <c r="MWF22" s="64"/>
      <c r="MWG22" s="64"/>
      <c r="MWH22" s="64"/>
      <c r="MWI22" s="64"/>
      <c r="MWJ22" s="64"/>
      <c r="MWK22" s="64"/>
      <c r="MWL22" s="64"/>
      <c r="MWM22" s="64"/>
      <c r="MWN22" s="64"/>
      <c r="MWO22" s="64"/>
      <c r="MWP22" s="64"/>
      <c r="MWQ22" s="64"/>
      <c r="MWR22" s="64"/>
      <c r="MWS22" s="64"/>
      <c r="MWT22" s="64"/>
      <c r="MWU22" s="64"/>
      <c r="MWV22" s="64"/>
      <c r="MWW22" s="64"/>
      <c r="MWX22" s="64"/>
      <c r="MWY22" s="64"/>
      <c r="MWZ22" s="64"/>
      <c r="MXA22" s="64"/>
      <c r="MXB22" s="64"/>
      <c r="MXC22" s="64"/>
      <c r="MXD22" s="64"/>
      <c r="MXE22" s="64"/>
      <c r="MXF22" s="64"/>
      <c r="MXG22" s="64"/>
      <c r="MXH22" s="64"/>
      <c r="MXI22" s="64"/>
      <c r="MXJ22" s="64"/>
      <c r="MXK22" s="64"/>
      <c r="MXL22" s="64"/>
      <c r="MXM22" s="64"/>
      <c r="MXN22" s="64"/>
      <c r="MXO22" s="64"/>
      <c r="MXP22" s="64"/>
      <c r="MXQ22" s="64"/>
      <c r="MXR22" s="64"/>
      <c r="MXS22" s="64"/>
      <c r="MXT22" s="64"/>
      <c r="MXU22" s="64"/>
      <c r="MXV22" s="64"/>
      <c r="MXW22" s="64"/>
      <c r="MXX22" s="64"/>
      <c r="MXY22" s="64"/>
      <c r="MXZ22" s="64"/>
      <c r="MYA22" s="64"/>
      <c r="MYB22" s="64"/>
      <c r="MYC22" s="64"/>
      <c r="MYD22" s="64"/>
      <c r="MYE22" s="64"/>
      <c r="MYF22" s="64"/>
      <c r="MYG22" s="64"/>
      <c r="MYH22" s="64"/>
      <c r="MYI22" s="64"/>
      <c r="MYJ22" s="64"/>
      <c r="MYK22" s="64"/>
      <c r="MYL22" s="64"/>
      <c r="MYM22" s="64"/>
      <c r="MYN22" s="64"/>
      <c r="MYO22" s="64"/>
      <c r="MYP22" s="64"/>
      <c r="MYQ22" s="64"/>
      <c r="MYR22" s="64"/>
      <c r="MYS22" s="64"/>
      <c r="MYT22" s="64"/>
      <c r="MYU22" s="64"/>
      <c r="MYV22" s="64"/>
      <c r="MYW22" s="64"/>
      <c r="MYX22" s="64"/>
      <c r="MYY22" s="64"/>
      <c r="MYZ22" s="64"/>
      <c r="MZA22" s="64"/>
      <c r="MZB22" s="64"/>
      <c r="MZC22" s="64"/>
      <c r="MZD22" s="64"/>
      <c r="MZE22" s="64"/>
      <c r="MZF22" s="64"/>
      <c r="MZG22" s="64"/>
      <c r="MZH22" s="64"/>
      <c r="MZI22" s="64"/>
      <c r="MZJ22" s="64"/>
      <c r="MZK22" s="64"/>
      <c r="MZL22" s="64"/>
      <c r="MZM22" s="64"/>
      <c r="MZN22" s="64"/>
      <c r="MZO22" s="64"/>
      <c r="MZP22" s="64"/>
      <c r="MZQ22" s="64"/>
      <c r="MZR22" s="64"/>
      <c r="MZS22" s="64"/>
      <c r="MZT22" s="64"/>
      <c r="MZU22" s="64"/>
      <c r="MZV22" s="64"/>
      <c r="MZW22" s="64"/>
      <c r="MZX22" s="64"/>
      <c r="MZY22" s="64"/>
      <c r="MZZ22" s="64"/>
      <c r="NAA22" s="64"/>
      <c r="NAB22" s="64"/>
      <c r="NAC22" s="64"/>
      <c r="NAD22" s="64"/>
      <c r="NAE22" s="64"/>
      <c r="NAF22" s="64"/>
      <c r="NAG22" s="64"/>
      <c r="NAH22" s="64"/>
      <c r="NAI22" s="64"/>
      <c r="NAJ22" s="64"/>
      <c r="NAK22" s="64"/>
      <c r="NAL22" s="64"/>
      <c r="NAM22" s="64"/>
      <c r="NAN22" s="64"/>
      <c r="NAO22" s="64"/>
      <c r="NAP22" s="64"/>
      <c r="NAQ22" s="64"/>
      <c r="NAR22" s="64"/>
      <c r="NAS22" s="64"/>
      <c r="NAT22" s="64"/>
      <c r="NAU22" s="64"/>
      <c r="NAV22" s="64"/>
      <c r="NAW22" s="64"/>
      <c r="NAX22" s="64"/>
      <c r="NAY22" s="64"/>
      <c r="NAZ22" s="64"/>
      <c r="NBA22" s="64"/>
      <c r="NBB22" s="64"/>
      <c r="NBC22" s="64"/>
      <c r="NBD22" s="64"/>
      <c r="NBE22" s="64"/>
      <c r="NBF22" s="64"/>
      <c r="NBG22" s="64"/>
      <c r="NBH22" s="64"/>
      <c r="NBI22" s="64"/>
      <c r="NBJ22" s="64"/>
      <c r="NBK22" s="64"/>
      <c r="NBL22" s="64"/>
      <c r="NBM22" s="64"/>
      <c r="NBN22" s="64"/>
      <c r="NBO22" s="64"/>
      <c r="NBP22" s="64"/>
      <c r="NBQ22" s="64"/>
      <c r="NBR22" s="64"/>
      <c r="NBS22" s="64"/>
      <c r="NBT22" s="64"/>
      <c r="NBU22" s="64"/>
      <c r="NBV22" s="64"/>
      <c r="NBW22" s="64"/>
      <c r="NBX22" s="64"/>
      <c r="NBY22" s="64"/>
      <c r="NBZ22" s="64"/>
      <c r="NCA22" s="64"/>
      <c r="NCB22" s="64"/>
      <c r="NCC22" s="64"/>
      <c r="NCD22" s="64"/>
      <c r="NCE22" s="64"/>
      <c r="NCF22" s="64"/>
      <c r="NCG22" s="64"/>
      <c r="NCH22" s="64"/>
      <c r="NCI22" s="64"/>
      <c r="NCJ22" s="64"/>
      <c r="NCK22" s="64"/>
      <c r="NCL22" s="64"/>
      <c r="NCM22" s="64"/>
      <c r="NCN22" s="64"/>
      <c r="NCO22" s="64"/>
      <c r="NCP22" s="64"/>
      <c r="NCQ22" s="64"/>
      <c r="NCR22" s="64"/>
      <c r="NCS22" s="64"/>
      <c r="NCT22" s="64"/>
      <c r="NCU22" s="64"/>
      <c r="NCV22" s="64"/>
      <c r="NCW22" s="64"/>
      <c r="NCX22" s="64"/>
      <c r="NCY22" s="64"/>
      <c r="NCZ22" s="64"/>
      <c r="NDA22" s="64"/>
      <c r="NDB22" s="64"/>
      <c r="NDC22" s="64"/>
      <c r="NDD22" s="64"/>
      <c r="NDE22" s="64"/>
      <c r="NDF22" s="64"/>
      <c r="NDG22" s="64"/>
      <c r="NDH22" s="64"/>
      <c r="NDI22" s="64"/>
      <c r="NDJ22" s="64"/>
      <c r="NDK22" s="64"/>
      <c r="NDL22" s="64"/>
      <c r="NDM22" s="64"/>
      <c r="NDN22" s="64"/>
      <c r="NDO22" s="64"/>
      <c r="NDP22" s="64"/>
      <c r="NDQ22" s="64"/>
      <c r="NDR22" s="64"/>
      <c r="NDS22" s="64"/>
      <c r="NDT22" s="64"/>
      <c r="NDU22" s="64"/>
      <c r="NDV22" s="64"/>
      <c r="NDW22" s="64"/>
      <c r="NDX22" s="64"/>
      <c r="NDY22" s="64"/>
      <c r="NDZ22" s="64"/>
      <c r="NEA22" s="64"/>
      <c r="NEB22" s="64"/>
      <c r="NEC22" s="64"/>
      <c r="NED22" s="64"/>
      <c r="NEE22" s="64"/>
      <c r="NEF22" s="64"/>
      <c r="NEG22" s="64"/>
      <c r="NEH22" s="64"/>
      <c r="NEI22" s="64"/>
      <c r="NEJ22" s="64"/>
      <c r="NEK22" s="64"/>
      <c r="NEL22" s="64"/>
      <c r="NEM22" s="64"/>
      <c r="NEN22" s="64"/>
      <c r="NEO22" s="64"/>
      <c r="NEP22" s="64"/>
      <c r="NEQ22" s="64"/>
      <c r="NER22" s="64"/>
      <c r="NES22" s="64"/>
      <c r="NET22" s="64"/>
      <c r="NEU22" s="64"/>
      <c r="NEV22" s="64"/>
      <c r="NEW22" s="64"/>
      <c r="NEX22" s="64"/>
      <c r="NEY22" s="64"/>
      <c r="NEZ22" s="64"/>
      <c r="NFA22" s="64"/>
      <c r="NFB22" s="64"/>
      <c r="NFC22" s="64"/>
      <c r="NFD22" s="64"/>
      <c r="NFE22" s="64"/>
      <c r="NFF22" s="64"/>
      <c r="NFG22" s="64"/>
      <c r="NFH22" s="64"/>
      <c r="NFI22" s="64"/>
      <c r="NFJ22" s="64"/>
      <c r="NFK22" s="64"/>
      <c r="NFL22" s="64"/>
      <c r="NFM22" s="64"/>
      <c r="NFN22" s="64"/>
      <c r="NFO22" s="64"/>
      <c r="NFP22" s="64"/>
      <c r="NFQ22" s="64"/>
      <c r="NFR22" s="64"/>
      <c r="NFS22" s="64"/>
      <c r="NFT22" s="64"/>
      <c r="NFU22" s="64"/>
      <c r="NFV22" s="64"/>
      <c r="NFW22" s="64"/>
      <c r="NFX22" s="64"/>
      <c r="NFY22" s="64"/>
      <c r="NFZ22" s="64"/>
      <c r="NGA22" s="64"/>
      <c r="NGB22" s="64"/>
      <c r="NGC22" s="64"/>
      <c r="NGD22" s="64"/>
      <c r="NGE22" s="64"/>
      <c r="NGF22" s="64"/>
      <c r="NGG22" s="64"/>
      <c r="NGH22" s="64"/>
      <c r="NGI22" s="64"/>
      <c r="NGJ22" s="64"/>
      <c r="NGK22" s="64"/>
      <c r="NGL22" s="64"/>
      <c r="NGM22" s="64"/>
      <c r="NGN22" s="64"/>
      <c r="NGO22" s="64"/>
      <c r="NGP22" s="64"/>
      <c r="NGQ22" s="64"/>
      <c r="NGR22" s="64"/>
      <c r="NGS22" s="64"/>
      <c r="NGT22" s="64"/>
      <c r="NGU22" s="64"/>
      <c r="NGV22" s="64"/>
      <c r="NGW22" s="64"/>
      <c r="NGX22" s="64"/>
      <c r="NGY22" s="64"/>
      <c r="NGZ22" s="64"/>
      <c r="NHA22" s="64"/>
      <c r="NHB22" s="64"/>
      <c r="NHC22" s="64"/>
      <c r="NHD22" s="64"/>
      <c r="NHE22" s="64"/>
      <c r="NHF22" s="64"/>
      <c r="NHG22" s="64"/>
      <c r="NHH22" s="64"/>
      <c r="NHI22" s="64"/>
      <c r="NHJ22" s="64"/>
      <c r="NHK22" s="64"/>
      <c r="NHL22" s="64"/>
      <c r="NHM22" s="64"/>
      <c r="NHN22" s="64"/>
      <c r="NHO22" s="64"/>
      <c r="NHP22" s="64"/>
      <c r="NHQ22" s="64"/>
      <c r="NHR22" s="64"/>
      <c r="NHS22" s="64"/>
      <c r="NHT22" s="64"/>
      <c r="NHU22" s="64"/>
      <c r="NHV22" s="64"/>
      <c r="NHW22" s="64"/>
      <c r="NHX22" s="64"/>
      <c r="NHY22" s="64"/>
      <c r="NHZ22" s="64"/>
      <c r="NIA22" s="64"/>
      <c r="NIB22" s="64"/>
      <c r="NIC22" s="64"/>
      <c r="NID22" s="64"/>
      <c r="NIE22" s="64"/>
      <c r="NIF22" s="64"/>
      <c r="NIG22" s="64"/>
      <c r="NIH22" s="64"/>
      <c r="NII22" s="64"/>
      <c r="NIJ22" s="64"/>
      <c r="NIK22" s="64"/>
      <c r="NIL22" s="64"/>
      <c r="NIM22" s="64"/>
      <c r="NIN22" s="64"/>
      <c r="NIO22" s="64"/>
      <c r="NIP22" s="64"/>
      <c r="NIQ22" s="64"/>
      <c r="NIR22" s="64"/>
      <c r="NIS22" s="64"/>
      <c r="NIT22" s="64"/>
      <c r="NIU22" s="64"/>
      <c r="NIV22" s="64"/>
      <c r="NIW22" s="64"/>
      <c r="NIX22" s="64"/>
      <c r="NIY22" s="64"/>
      <c r="NIZ22" s="64"/>
      <c r="NJA22" s="64"/>
      <c r="NJB22" s="64"/>
      <c r="NJC22" s="64"/>
      <c r="NJD22" s="64"/>
      <c r="NJE22" s="64"/>
      <c r="NJF22" s="64"/>
      <c r="NJG22" s="64"/>
      <c r="NJH22" s="64"/>
      <c r="NJI22" s="64"/>
      <c r="NJJ22" s="64"/>
      <c r="NJK22" s="64"/>
      <c r="NJL22" s="64"/>
      <c r="NJM22" s="64"/>
      <c r="NJN22" s="64"/>
      <c r="NJO22" s="64"/>
      <c r="NJP22" s="64"/>
      <c r="NJQ22" s="64"/>
      <c r="NJR22" s="64"/>
      <c r="NJS22" s="64"/>
      <c r="NJT22" s="64"/>
      <c r="NJU22" s="64"/>
      <c r="NJV22" s="64"/>
      <c r="NJW22" s="64"/>
      <c r="NJX22" s="64"/>
      <c r="NJY22" s="64"/>
      <c r="NJZ22" s="64"/>
      <c r="NKA22" s="64"/>
      <c r="NKB22" s="64"/>
      <c r="NKC22" s="64"/>
      <c r="NKD22" s="64"/>
      <c r="NKE22" s="64"/>
      <c r="NKF22" s="64"/>
      <c r="NKG22" s="64"/>
      <c r="NKH22" s="64"/>
      <c r="NKI22" s="64"/>
      <c r="NKJ22" s="64"/>
      <c r="NKK22" s="64"/>
      <c r="NKL22" s="64"/>
      <c r="NKM22" s="64"/>
      <c r="NKN22" s="64"/>
      <c r="NKO22" s="64"/>
      <c r="NKP22" s="64"/>
      <c r="NKQ22" s="64"/>
      <c r="NKR22" s="64"/>
      <c r="NKS22" s="64"/>
      <c r="NKT22" s="64"/>
      <c r="NKU22" s="64"/>
      <c r="NKV22" s="64"/>
      <c r="NKW22" s="64"/>
      <c r="NKX22" s="64"/>
      <c r="NKY22" s="64"/>
      <c r="NKZ22" s="64"/>
      <c r="NLA22" s="64"/>
      <c r="NLB22" s="64"/>
      <c r="NLC22" s="64"/>
      <c r="NLD22" s="64"/>
      <c r="NLE22" s="64"/>
      <c r="NLF22" s="64"/>
      <c r="NLG22" s="64"/>
      <c r="NLH22" s="64"/>
      <c r="NLI22" s="64"/>
      <c r="NLJ22" s="64"/>
      <c r="NLK22" s="64"/>
      <c r="NLL22" s="64"/>
      <c r="NLM22" s="64"/>
      <c r="NLN22" s="64"/>
      <c r="NLO22" s="64"/>
      <c r="NLP22" s="64"/>
      <c r="NLQ22" s="64"/>
      <c r="NLR22" s="64"/>
      <c r="NLS22" s="64"/>
      <c r="NLT22" s="64"/>
      <c r="NLU22" s="64"/>
      <c r="NLV22" s="64"/>
      <c r="NLW22" s="64"/>
      <c r="NLX22" s="64"/>
      <c r="NLY22" s="64"/>
      <c r="NLZ22" s="64"/>
      <c r="NMA22" s="64"/>
      <c r="NMB22" s="64"/>
      <c r="NMC22" s="64"/>
      <c r="NMD22" s="64"/>
      <c r="NME22" s="64"/>
      <c r="NMF22" s="64"/>
      <c r="NMG22" s="64"/>
      <c r="NMH22" s="64"/>
      <c r="NMI22" s="64"/>
      <c r="NMJ22" s="64"/>
      <c r="NMK22" s="64"/>
      <c r="NML22" s="64"/>
      <c r="NMM22" s="64"/>
      <c r="NMN22" s="64"/>
      <c r="NMO22" s="64"/>
      <c r="NMP22" s="64"/>
      <c r="NMQ22" s="64"/>
      <c r="NMR22" s="64"/>
      <c r="NMS22" s="64"/>
      <c r="NMT22" s="64"/>
      <c r="NMU22" s="64"/>
      <c r="NMV22" s="64"/>
      <c r="NMW22" s="64"/>
      <c r="NMX22" s="64"/>
      <c r="NMY22" s="64"/>
      <c r="NMZ22" s="64"/>
      <c r="NNA22" s="64"/>
      <c r="NNB22" s="64"/>
      <c r="NNC22" s="64"/>
      <c r="NND22" s="64"/>
      <c r="NNE22" s="64"/>
      <c r="NNF22" s="64"/>
      <c r="NNG22" s="64"/>
      <c r="NNH22" s="64"/>
      <c r="NNI22" s="64"/>
      <c r="NNJ22" s="64"/>
      <c r="NNK22" s="64"/>
      <c r="NNL22" s="64"/>
      <c r="NNM22" s="64"/>
      <c r="NNN22" s="64"/>
      <c r="NNO22" s="64"/>
      <c r="NNP22" s="64"/>
      <c r="NNQ22" s="64"/>
      <c r="NNR22" s="64"/>
      <c r="NNS22" s="64"/>
      <c r="NNT22" s="64"/>
      <c r="NNU22" s="64"/>
      <c r="NNV22" s="64"/>
      <c r="NNW22" s="64"/>
      <c r="NNX22" s="64"/>
      <c r="NNY22" s="64"/>
      <c r="NNZ22" s="64"/>
      <c r="NOA22" s="64"/>
      <c r="NOB22" s="64"/>
      <c r="NOC22" s="64"/>
      <c r="NOD22" s="64"/>
      <c r="NOE22" s="64"/>
      <c r="NOF22" s="64"/>
      <c r="NOG22" s="64"/>
      <c r="NOH22" s="64"/>
      <c r="NOI22" s="64"/>
      <c r="NOJ22" s="64"/>
      <c r="NOK22" s="64"/>
      <c r="NOL22" s="64"/>
      <c r="NOM22" s="64"/>
      <c r="NON22" s="64"/>
      <c r="NOO22" s="64"/>
      <c r="NOP22" s="64"/>
      <c r="NOQ22" s="64"/>
      <c r="NOR22" s="64"/>
      <c r="NOS22" s="64"/>
      <c r="NOT22" s="64"/>
      <c r="NOU22" s="64"/>
      <c r="NOV22" s="64"/>
      <c r="NOW22" s="64"/>
      <c r="NOX22" s="64"/>
      <c r="NOY22" s="64"/>
      <c r="NOZ22" s="64"/>
      <c r="NPA22" s="64"/>
      <c r="NPB22" s="64"/>
      <c r="NPC22" s="64"/>
      <c r="NPD22" s="64"/>
      <c r="NPE22" s="64"/>
      <c r="NPF22" s="64"/>
      <c r="NPG22" s="64"/>
      <c r="NPH22" s="64"/>
      <c r="NPI22" s="64"/>
      <c r="NPJ22" s="64"/>
      <c r="NPK22" s="64"/>
      <c r="NPL22" s="64"/>
      <c r="NPM22" s="64"/>
      <c r="NPN22" s="64"/>
      <c r="NPO22" s="64"/>
      <c r="NPP22" s="64"/>
      <c r="NPQ22" s="64"/>
      <c r="NPR22" s="64"/>
      <c r="NPS22" s="64"/>
      <c r="NPT22" s="64"/>
      <c r="NPU22" s="64"/>
      <c r="NPV22" s="64"/>
      <c r="NPW22" s="64"/>
      <c r="NPX22" s="64"/>
      <c r="NPY22" s="64"/>
      <c r="NPZ22" s="64"/>
      <c r="NQA22" s="64"/>
      <c r="NQB22" s="64"/>
      <c r="NQC22" s="64"/>
      <c r="NQD22" s="64"/>
      <c r="NQE22" s="64"/>
      <c r="NQF22" s="64"/>
      <c r="NQG22" s="64"/>
      <c r="NQH22" s="64"/>
      <c r="NQI22" s="64"/>
      <c r="NQJ22" s="64"/>
      <c r="NQK22" s="64"/>
      <c r="NQL22" s="64"/>
      <c r="NQM22" s="64"/>
      <c r="NQN22" s="64"/>
      <c r="NQO22" s="64"/>
      <c r="NQP22" s="64"/>
      <c r="NQQ22" s="64"/>
      <c r="NQR22" s="64"/>
      <c r="NQS22" s="64"/>
      <c r="NQT22" s="64"/>
      <c r="NQU22" s="64"/>
      <c r="NQV22" s="64"/>
      <c r="NQW22" s="64"/>
      <c r="NQX22" s="64"/>
      <c r="NQY22" s="64"/>
      <c r="NQZ22" s="64"/>
      <c r="NRA22" s="64"/>
      <c r="NRB22" s="64"/>
      <c r="NRC22" s="64"/>
      <c r="NRD22" s="64"/>
      <c r="NRE22" s="64"/>
      <c r="NRF22" s="64"/>
      <c r="NRG22" s="64"/>
      <c r="NRH22" s="64"/>
      <c r="NRI22" s="64"/>
      <c r="NRJ22" s="64"/>
      <c r="NRK22" s="64"/>
      <c r="NRL22" s="64"/>
      <c r="NRM22" s="64"/>
      <c r="NRN22" s="64"/>
      <c r="NRO22" s="64"/>
      <c r="NRP22" s="64"/>
      <c r="NRQ22" s="64"/>
      <c r="NRR22" s="64"/>
      <c r="NRS22" s="64"/>
      <c r="NRT22" s="64"/>
      <c r="NRU22" s="64"/>
      <c r="NRV22" s="64"/>
      <c r="NRW22" s="64"/>
      <c r="NRX22" s="64"/>
      <c r="NRY22" s="64"/>
      <c r="NRZ22" s="64"/>
      <c r="NSA22" s="64"/>
      <c r="NSB22" s="64"/>
      <c r="NSC22" s="64"/>
      <c r="NSD22" s="64"/>
      <c r="NSE22" s="64"/>
      <c r="NSF22" s="64"/>
      <c r="NSG22" s="64"/>
      <c r="NSH22" s="64"/>
      <c r="NSI22" s="64"/>
      <c r="NSJ22" s="64"/>
      <c r="NSK22" s="64"/>
      <c r="NSL22" s="64"/>
      <c r="NSM22" s="64"/>
      <c r="NSN22" s="64"/>
      <c r="NSO22" s="64"/>
      <c r="NSP22" s="64"/>
      <c r="NSQ22" s="64"/>
      <c r="NSR22" s="64"/>
      <c r="NSS22" s="64"/>
      <c r="NST22" s="64"/>
      <c r="NSU22" s="64"/>
      <c r="NSV22" s="64"/>
      <c r="NSW22" s="64"/>
      <c r="NSX22" s="64"/>
      <c r="NSY22" s="64"/>
      <c r="NSZ22" s="64"/>
      <c r="NTA22" s="64"/>
      <c r="NTB22" s="64"/>
      <c r="NTC22" s="64"/>
      <c r="NTD22" s="64"/>
      <c r="NTE22" s="64"/>
      <c r="NTF22" s="64"/>
      <c r="NTG22" s="64"/>
      <c r="NTH22" s="64"/>
      <c r="NTI22" s="64"/>
      <c r="NTJ22" s="64"/>
      <c r="NTK22" s="64"/>
      <c r="NTL22" s="64"/>
      <c r="NTM22" s="64"/>
      <c r="NTN22" s="64"/>
      <c r="NTO22" s="64"/>
      <c r="NTP22" s="64"/>
      <c r="NTQ22" s="64"/>
      <c r="NTR22" s="64"/>
      <c r="NTS22" s="64"/>
      <c r="NTT22" s="64"/>
      <c r="NTU22" s="64"/>
      <c r="NTV22" s="64"/>
      <c r="NTW22" s="64"/>
      <c r="NTX22" s="64"/>
      <c r="NTY22" s="64"/>
      <c r="NTZ22" s="64"/>
      <c r="NUA22" s="64"/>
      <c r="NUB22" s="64"/>
      <c r="NUC22" s="64"/>
      <c r="NUD22" s="64"/>
      <c r="NUE22" s="64"/>
      <c r="NUF22" s="64"/>
      <c r="NUG22" s="64"/>
      <c r="NUH22" s="64"/>
      <c r="NUI22" s="64"/>
      <c r="NUJ22" s="64"/>
      <c r="NUK22" s="64"/>
      <c r="NUL22" s="64"/>
      <c r="NUM22" s="64"/>
      <c r="NUN22" s="64"/>
      <c r="NUO22" s="64"/>
      <c r="NUP22" s="64"/>
      <c r="NUQ22" s="64"/>
      <c r="NUR22" s="64"/>
      <c r="NUS22" s="64"/>
      <c r="NUT22" s="64"/>
      <c r="NUU22" s="64"/>
      <c r="NUV22" s="64"/>
      <c r="NUW22" s="64"/>
      <c r="NUX22" s="64"/>
      <c r="NUY22" s="64"/>
      <c r="NUZ22" s="64"/>
      <c r="NVA22" s="64"/>
      <c r="NVB22" s="64"/>
      <c r="NVC22" s="64"/>
      <c r="NVD22" s="64"/>
      <c r="NVE22" s="64"/>
      <c r="NVF22" s="64"/>
      <c r="NVG22" s="64"/>
      <c r="NVH22" s="64"/>
      <c r="NVI22" s="64"/>
      <c r="NVJ22" s="64"/>
      <c r="NVK22" s="64"/>
      <c r="NVL22" s="64"/>
      <c r="NVM22" s="64"/>
      <c r="NVN22" s="64"/>
      <c r="NVO22" s="64"/>
      <c r="NVP22" s="64"/>
      <c r="NVQ22" s="64"/>
      <c r="NVR22" s="64"/>
      <c r="NVS22" s="64"/>
      <c r="NVT22" s="64"/>
      <c r="NVU22" s="64"/>
      <c r="NVV22" s="64"/>
      <c r="NVW22" s="64"/>
      <c r="NVX22" s="64"/>
      <c r="NVY22" s="64"/>
      <c r="NVZ22" s="64"/>
      <c r="NWA22" s="64"/>
      <c r="NWB22" s="64"/>
      <c r="NWC22" s="64"/>
      <c r="NWD22" s="64"/>
      <c r="NWE22" s="64"/>
      <c r="NWF22" s="64"/>
      <c r="NWG22" s="64"/>
      <c r="NWH22" s="64"/>
      <c r="NWI22" s="64"/>
      <c r="NWJ22" s="64"/>
      <c r="NWK22" s="64"/>
      <c r="NWL22" s="64"/>
      <c r="NWM22" s="64"/>
      <c r="NWN22" s="64"/>
      <c r="NWO22" s="64"/>
      <c r="NWP22" s="64"/>
      <c r="NWQ22" s="64"/>
      <c r="NWR22" s="64"/>
      <c r="NWS22" s="64"/>
      <c r="NWT22" s="64"/>
      <c r="NWU22" s="64"/>
      <c r="NWV22" s="64"/>
      <c r="NWW22" s="64"/>
      <c r="NWX22" s="64"/>
      <c r="NWY22" s="64"/>
      <c r="NWZ22" s="64"/>
      <c r="NXA22" s="64"/>
      <c r="NXB22" s="64"/>
      <c r="NXC22" s="64"/>
      <c r="NXD22" s="64"/>
      <c r="NXE22" s="64"/>
      <c r="NXF22" s="64"/>
      <c r="NXG22" s="64"/>
      <c r="NXH22" s="64"/>
      <c r="NXI22" s="64"/>
      <c r="NXJ22" s="64"/>
      <c r="NXK22" s="64"/>
      <c r="NXL22" s="64"/>
      <c r="NXM22" s="64"/>
      <c r="NXN22" s="64"/>
      <c r="NXO22" s="64"/>
      <c r="NXP22" s="64"/>
      <c r="NXQ22" s="64"/>
      <c r="NXR22" s="64"/>
      <c r="NXS22" s="64"/>
      <c r="NXT22" s="64"/>
      <c r="NXU22" s="64"/>
      <c r="NXV22" s="64"/>
      <c r="NXW22" s="64"/>
      <c r="NXX22" s="64"/>
      <c r="NXY22" s="64"/>
      <c r="NXZ22" s="64"/>
      <c r="NYA22" s="64"/>
      <c r="NYB22" s="64"/>
      <c r="NYC22" s="64"/>
      <c r="NYD22" s="64"/>
      <c r="NYE22" s="64"/>
      <c r="NYF22" s="64"/>
      <c r="NYG22" s="64"/>
      <c r="NYH22" s="64"/>
      <c r="NYI22" s="64"/>
      <c r="NYJ22" s="64"/>
      <c r="NYK22" s="64"/>
      <c r="NYL22" s="64"/>
      <c r="NYM22" s="64"/>
      <c r="NYN22" s="64"/>
      <c r="NYO22" s="64"/>
      <c r="NYP22" s="64"/>
      <c r="NYQ22" s="64"/>
      <c r="NYR22" s="64"/>
      <c r="NYS22" s="64"/>
      <c r="NYT22" s="64"/>
      <c r="NYU22" s="64"/>
      <c r="NYV22" s="64"/>
      <c r="NYW22" s="64"/>
      <c r="NYX22" s="64"/>
      <c r="NYY22" s="64"/>
      <c r="NYZ22" s="64"/>
      <c r="NZA22" s="64"/>
      <c r="NZB22" s="64"/>
      <c r="NZC22" s="64"/>
      <c r="NZD22" s="64"/>
      <c r="NZE22" s="64"/>
      <c r="NZF22" s="64"/>
      <c r="NZG22" s="64"/>
      <c r="NZH22" s="64"/>
      <c r="NZI22" s="64"/>
      <c r="NZJ22" s="64"/>
      <c r="NZK22" s="64"/>
      <c r="NZL22" s="64"/>
      <c r="NZM22" s="64"/>
      <c r="NZN22" s="64"/>
      <c r="NZO22" s="64"/>
      <c r="NZP22" s="64"/>
      <c r="NZQ22" s="64"/>
      <c r="NZR22" s="64"/>
      <c r="NZS22" s="64"/>
      <c r="NZT22" s="64"/>
      <c r="NZU22" s="64"/>
      <c r="NZV22" s="64"/>
      <c r="NZW22" s="64"/>
      <c r="NZX22" s="64"/>
      <c r="NZY22" s="64"/>
      <c r="NZZ22" s="64"/>
      <c r="OAA22" s="64"/>
      <c r="OAB22" s="64"/>
      <c r="OAC22" s="64"/>
      <c r="OAD22" s="64"/>
      <c r="OAE22" s="64"/>
      <c r="OAF22" s="64"/>
      <c r="OAG22" s="64"/>
      <c r="OAH22" s="64"/>
      <c r="OAI22" s="64"/>
      <c r="OAJ22" s="64"/>
      <c r="OAK22" s="64"/>
      <c r="OAL22" s="64"/>
      <c r="OAM22" s="64"/>
      <c r="OAN22" s="64"/>
      <c r="OAO22" s="64"/>
      <c r="OAP22" s="64"/>
      <c r="OAQ22" s="64"/>
      <c r="OAR22" s="64"/>
      <c r="OAS22" s="64"/>
      <c r="OAT22" s="64"/>
      <c r="OAU22" s="64"/>
      <c r="OAV22" s="64"/>
      <c r="OAW22" s="64"/>
      <c r="OAX22" s="64"/>
      <c r="OAY22" s="64"/>
      <c r="OAZ22" s="64"/>
      <c r="OBA22" s="64"/>
      <c r="OBB22" s="64"/>
      <c r="OBC22" s="64"/>
      <c r="OBD22" s="64"/>
      <c r="OBE22" s="64"/>
      <c r="OBF22" s="64"/>
      <c r="OBG22" s="64"/>
      <c r="OBH22" s="64"/>
      <c r="OBI22" s="64"/>
      <c r="OBJ22" s="64"/>
      <c r="OBK22" s="64"/>
      <c r="OBL22" s="64"/>
      <c r="OBM22" s="64"/>
      <c r="OBN22" s="64"/>
      <c r="OBO22" s="64"/>
      <c r="OBP22" s="64"/>
      <c r="OBQ22" s="64"/>
      <c r="OBR22" s="64"/>
      <c r="OBS22" s="64"/>
      <c r="OBT22" s="64"/>
      <c r="OBU22" s="64"/>
      <c r="OBV22" s="64"/>
      <c r="OBW22" s="64"/>
      <c r="OBX22" s="64"/>
      <c r="OBY22" s="64"/>
      <c r="OBZ22" s="64"/>
      <c r="OCA22" s="64"/>
      <c r="OCB22" s="64"/>
      <c r="OCC22" s="64"/>
      <c r="OCD22" s="64"/>
      <c r="OCE22" s="64"/>
      <c r="OCF22" s="64"/>
      <c r="OCG22" s="64"/>
      <c r="OCH22" s="64"/>
      <c r="OCI22" s="64"/>
      <c r="OCJ22" s="64"/>
      <c r="OCK22" s="64"/>
      <c r="OCL22" s="64"/>
      <c r="OCM22" s="64"/>
      <c r="OCN22" s="64"/>
      <c r="OCO22" s="64"/>
      <c r="OCP22" s="64"/>
      <c r="OCQ22" s="64"/>
      <c r="OCR22" s="64"/>
      <c r="OCS22" s="64"/>
      <c r="OCT22" s="64"/>
      <c r="OCU22" s="64"/>
      <c r="OCV22" s="64"/>
      <c r="OCW22" s="64"/>
      <c r="OCX22" s="64"/>
      <c r="OCY22" s="64"/>
      <c r="OCZ22" s="64"/>
      <c r="ODA22" s="64"/>
      <c r="ODB22" s="64"/>
      <c r="ODC22" s="64"/>
      <c r="ODD22" s="64"/>
      <c r="ODE22" s="64"/>
      <c r="ODF22" s="64"/>
      <c r="ODG22" s="64"/>
      <c r="ODH22" s="64"/>
      <c r="ODI22" s="64"/>
      <c r="ODJ22" s="64"/>
      <c r="ODK22" s="64"/>
      <c r="ODL22" s="64"/>
      <c r="ODM22" s="64"/>
      <c r="ODN22" s="64"/>
      <c r="ODO22" s="64"/>
      <c r="ODP22" s="64"/>
      <c r="ODQ22" s="64"/>
      <c r="ODR22" s="64"/>
      <c r="ODS22" s="64"/>
      <c r="ODT22" s="64"/>
      <c r="ODU22" s="64"/>
      <c r="ODV22" s="64"/>
      <c r="ODW22" s="64"/>
      <c r="ODX22" s="64"/>
      <c r="ODY22" s="64"/>
      <c r="ODZ22" s="64"/>
      <c r="OEA22" s="64"/>
      <c r="OEB22" s="64"/>
      <c r="OEC22" s="64"/>
      <c r="OED22" s="64"/>
      <c r="OEE22" s="64"/>
      <c r="OEF22" s="64"/>
      <c r="OEG22" s="64"/>
      <c r="OEH22" s="64"/>
      <c r="OEI22" s="64"/>
      <c r="OEJ22" s="64"/>
      <c r="OEK22" s="64"/>
      <c r="OEL22" s="64"/>
      <c r="OEM22" s="64"/>
      <c r="OEN22" s="64"/>
      <c r="OEO22" s="64"/>
      <c r="OEP22" s="64"/>
      <c r="OEQ22" s="64"/>
      <c r="OER22" s="64"/>
      <c r="OES22" s="64"/>
      <c r="OET22" s="64"/>
      <c r="OEU22" s="64"/>
      <c r="OEV22" s="64"/>
      <c r="OEW22" s="64"/>
      <c r="OEX22" s="64"/>
      <c r="OEY22" s="64"/>
      <c r="OEZ22" s="64"/>
      <c r="OFA22" s="64"/>
      <c r="OFB22" s="64"/>
      <c r="OFC22" s="64"/>
      <c r="OFD22" s="64"/>
      <c r="OFE22" s="64"/>
      <c r="OFF22" s="64"/>
      <c r="OFG22" s="64"/>
      <c r="OFH22" s="64"/>
      <c r="OFI22" s="64"/>
      <c r="OFJ22" s="64"/>
      <c r="OFK22" s="64"/>
      <c r="OFL22" s="64"/>
      <c r="OFM22" s="64"/>
      <c r="OFN22" s="64"/>
      <c r="OFO22" s="64"/>
      <c r="OFP22" s="64"/>
      <c r="OFQ22" s="64"/>
      <c r="OFR22" s="64"/>
      <c r="OFS22" s="64"/>
      <c r="OFT22" s="64"/>
      <c r="OFU22" s="64"/>
      <c r="OFV22" s="64"/>
      <c r="OFW22" s="64"/>
      <c r="OFX22" s="64"/>
      <c r="OFY22" s="64"/>
      <c r="OFZ22" s="64"/>
      <c r="OGA22" s="64"/>
      <c r="OGB22" s="64"/>
      <c r="OGC22" s="64"/>
      <c r="OGD22" s="64"/>
      <c r="OGE22" s="64"/>
      <c r="OGF22" s="64"/>
      <c r="OGG22" s="64"/>
      <c r="OGH22" s="64"/>
      <c r="OGI22" s="64"/>
      <c r="OGJ22" s="64"/>
      <c r="OGK22" s="64"/>
      <c r="OGL22" s="64"/>
      <c r="OGM22" s="64"/>
      <c r="OGN22" s="64"/>
      <c r="OGO22" s="64"/>
      <c r="OGP22" s="64"/>
      <c r="OGQ22" s="64"/>
      <c r="OGR22" s="64"/>
      <c r="OGS22" s="64"/>
      <c r="OGT22" s="64"/>
      <c r="OGU22" s="64"/>
      <c r="OGV22" s="64"/>
      <c r="OGW22" s="64"/>
      <c r="OGX22" s="64"/>
      <c r="OGY22" s="64"/>
      <c r="OGZ22" s="64"/>
      <c r="OHA22" s="64"/>
      <c r="OHB22" s="64"/>
      <c r="OHC22" s="64"/>
      <c r="OHD22" s="64"/>
      <c r="OHE22" s="64"/>
      <c r="OHF22" s="64"/>
      <c r="OHG22" s="64"/>
      <c r="OHH22" s="64"/>
      <c r="OHI22" s="64"/>
      <c r="OHJ22" s="64"/>
      <c r="OHK22" s="64"/>
      <c r="OHL22" s="64"/>
      <c r="OHM22" s="64"/>
      <c r="OHN22" s="64"/>
      <c r="OHO22" s="64"/>
      <c r="OHP22" s="64"/>
      <c r="OHQ22" s="64"/>
      <c r="OHR22" s="64"/>
      <c r="OHS22" s="64"/>
      <c r="OHT22" s="64"/>
      <c r="OHU22" s="64"/>
      <c r="OHV22" s="64"/>
      <c r="OHW22" s="64"/>
      <c r="OHX22" s="64"/>
      <c r="OHY22" s="64"/>
      <c r="OHZ22" s="64"/>
      <c r="OIA22" s="64"/>
      <c r="OIB22" s="64"/>
      <c r="OIC22" s="64"/>
      <c r="OID22" s="64"/>
      <c r="OIE22" s="64"/>
      <c r="OIF22" s="64"/>
      <c r="OIG22" s="64"/>
      <c r="OIH22" s="64"/>
      <c r="OII22" s="64"/>
      <c r="OIJ22" s="64"/>
      <c r="OIK22" s="64"/>
      <c r="OIL22" s="64"/>
      <c r="OIM22" s="64"/>
      <c r="OIN22" s="64"/>
      <c r="OIO22" s="64"/>
      <c r="OIP22" s="64"/>
      <c r="OIQ22" s="64"/>
      <c r="OIR22" s="64"/>
      <c r="OIS22" s="64"/>
      <c r="OIT22" s="64"/>
      <c r="OIU22" s="64"/>
      <c r="OIV22" s="64"/>
      <c r="OIW22" s="64"/>
      <c r="OIX22" s="64"/>
      <c r="OIY22" s="64"/>
      <c r="OIZ22" s="64"/>
      <c r="OJA22" s="64"/>
      <c r="OJB22" s="64"/>
      <c r="OJC22" s="64"/>
      <c r="OJD22" s="64"/>
      <c r="OJE22" s="64"/>
      <c r="OJF22" s="64"/>
      <c r="OJG22" s="64"/>
      <c r="OJH22" s="64"/>
      <c r="OJI22" s="64"/>
      <c r="OJJ22" s="64"/>
      <c r="OJK22" s="64"/>
      <c r="OJL22" s="64"/>
      <c r="OJM22" s="64"/>
      <c r="OJN22" s="64"/>
      <c r="OJO22" s="64"/>
      <c r="OJP22" s="64"/>
      <c r="OJQ22" s="64"/>
      <c r="OJR22" s="64"/>
      <c r="OJS22" s="64"/>
      <c r="OJT22" s="64"/>
      <c r="OJU22" s="64"/>
      <c r="OJV22" s="64"/>
      <c r="OJW22" s="64"/>
      <c r="OJX22" s="64"/>
      <c r="OJY22" s="64"/>
      <c r="OJZ22" s="64"/>
      <c r="OKA22" s="64"/>
      <c r="OKB22" s="64"/>
      <c r="OKC22" s="64"/>
      <c r="OKD22" s="64"/>
      <c r="OKE22" s="64"/>
      <c r="OKF22" s="64"/>
      <c r="OKG22" s="64"/>
      <c r="OKH22" s="64"/>
      <c r="OKI22" s="64"/>
      <c r="OKJ22" s="64"/>
      <c r="OKK22" s="64"/>
      <c r="OKL22" s="64"/>
      <c r="OKM22" s="64"/>
      <c r="OKN22" s="64"/>
      <c r="OKO22" s="64"/>
      <c r="OKP22" s="64"/>
      <c r="OKQ22" s="64"/>
      <c r="OKR22" s="64"/>
      <c r="OKS22" s="64"/>
      <c r="OKT22" s="64"/>
      <c r="OKU22" s="64"/>
      <c r="OKV22" s="64"/>
      <c r="OKW22" s="64"/>
      <c r="OKX22" s="64"/>
      <c r="OKY22" s="64"/>
      <c r="OKZ22" s="64"/>
      <c r="OLA22" s="64"/>
      <c r="OLB22" s="64"/>
      <c r="OLC22" s="64"/>
      <c r="OLD22" s="64"/>
      <c r="OLE22" s="64"/>
      <c r="OLF22" s="64"/>
      <c r="OLG22" s="64"/>
      <c r="OLH22" s="64"/>
      <c r="OLI22" s="64"/>
      <c r="OLJ22" s="64"/>
      <c r="OLK22" s="64"/>
      <c r="OLL22" s="64"/>
      <c r="OLM22" s="64"/>
      <c r="OLN22" s="64"/>
      <c r="OLO22" s="64"/>
      <c r="OLP22" s="64"/>
      <c r="OLQ22" s="64"/>
      <c r="OLR22" s="64"/>
      <c r="OLS22" s="64"/>
      <c r="OLT22" s="64"/>
      <c r="OLU22" s="64"/>
      <c r="OLV22" s="64"/>
      <c r="OLW22" s="64"/>
      <c r="OLX22" s="64"/>
      <c r="OLY22" s="64"/>
      <c r="OLZ22" s="64"/>
      <c r="OMA22" s="64"/>
      <c r="OMB22" s="64"/>
      <c r="OMC22" s="64"/>
      <c r="OMD22" s="64"/>
      <c r="OME22" s="64"/>
      <c r="OMF22" s="64"/>
      <c r="OMG22" s="64"/>
      <c r="OMH22" s="64"/>
      <c r="OMI22" s="64"/>
      <c r="OMJ22" s="64"/>
      <c r="OMK22" s="64"/>
      <c r="OML22" s="64"/>
      <c r="OMM22" s="64"/>
      <c r="OMN22" s="64"/>
      <c r="OMO22" s="64"/>
      <c r="OMP22" s="64"/>
      <c r="OMQ22" s="64"/>
      <c r="OMR22" s="64"/>
      <c r="OMS22" s="64"/>
      <c r="OMT22" s="64"/>
      <c r="OMU22" s="64"/>
      <c r="OMV22" s="64"/>
      <c r="OMW22" s="64"/>
      <c r="OMX22" s="64"/>
      <c r="OMY22" s="64"/>
      <c r="OMZ22" s="64"/>
      <c r="ONA22" s="64"/>
      <c r="ONB22" s="64"/>
      <c r="ONC22" s="64"/>
      <c r="OND22" s="64"/>
      <c r="ONE22" s="64"/>
      <c r="ONF22" s="64"/>
      <c r="ONG22" s="64"/>
      <c r="ONH22" s="64"/>
      <c r="ONI22" s="64"/>
      <c r="ONJ22" s="64"/>
      <c r="ONK22" s="64"/>
      <c r="ONL22" s="64"/>
      <c r="ONM22" s="64"/>
      <c r="ONN22" s="64"/>
      <c r="ONO22" s="64"/>
      <c r="ONP22" s="64"/>
      <c r="ONQ22" s="64"/>
      <c r="ONR22" s="64"/>
      <c r="ONS22" s="64"/>
      <c r="ONT22" s="64"/>
      <c r="ONU22" s="64"/>
      <c r="ONV22" s="64"/>
      <c r="ONW22" s="64"/>
      <c r="ONX22" s="64"/>
      <c r="ONY22" s="64"/>
      <c r="ONZ22" s="64"/>
      <c r="OOA22" s="64"/>
      <c r="OOB22" s="64"/>
      <c r="OOC22" s="64"/>
      <c r="OOD22" s="64"/>
      <c r="OOE22" s="64"/>
      <c r="OOF22" s="64"/>
      <c r="OOG22" s="64"/>
      <c r="OOH22" s="64"/>
      <c r="OOI22" s="64"/>
      <c r="OOJ22" s="64"/>
      <c r="OOK22" s="64"/>
      <c r="OOL22" s="64"/>
      <c r="OOM22" s="64"/>
      <c r="OON22" s="64"/>
      <c r="OOO22" s="64"/>
      <c r="OOP22" s="64"/>
      <c r="OOQ22" s="64"/>
      <c r="OOR22" s="64"/>
      <c r="OOS22" s="64"/>
      <c r="OOT22" s="64"/>
      <c r="OOU22" s="64"/>
      <c r="OOV22" s="64"/>
      <c r="OOW22" s="64"/>
      <c r="OOX22" s="64"/>
      <c r="OOY22" s="64"/>
      <c r="OOZ22" s="64"/>
      <c r="OPA22" s="64"/>
      <c r="OPB22" s="64"/>
      <c r="OPC22" s="64"/>
      <c r="OPD22" s="64"/>
      <c r="OPE22" s="64"/>
      <c r="OPF22" s="64"/>
      <c r="OPG22" s="64"/>
      <c r="OPH22" s="64"/>
      <c r="OPI22" s="64"/>
      <c r="OPJ22" s="64"/>
      <c r="OPK22" s="64"/>
      <c r="OPL22" s="64"/>
      <c r="OPM22" s="64"/>
      <c r="OPN22" s="64"/>
      <c r="OPO22" s="64"/>
      <c r="OPP22" s="64"/>
      <c r="OPQ22" s="64"/>
      <c r="OPR22" s="64"/>
      <c r="OPS22" s="64"/>
      <c r="OPT22" s="64"/>
      <c r="OPU22" s="64"/>
      <c r="OPV22" s="64"/>
      <c r="OPW22" s="64"/>
      <c r="OPX22" s="64"/>
      <c r="OPY22" s="64"/>
      <c r="OPZ22" s="64"/>
      <c r="OQA22" s="64"/>
      <c r="OQB22" s="64"/>
      <c r="OQC22" s="64"/>
      <c r="OQD22" s="64"/>
      <c r="OQE22" s="64"/>
      <c r="OQF22" s="64"/>
      <c r="OQG22" s="64"/>
      <c r="OQH22" s="64"/>
      <c r="OQI22" s="64"/>
      <c r="OQJ22" s="64"/>
      <c r="OQK22" s="64"/>
      <c r="OQL22" s="64"/>
      <c r="OQM22" s="64"/>
      <c r="OQN22" s="64"/>
      <c r="OQO22" s="64"/>
      <c r="OQP22" s="64"/>
      <c r="OQQ22" s="64"/>
      <c r="OQR22" s="64"/>
      <c r="OQS22" s="64"/>
      <c r="OQT22" s="64"/>
      <c r="OQU22" s="64"/>
      <c r="OQV22" s="64"/>
      <c r="OQW22" s="64"/>
      <c r="OQX22" s="64"/>
      <c r="OQY22" s="64"/>
      <c r="OQZ22" s="64"/>
      <c r="ORA22" s="64"/>
      <c r="ORB22" s="64"/>
      <c r="ORC22" s="64"/>
      <c r="ORD22" s="64"/>
      <c r="ORE22" s="64"/>
      <c r="ORF22" s="64"/>
      <c r="ORG22" s="64"/>
      <c r="ORH22" s="64"/>
      <c r="ORI22" s="64"/>
      <c r="ORJ22" s="64"/>
      <c r="ORK22" s="64"/>
      <c r="ORL22" s="64"/>
      <c r="ORM22" s="64"/>
      <c r="ORN22" s="64"/>
      <c r="ORO22" s="64"/>
      <c r="ORP22" s="64"/>
      <c r="ORQ22" s="64"/>
      <c r="ORR22" s="64"/>
      <c r="ORS22" s="64"/>
      <c r="ORT22" s="64"/>
      <c r="ORU22" s="64"/>
      <c r="ORV22" s="64"/>
      <c r="ORW22" s="64"/>
      <c r="ORX22" s="64"/>
      <c r="ORY22" s="64"/>
      <c r="ORZ22" s="64"/>
      <c r="OSA22" s="64"/>
      <c r="OSB22" s="64"/>
      <c r="OSC22" s="64"/>
      <c r="OSD22" s="64"/>
      <c r="OSE22" s="64"/>
      <c r="OSF22" s="64"/>
      <c r="OSG22" s="64"/>
      <c r="OSH22" s="64"/>
      <c r="OSI22" s="64"/>
      <c r="OSJ22" s="64"/>
      <c r="OSK22" s="64"/>
      <c r="OSL22" s="64"/>
      <c r="OSM22" s="64"/>
      <c r="OSN22" s="64"/>
      <c r="OSO22" s="64"/>
      <c r="OSP22" s="64"/>
      <c r="OSQ22" s="64"/>
      <c r="OSR22" s="64"/>
      <c r="OSS22" s="64"/>
      <c r="OST22" s="64"/>
      <c r="OSU22" s="64"/>
      <c r="OSV22" s="64"/>
      <c r="OSW22" s="64"/>
      <c r="OSX22" s="64"/>
      <c r="OSY22" s="64"/>
      <c r="OSZ22" s="64"/>
      <c r="OTA22" s="64"/>
      <c r="OTB22" s="64"/>
      <c r="OTC22" s="64"/>
      <c r="OTD22" s="64"/>
      <c r="OTE22" s="64"/>
      <c r="OTF22" s="64"/>
      <c r="OTG22" s="64"/>
      <c r="OTH22" s="64"/>
      <c r="OTI22" s="64"/>
      <c r="OTJ22" s="64"/>
      <c r="OTK22" s="64"/>
      <c r="OTL22" s="64"/>
      <c r="OTM22" s="64"/>
      <c r="OTN22" s="64"/>
      <c r="OTO22" s="64"/>
      <c r="OTP22" s="64"/>
      <c r="OTQ22" s="64"/>
      <c r="OTR22" s="64"/>
      <c r="OTS22" s="64"/>
      <c r="OTT22" s="64"/>
      <c r="OTU22" s="64"/>
      <c r="OTV22" s="64"/>
      <c r="OTW22" s="64"/>
      <c r="OTX22" s="64"/>
      <c r="OTY22" s="64"/>
      <c r="OTZ22" s="64"/>
      <c r="OUA22" s="64"/>
      <c r="OUB22" s="64"/>
      <c r="OUC22" s="64"/>
      <c r="OUD22" s="64"/>
      <c r="OUE22" s="64"/>
      <c r="OUF22" s="64"/>
      <c r="OUG22" s="64"/>
      <c r="OUH22" s="64"/>
      <c r="OUI22" s="64"/>
      <c r="OUJ22" s="64"/>
      <c r="OUK22" s="64"/>
      <c r="OUL22" s="64"/>
      <c r="OUM22" s="64"/>
      <c r="OUN22" s="64"/>
      <c r="OUO22" s="64"/>
      <c r="OUP22" s="64"/>
      <c r="OUQ22" s="64"/>
      <c r="OUR22" s="64"/>
      <c r="OUS22" s="64"/>
      <c r="OUT22" s="64"/>
      <c r="OUU22" s="64"/>
      <c r="OUV22" s="64"/>
      <c r="OUW22" s="64"/>
      <c r="OUX22" s="64"/>
      <c r="OUY22" s="64"/>
      <c r="OUZ22" s="64"/>
      <c r="OVA22" s="64"/>
      <c r="OVB22" s="64"/>
      <c r="OVC22" s="64"/>
      <c r="OVD22" s="64"/>
      <c r="OVE22" s="64"/>
      <c r="OVF22" s="64"/>
      <c r="OVG22" s="64"/>
      <c r="OVH22" s="64"/>
      <c r="OVI22" s="64"/>
      <c r="OVJ22" s="64"/>
      <c r="OVK22" s="64"/>
      <c r="OVL22" s="64"/>
      <c r="OVM22" s="64"/>
      <c r="OVN22" s="64"/>
      <c r="OVO22" s="64"/>
      <c r="OVP22" s="64"/>
      <c r="OVQ22" s="64"/>
      <c r="OVR22" s="64"/>
      <c r="OVS22" s="64"/>
      <c r="OVT22" s="64"/>
      <c r="OVU22" s="64"/>
      <c r="OVV22" s="64"/>
      <c r="OVW22" s="64"/>
      <c r="OVX22" s="64"/>
      <c r="OVY22" s="64"/>
      <c r="OVZ22" s="64"/>
      <c r="OWA22" s="64"/>
      <c r="OWB22" s="64"/>
      <c r="OWC22" s="64"/>
      <c r="OWD22" s="64"/>
      <c r="OWE22" s="64"/>
      <c r="OWF22" s="64"/>
      <c r="OWG22" s="64"/>
      <c r="OWH22" s="64"/>
      <c r="OWI22" s="64"/>
      <c r="OWJ22" s="64"/>
      <c r="OWK22" s="64"/>
      <c r="OWL22" s="64"/>
      <c r="OWM22" s="64"/>
      <c r="OWN22" s="64"/>
      <c r="OWO22" s="64"/>
      <c r="OWP22" s="64"/>
      <c r="OWQ22" s="64"/>
      <c r="OWR22" s="64"/>
      <c r="OWS22" s="64"/>
      <c r="OWT22" s="64"/>
      <c r="OWU22" s="64"/>
      <c r="OWV22" s="64"/>
      <c r="OWW22" s="64"/>
      <c r="OWX22" s="64"/>
      <c r="OWY22" s="64"/>
      <c r="OWZ22" s="64"/>
      <c r="OXA22" s="64"/>
      <c r="OXB22" s="64"/>
      <c r="OXC22" s="64"/>
      <c r="OXD22" s="64"/>
      <c r="OXE22" s="64"/>
      <c r="OXF22" s="64"/>
      <c r="OXG22" s="64"/>
      <c r="OXH22" s="64"/>
      <c r="OXI22" s="64"/>
      <c r="OXJ22" s="64"/>
      <c r="OXK22" s="64"/>
      <c r="OXL22" s="64"/>
      <c r="OXM22" s="64"/>
      <c r="OXN22" s="64"/>
      <c r="OXO22" s="64"/>
      <c r="OXP22" s="64"/>
      <c r="OXQ22" s="64"/>
      <c r="OXR22" s="64"/>
      <c r="OXS22" s="64"/>
      <c r="OXT22" s="64"/>
      <c r="OXU22" s="64"/>
      <c r="OXV22" s="64"/>
      <c r="OXW22" s="64"/>
      <c r="OXX22" s="64"/>
      <c r="OXY22" s="64"/>
      <c r="OXZ22" s="64"/>
      <c r="OYA22" s="64"/>
      <c r="OYB22" s="64"/>
      <c r="OYC22" s="64"/>
      <c r="OYD22" s="64"/>
      <c r="OYE22" s="64"/>
      <c r="OYF22" s="64"/>
      <c r="OYG22" s="64"/>
      <c r="OYH22" s="64"/>
      <c r="OYI22" s="64"/>
      <c r="OYJ22" s="64"/>
      <c r="OYK22" s="64"/>
      <c r="OYL22" s="64"/>
      <c r="OYM22" s="64"/>
      <c r="OYN22" s="64"/>
      <c r="OYO22" s="64"/>
      <c r="OYP22" s="64"/>
      <c r="OYQ22" s="64"/>
      <c r="OYR22" s="64"/>
      <c r="OYS22" s="64"/>
      <c r="OYT22" s="64"/>
      <c r="OYU22" s="64"/>
      <c r="OYV22" s="64"/>
      <c r="OYW22" s="64"/>
      <c r="OYX22" s="64"/>
      <c r="OYY22" s="64"/>
      <c r="OYZ22" s="64"/>
      <c r="OZA22" s="64"/>
      <c r="OZB22" s="64"/>
      <c r="OZC22" s="64"/>
      <c r="OZD22" s="64"/>
      <c r="OZE22" s="64"/>
      <c r="OZF22" s="64"/>
      <c r="OZG22" s="64"/>
      <c r="OZH22" s="64"/>
      <c r="OZI22" s="64"/>
      <c r="OZJ22" s="64"/>
      <c r="OZK22" s="64"/>
      <c r="OZL22" s="64"/>
      <c r="OZM22" s="64"/>
      <c r="OZN22" s="64"/>
      <c r="OZO22" s="64"/>
      <c r="OZP22" s="64"/>
      <c r="OZQ22" s="64"/>
      <c r="OZR22" s="64"/>
      <c r="OZS22" s="64"/>
      <c r="OZT22" s="64"/>
      <c r="OZU22" s="64"/>
      <c r="OZV22" s="64"/>
      <c r="OZW22" s="64"/>
      <c r="OZX22" s="64"/>
      <c r="OZY22" s="64"/>
      <c r="OZZ22" s="64"/>
      <c r="PAA22" s="64"/>
      <c r="PAB22" s="64"/>
      <c r="PAC22" s="64"/>
      <c r="PAD22" s="64"/>
      <c r="PAE22" s="64"/>
      <c r="PAF22" s="64"/>
      <c r="PAG22" s="64"/>
      <c r="PAH22" s="64"/>
      <c r="PAI22" s="64"/>
      <c r="PAJ22" s="64"/>
      <c r="PAK22" s="64"/>
      <c r="PAL22" s="64"/>
      <c r="PAM22" s="64"/>
      <c r="PAN22" s="64"/>
      <c r="PAO22" s="64"/>
      <c r="PAP22" s="64"/>
      <c r="PAQ22" s="64"/>
      <c r="PAR22" s="64"/>
      <c r="PAS22" s="64"/>
      <c r="PAT22" s="64"/>
      <c r="PAU22" s="64"/>
      <c r="PAV22" s="64"/>
      <c r="PAW22" s="64"/>
      <c r="PAX22" s="64"/>
      <c r="PAY22" s="64"/>
      <c r="PAZ22" s="64"/>
      <c r="PBA22" s="64"/>
      <c r="PBB22" s="64"/>
      <c r="PBC22" s="64"/>
      <c r="PBD22" s="64"/>
      <c r="PBE22" s="64"/>
      <c r="PBF22" s="64"/>
      <c r="PBG22" s="64"/>
      <c r="PBH22" s="64"/>
      <c r="PBI22" s="64"/>
      <c r="PBJ22" s="64"/>
      <c r="PBK22" s="64"/>
      <c r="PBL22" s="64"/>
      <c r="PBM22" s="64"/>
      <c r="PBN22" s="64"/>
      <c r="PBO22" s="64"/>
      <c r="PBP22" s="64"/>
      <c r="PBQ22" s="64"/>
      <c r="PBR22" s="64"/>
      <c r="PBS22" s="64"/>
      <c r="PBT22" s="64"/>
      <c r="PBU22" s="64"/>
      <c r="PBV22" s="64"/>
      <c r="PBW22" s="64"/>
      <c r="PBX22" s="64"/>
      <c r="PBY22" s="64"/>
      <c r="PBZ22" s="64"/>
      <c r="PCA22" s="64"/>
      <c r="PCB22" s="64"/>
      <c r="PCC22" s="64"/>
      <c r="PCD22" s="64"/>
      <c r="PCE22" s="64"/>
      <c r="PCF22" s="64"/>
      <c r="PCG22" s="64"/>
      <c r="PCH22" s="64"/>
      <c r="PCI22" s="64"/>
      <c r="PCJ22" s="64"/>
      <c r="PCK22" s="64"/>
      <c r="PCL22" s="64"/>
      <c r="PCM22" s="64"/>
      <c r="PCN22" s="64"/>
      <c r="PCO22" s="64"/>
      <c r="PCP22" s="64"/>
      <c r="PCQ22" s="64"/>
      <c r="PCR22" s="64"/>
      <c r="PCS22" s="64"/>
      <c r="PCT22" s="64"/>
      <c r="PCU22" s="64"/>
      <c r="PCV22" s="64"/>
      <c r="PCW22" s="64"/>
      <c r="PCX22" s="64"/>
      <c r="PCY22" s="64"/>
      <c r="PCZ22" s="64"/>
      <c r="PDA22" s="64"/>
      <c r="PDB22" s="64"/>
      <c r="PDC22" s="64"/>
      <c r="PDD22" s="64"/>
      <c r="PDE22" s="64"/>
      <c r="PDF22" s="64"/>
      <c r="PDG22" s="64"/>
      <c r="PDH22" s="64"/>
      <c r="PDI22" s="64"/>
      <c r="PDJ22" s="64"/>
      <c r="PDK22" s="64"/>
      <c r="PDL22" s="64"/>
      <c r="PDM22" s="64"/>
      <c r="PDN22" s="64"/>
      <c r="PDO22" s="64"/>
      <c r="PDP22" s="64"/>
      <c r="PDQ22" s="64"/>
      <c r="PDR22" s="64"/>
      <c r="PDS22" s="64"/>
      <c r="PDT22" s="64"/>
      <c r="PDU22" s="64"/>
      <c r="PDV22" s="64"/>
      <c r="PDW22" s="64"/>
      <c r="PDX22" s="64"/>
      <c r="PDY22" s="64"/>
      <c r="PDZ22" s="64"/>
      <c r="PEA22" s="64"/>
      <c r="PEB22" s="64"/>
      <c r="PEC22" s="64"/>
      <c r="PED22" s="64"/>
      <c r="PEE22" s="64"/>
      <c r="PEF22" s="64"/>
      <c r="PEG22" s="64"/>
      <c r="PEH22" s="64"/>
      <c r="PEI22" s="64"/>
      <c r="PEJ22" s="64"/>
      <c r="PEK22" s="64"/>
      <c r="PEL22" s="64"/>
      <c r="PEM22" s="64"/>
      <c r="PEN22" s="64"/>
      <c r="PEO22" s="64"/>
      <c r="PEP22" s="64"/>
      <c r="PEQ22" s="64"/>
      <c r="PER22" s="64"/>
      <c r="PES22" s="64"/>
      <c r="PET22" s="64"/>
      <c r="PEU22" s="64"/>
      <c r="PEV22" s="64"/>
      <c r="PEW22" s="64"/>
      <c r="PEX22" s="64"/>
      <c r="PEY22" s="64"/>
      <c r="PEZ22" s="64"/>
      <c r="PFA22" s="64"/>
      <c r="PFB22" s="64"/>
      <c r="PFC22" s="64"/>
      <c r="PFD22" s="64"/>
      <c r="PFE22" s="64"/>
      <c r="PFF22" s="64"/>
      <c r="PFG22" s="64"/>
      <c r="PFH22" s="64"/>
      <c r="PFI22" s="64"/>
      <c r="PFJ22" s="64"/>
      <c r="PFK22" s="64"/>
      <c r="PFL22" s="64"/>
      <c r="PFM22" s="64"/>
      <c r="PFN22" s="64"/>
      <c r="PFO22" s="64"/>
      <c r="PFP22" s="64"/>
      <c r="PFQ22" s="64"/>
      <c r="PFR22" s="64"/>
      <c r="PFS22" s="64"/>
      <c r="PFT22" s="64"/>
      <c r="PFU22" s="64"/>
      <c r="PFV22" s="64"/>
      <c r="PFW22" s="64"/>
      <c r="PFX22" s="64"/>
      <c r="PFY22" s="64"/>
      <c r="PFZ22" s="64"/>
      <c r="PGA22" s="64"/>
      <c r="PGB22" s="64"/>
      <c r="PGC22" s="64"/>
      <c r="PGD22" s="64"/>
      <c r="PGE22" s="64"/>
      <c r="PGF22" s="64"/>
      <c r="PGG22" s="64"/>
      <c r="PGH22" s="64"/>
      <c r="PGI22" s="64"/>
      <c r="PGJ22" s="64"/>
      <c r="PGK22" s="64"/>
      <c r="PGL22" s="64"/>
      <c r="PGM22" s="64"/>
      <c r="PGN22" s="64"/>
      <c r="PGO22" s="64"/>
      <c r="PGP22" s="64"/>
      <c r="PGQ22" s="64"/>
      <c r="PGR22" s="64"/>
      <c r="PGS22" s="64"/>
      <c r="PGT22" s="64"/>
      <c r="PGU22" s="64"/>
      <c r="PGV22" s="64"/>
      <c r="PGW22" s="64"/>
      <c r="PGX22" s="64"/>
      <c r="PGY22" s="64"/>
      <c r="PGZ22" s="64"/>
      <c r="PHA22" s="64"/>
      <c r="PHB22" s="64"/>
      <c r="PHC22" s="64"/>
      <c r="PHD22" s="64"/>
      <c r="PHE22" s="64"/>
      <c r="PHF22" s="64"/>
      <c r="PHG22" s="64"/>
      <c r="PHH22" s="64"/>
      <c r="PHI22" s="64"/>
      <c r="PHJ22" s="64"/>
      <c r="PHK22" s="64"/>
      <c r="PHL22" s="64"/>
      <c r="PHM22" s="64"/>
      <c r="PHN22" s="64"/>
      <c r="PHO22" s="64"/>
      <c r="PHP22" s="64"/>
      <c r="PHQ22" s="64"/>
      <c r="PHR22" s="64"/>
      <c r="PHS22" s="64"/>
      <c r="PHT22" s="64"/>
      <c r="PHU22" s="64"/>
      <c r="PHV22" s="64"/>
      <c r="PHW22" s="64"/>
      <c r="PHX22" s="64"/>
      <c r="PHY22" s="64"/>
      <c r="PHZ22" s="64"/>
      <c r="PIA22" s="64"/>
      <c r="PIB22" s="64"/>
      <c r="PIC22" s="64"/>
      <c r="PID22" s="64"/>
      <c r="PIE22" s="64"/>
      <c r="PIF22" s="64"/>
      <c r="PIG22" s="64"/>
      <c r="PIH22" s="64"/>
      <c r="PII22" s="64"/>
      <c r="PIJ22" s="64"/>
      <c r="PIK22" s="64"/>
      <c r="PIL22" s="64"/>
      <c r="PIM22" s="64"/>
      <c r="PIN22" s="64"/>
      <c r="PIO22" s="64"/>
      <c r="PIP22" s="64"/>
      <c r="PIQ22" s="64"/>
      <c r="PIR22" s="64"/>
      <c r="PIS22" s="64"/>
      <c r="PIT22" s="64"/>
      <c r="PIU22" s="64"/>
      <c r="PIV22" s="64"/>
      <c r="PIW22" s="64"/>
      <c r="PIX22" s="64"/>
      <c r="PIY22" s="64"/>
      <c r="PIZ22" s="64"/>
      <c r="PJA22" s="64"/>
      <c r="PJB22" s="64"/>
      <c r="PJC22" s="64"/>
      <c r="PJD22" s="64"/>
      <c r="PJE22" s="64"/>
      <c r="PJF22" s="64"/>
      <c r="PJG22" s="64"/>
      <c r="PJH22" s="64"/>
      <c r="PJI22" s="64"/>
      <c r="PJJ22" s="64"/>
      <c r="PJK22" s="64"/>
      <c r="PJL22" s="64"/>
      <c r="PJM22" s="64"/>
      <c r="PJN22" s="64"/>
      <c r="PJO22" s="64"/>
      <c r="PJP22" s="64"/>
      <c r="PJQ22" s="64"/>
      <c r="PJR22" s="64"/>
      <c r="PJS22" s="64"/>
      <c r="PJT22" s="64"/>
      <c r="PJU22" s="64"/>
      <c r="PJV22" s="64"/>
      <c r="PJW22" s="64"/>
      <c r="PJX22" s="64"/>
      <c r="PJY22" s="64"/>
      <c r="PJZ22" s="64"/>
      <c r="PKA22" s="64"/>
      <c r="PKB22" s="64"/>
      <c r="PKC22" s="64"/>
      <c r="PKD22" s="64"/>
      <c r="PKE22" s="64"/>
      <c r="PKF22" s="64"/>
      <c r="PKG22" s="64"/>
      <c r="PKH22" s="64"/>
      <c r="PKI22" s="64"/>
      <c r="PKJ22" s="64"/>
      <c r="PKK22" s="64"/>
      <c r="PKL22" s="64"/>
      <c r="PKM22" s="64"/>
      <c r="PKN22" s="64"/>
      <c r="PKO22" s="64"/>
      <c r="PKP22" s="64"/>
      <c r="PKQ22" s="64"/>
      <c r="PKR22" s="64"/>
      <c r="PKS22" s="64"/>
      <c r="PKT22" s="64"/>
      <c r="PKU22" s="64"/>
      <c r="PKV22" s="64"/>
      <c r="PKW22" s="64"/>
      <c r="PKX22" s="64"/>
      <c r="PKY22" s="64"/>
      <c r="PKZ22" s="64"/>
      <c r="PLA22" s="64"/>
      <c r="PLB22" s="64"/>
      <c r="PLC22" s="64"/>
      <c r="PLD22" s="64"/>
      <c r="PLE22" s="64"/>
      <c r="PLF22" s="64"/>
      <c r="PLG22" s="64"/>
      <c r="PLH22" s="64"/>
      <c r="PLI22" s="64"/>
      <c r="PLJ22" s="64"/>
      <c r="PLK22" s="64"/>
      <c r="PLL22" s="64"/>
      <c r="PLM22" s="64"/>
      <c r="PLN22" s="64"/>
      <c r="PLO22" s="64"/>
      <c r="PLP22" s="64"/>
      <c r="PLQ22" s="64"/>
      <c r="PLR22" s="64"/>
      <c r="PLS22" s="64"/>
      <c r="PLT22" s="64"/>
      <c r="PLU22" s="64"/>
      <c r="PLV22" s="64"/>
      <c r="PLW22" s="64"/>
      <c r="PLX22" s="64"/>
      <c r="PLY22" s="64"/>
      <c r="PLZ22" s="64"/>
      <c r="PMA22" s="64"/>
      <c r="PMB22" s="64"/>
      <c r="PMC22" s="64"/>
      <c r="PMD22" s="64"/>
      <c r="PME22" s="64"/>
      <c r="PMF22" s="64"/>
      <c r="PMG22" s="64"/>
      <c r="PMH22" s="64"/>
      <c r="PMI22" s="64"/>
      <c r="PMJ22" s="64"/>
      <c r="PMK22" s="64"/>
      <c r="PML22" s="64"/>
      <c r="PMM22" s="64"/>
      <c r="PMN22" s="64"/>
      <c r="PMO22" s="64"/>
      <c r="PMP22" s="64"/>
      <c r="PMQ22" s="64"/>
      <c r="PMR22" s="64"/>
      <c r="PMS22" s="64"/>
      <c r="PMT22" s="64"/>
      <c r="PMU22" s="64"/>
      <c r="PMV22" s="64"/>
      <c r="PMW22" s="64"/>
      <c r="PMX22" s="64"/>
      <c r="PMY22" s="64"/>
      <c r="PMZ22" s="64"/>
      <c r="PNA22" s="64"/>
      <c r="PNB22" s="64"/>
      <c r="PNC22" s="64"/>
      <c r="PND22" s="64"/>
      <c r="PNE22" s="64"/>
      <c r="PNF22" s="64"/>
      <c r="PNG22" s="64"/>
      <c r="PNH22" s="64"/>
      <c r="PNI22" s="64"/>
      <c r="PNJ22" s="64"/>
      <c r="PNK22" s="64"/>
      <c r="PNL22" s="64"/>
      <c r="PNM22" s="64"/>
      <c r="PNN22" s="64"/>
      <c r="PNO22" s="64"/>
      <c r="PNP22" s="64"/>
      <c r="PNQ22" s="64"/>
      <c r="PNR22" s="64"/>
      <c r="PNS22" s="64"/>
      <c r="PNT22" s="64"/>
      <c r="PNU22" s="64"/>
      <c r="PNV22" s="64"/>
      <c r="PNW22" s="64"/>
      <c r="PNX22" s="64"/>
      <c r="PNY22" s="64"/>
      <c r="PNZ22" s="64"/>
      <c r="POA22" s="64"/>
      <c r="POB22" s="64"/>
      <c r="POC22" s="64"/>
      <c r="POD22" s="64"/>
      <c r="POE22" s="64"/>
      <c r="POF22" s="64"/>
      <c r="POG22" s="64"/>
      <c r="POH22" s="64"/>
      <c r="POI22" s="64"/>
      <c r="POJ22" s="64"/>
      <c r="POK22" s="64"/>
      <c r="POL22" s="64"/>
      <c r="POM22" s="64"/>
      <c r="PON22" s="64"/>
      <c r="POO22" s="64"/>
      <c r="POP22" s="64"/>
      <c r="POQ22" s="64"/>
      <c r="POR22" s="64"/>
      <c r="POS22" s="64"/>
      <c r="POT22" s="64"/>
      <c r="POU22" s="64"/>
      <c r="POV22" s="64"/>
      <c r="POW22" s="64"/>
      <c r="POX22" s="64"/>
      <c r="POY22" s="64"/>
      <c r="POZ22" s="64"/>
      <c r="PPA22" s="64"/>
      <c r="PPB22" s="64"/>
      <c r="PPC22" s="64"/>
      <c r="PPD22" s="64"/>
      <c r="PPE22" s="64"/>
      <c r="PPF22" s="64"/>
      <c r="PPG22" s="64"/>
      <c r="PPH22" s="64"/>
      <c r="PPI22" s="64"/>
      <c r="PPJ22" s="64"/>
      <c r="PPK22" s="64"/>
      <c r="PPL22" s="64"/>
      <c r="PPM22" s="64"/>
      <c r="PPN22" s="64"/>
      <c r="PPO22" s="64"/>
      <c r="PPP22" s="64"/>
      <c r="PPQ22" s="64"/>
      <c r="PPR22" s="64"/>
      <c r="PPS22" s="64"/>
      <c r="PPT22" s="64"/>
      <c r="PPU22" s="64"/>
      <c r="PPV22" s="64"/>
      <c r="PPW22" s="64"/>
      <c r="PPX22" s="64"/>
      <c r="PPY22" s="64"/>
      <c r="PPZ22" s="64"/>
      <c r="PQA22" s="64"/>
      <c r="PQB22" s="64"/>
      <c r="PQC22" s="64"/>
      <c r="PQD22" s="64"/>
      <c r="PQE22" s="64"/>
      <c r="PQF22" s="64"/>
      <c r="PQG22" s="64"/>
      <c r="PQH22" s="64"/>
      <c r="PQI22" s="64"/>
      <c r="PQJ22" s="64"/>
      <c r="PQK22" s="64"/>
      <c r="PQL22" s="64"/>
      <c r="PQM22" s="64"/>
      <c r="PQN22" s="64"/>
      <c r="PQO22" s="64"/>
      <c r="PQP22" s="64"/>
      <c r="PQQ22" s="64"/>
      <c r="PQR22" s="64"/>
      <c r="PQS22" s="64"/>
      <c r="PQT22" s="64"/>
      <c r="PQU22" s="64"/>
      <c r="PQV22" s="64"/>
      <c r="PQW22" s="64"/>
      <c r="PQX22" s="64"/>
      <c r="PQY22" s="64"/>
      <c r="PQZ22" s="64"/>
      <c r="PRA22" s="64"/>
      <c r="PRB22" s="64"/>
      <c r="PRC22" s="64"/>
      <c r="PRD22" s="64"/>
      <c r="PRE22" s="64"/>
      <c r="PRF22" s="64"/>
      <c r="PRG22" s="64"/>
      <c r="PRH22" s="64"/>
      <c r="PRI22" s="64"/>
      <c r="PRJ22" s="64"/>
      <c r="PRK22" s="64"/>
      <c r="PRL22" s="64"/>
      <c r="PRM22" s="64"/>
      <c r="PRN22" s="64"/>
      <c r="PRO22" s="64"/>
      <c r="PRP22" s="64"/>
      <c r="PRQ22" s="64"/>
      <c r="PRR22" s="64"/>
      <c r="PRS22" s="64"/>
      <c r="PRT22" s="64"/>
      <c r="PRU22" s="64"/>
      <c r="PRV22" s="64"/>
      <c r="PRW22" s="64"/>
      <c r="PRX22" s="64"/>
      <c r="PRY22" s="64"/>
      <c r="PRZ22" s="64"/>
      <c r="PSA22" s="64"/>
      <c r="PSB22" s="64"/>
      <c r="PSC22" s="64"/>
      <c r="PSD22" s="64"/>
      <c r="PSE22" s="64"/>
      <c r="PSF22" s="64"/>
      <c r="PSG22" s="64"/>
      <c r="PSH22" s="64"/>
      <c r="PSI22" s="64"/>
      <c r="PSJ22" s="64"/>
      <c r="PSK22" s="64"/>
      <c r="PSL22" s="64"/>
      <c r="PSM22" s="64"/>
      <c r="PSN22" s="64"/>
      <c r="PSO22" s="64"/>
      <c r="PSP22" s="64"/>
      <c r="PSQ22" s="64"/>
      <c r="PSR22" s="64"/>
      <c r="PSS22" s="64"/>
      <c r="PST22" s="64"/>
      <c r="PSU22" s="64"/>
      <c r="PSV22" s="64"/>
      <c r="PSW22" s="64"/>
      <c r="PSX22" s="64"/>
      <c r="PSY22" s="64"/>
      <c r="PSZ22" s="64"/>
      <c r="PTA22" s="64"/>
      <c r="PTB22" s="64"/>
      <c r="PTC22" s="64"/>
      <c r="PTD22" s="64"/>
      <c r="PTE22" s="64"/>
      <c r="PTF22" s="64"/>
      <c r="PTG22" s="64"/>
      <c r="PTH22" s="64"/>
      <c r="PTI22" s="64"/>
      <c r="PTJ22" s="64"/>
      <c r="PTK22" s="64"/>
      <c r="PTL22" s="64"/>
      <c r="PTM22" s="64"/>
      <c r="PTN22" s="64"/>
      <c r="PTO22" s="64"/>
      <c r="PTP22" s="64"/>
      <c r="PTQ22" s="64"/>
      <c r="PTR22" s="64"/>
      <c r="PTS22" s="64"/>
      <c r="PTT22" s="64"/>
      <c r="PTU22" s="64"/>
      <c r="PTV22" s="64"/>
      <c r="PTW22" s="64"/>
      <c r="PTX22" s="64"/>
      <c r="PTY22" s="64"/>
      <c r="PTZ22" s="64"/>
      <c r="PUA22" s="64"/>
      <c r="PUB22" s="64"/>
      <c r="PUC22" s="64"/>
      <c r="PUD22" s="64"/>
      <c r="PUE22" s="64"/>
      <c r="PUF22" s="64"/>
      <c r="PUG22" s="64"/>
      <c r="PUH22" s="64"/>
      <c r="PUI22" s="64"/>
      <c r="PUJ22" s="64"/>
      <c r="PUK22" s="64"/>
      <c r="PUL22" s="64"/>
      <c r="PUM22" s="64"/>
      <c r="PUN22" s="64"/>
      <c r="PUO22" s="64"/>
      <c r="PUP22" s="64"/>
      <c r="PUQ22" s="64"/>
      <c r="PUR22" s="64"/>
      <c r="PUS22" s="64"/>
      <c r="PUT22" s="64"/>
      <c r="PUU22" s="64"/>
      <c r="PUV22" s="64"/>
      <c r="PUW22" s="64"/>
      <c r="PUX22" s="64"/>
      <c r="PUY22" s="64"/>
      <c r="PUZ22" s="64"/>
      <c r="PVA22" s="64"/>
      <c r="PVB22" s="64"/>
      <c r="PVC22" s="64"/>
      <c r="PVD22" s="64"/>
      <c r="PVE22" s="64"/>
      <c r="PVF22" s="64"/>
      <c r="PVG22" s="64"/>
      <c r="PVH22" s="64"/>
      <c r="PVI22" s="64"/>
      <c r="PVJ22" s="64"/>
      <c r="PVK22" s="64"/>
      <c r="PVL22" s="64"/>
      <c r="PVM22" s="64"/>
      <c r="PVN22" s="64"/>
      <c r="PVO22" s="64"/>
      <c r="PVP22" s="64"/>
      <c r="PVQ22" s="64"/>
      <c r="PVR22" s="64"/>
      <c r="PVS22" s="64"/>
      <c r="PVT22" s="64"/>
      <c r="PVU22" s="64"/>
      <c r="PVV22" s="64"/>
      <c r="PVW22" s="64"/>
      <c r="PVX22" s="64"/>
      <c r="PVY22" s="64"/>
      <c r="PVZ22" s="64"/>
      <c r="PWA22" s="64"/>
      <c r="PWB22" s="64"/>
      <c r="PWC22" s="64"/>
      <c r="PWD22" s="64"/>
      <c r="PWE22" s="64"/>
      <c r="PWF22" s="64"/>
      <c r="PWG22" s="64"/>
      <c r="PWH22" s="64"/>
      <c r="PWI22" s="64"/>
      <c r="PWJ22" s="64"/>
      <c r="PWK22" s="64"/>
      <c r="PWL22" s="64"/>
      <c r="PWM22" s="64"/>
      <c r="PWN22" s="64"/>
      <c r="PWO22" s="64"/>
      <c r="PWP22" s="64"/>
      <c r="PWQ22" s="64"/>
      <c r="PWR22" s="64"/>
      <c r="PWS22" s="64"/>
      <c r="PWT22" s="64"/>
      <c r="PWU22" s="64"/>
      <c r="PWV22" s="64"/>
      <c r="PWW22" s="64"/>
      <c r="PWX22" s="64"/>
      <c r="PWY22" s="64"/>
      <c r="PWZ22" s="64"/>
      <c r="PXA22" s="64"/>
      <c r="PXB22" s="64"/>
      <c r="PXC22" s="64"/>
      <c r="PXD22" s="64"/>
      <c r="PXE22" s="64"/>
      <c r="PXF22" s="64"/>
      <c r="PXG22" s="64"/>
      <c r="PXH22" s="64"/>
      <c r="PXI22" s="64"/>
      <c r="PXJ22" s="64"/>
      <c r="PXK22" s="64"/>
      <c r="PXL22" s="64"/>
      <c r="PXM22" s="64"/>
      <c r="PXN22" s="64"/>
      <c r="PXO22" s="64"/>
      <c r="PXP22" s="64"/>
      <c r="PXQ22" s="64"/>
      <c r="PXR22" s="64"/>
      <c r="PXS22" s="64"/>
      <c r="PXT22" s="64"/>
      <c r="PXU22" s="64"/>
      <c r="PXV22" s="64"/>
      <c r="PXW22" s="64"/>
      <c r="PXX22" s="64"/>
      <c r="PXY22" s="64"/>
      <c r="PXZ22" s="64"/>
      <c r="PYA22" s="64"/>
      <c r="PYB22" s="64"/>
      <c r="PYC22" s="64"/>
      <c r="PYD22" s="64"/>
      <c r="PYE22" s="64"/>
      <c r="PYF22" s="64"/>
      <c r="PYG22" s="64"/>
      <c r="PYH22" s="64"/>
      <c r="PYI22" s="64"/>
      <c r="PYJ22" s="64"/>
      <c r="PYK22" s="64"/>
      <c r="PYL22" s="64"/>
      <c r="PYM22" s="64"/>
      <c r="PYN22" s="64"/>
      <c r="PYO22" s="64"/>
      <c r="PYP22" s="64"/>
      <c r="PYQ22" s="64"/>
      <c r="PYR22" s="64"/>
      <c r="PYS22" s="64"/>
      <c r="PYT22" s="64"/>
      <c r="PYU22" s="64"/>
      <c r="PYV22" s="64"/>
      <c r="PYW22" s="64"/>
      <c r="PYX22" s="64"/>
      <c r="PYY22" s="64"/>
      <c r="PYZ22" s="64"/>
      <c r="PZA22" s="64"/>
      <c r="PZB22" s="64"/>
      <c r="PZC22" s="64"/>
      <c r="PZD22" s="64"/>
      <c r="PZE22" s="64"/>
      <c r="PZF22" s="64"/>
      <c r="PZG22" s="64"/>
      <c r="PZH22" s="64"/>
      <c r="PZI22" s="64"/>
      <c r="PZJ22" s="64"/>
      <c r="PZK22" s="64"/>
      <c r="PZL22" s="64"/>
      <c r="PZM22" s="64"/>
      <c r="PZN22" s="64"/>
      <c r="PZO22" s="64"/>
      <c r="PZP22" s="64"/>
      <c r="PZQ22" s="64"/>
      <c r="PZR22" s="64"/>
      <c r="PZS22" s="64"/>
      <c r="PZT22" s="64"/>
      <c r="PZU22" s="64"/>
      <c r="PZV22" s="64"/>
      <c r="PZW22" s="64"/>
      <c r="PZX22" s="64"/>
      <c r="PZY22" s="64"/>
      <c r="PZZ22" s="64"/>
      <c r="QAA22" s="64"/>
      <c r="QAB22" s="64"/>
      <c r="QAC22" s="64"/>
      <c r="QAD22" s="64"/>
      <c r="QAE22" s="64"/>
      <c r="QAF22" s="64"/>
      <c r="QAG22" s="64"/>
      <c r="QAH22" s="64"/>
      <c r="QAI22" s="64"/>
      <c r="QAJ22" s="64"/>
      <c r="QAK22" s="64"/>
      <c r="QAL22" s="64"/>
      <c r="QAM22" s="64"/>
      <c r="QAN22" s="64"/>
      <c r="QAO22" s="64"/>
      <c r="QAP22" s="64"/>
      <c r="QAQ22" s="64"/>
      <c r="QAR22" s="64"/>
      <c r="QAS22" s="64"/>
      <c r="QAT22" s="64"/>
      <c r="QAU22" s="64"/>
      <c r="QAV22" s="64"/>
      <c r="QAW22" s="64"/>
      <c r="QAX22" s="64"/>
      <c r="QAY22" s="64"/>
      <c r="QAZ22" s="64"/>
      <c r="QBA22" s="64"/>
      <c r="QBB22" s="64"/>
      <c r="QBC22" s="64"/>
      <c r="QBD22" s="64"/>
      <c r="QBE22" s="64"/>
      <c r="QBF22" s="64"/>
      <c r="QBG22" s="64"/>
      <c r="QBH22" s="64"/>
      <c r="QBI22" s="64"/>
      <c r="QBJ22" s="64"/>
      <c r="QBK22" s="64"/>
      <c r="QBL22" s="64"/>
      <c r="QBM22" s="64"/>
      <c r="QBN22" s="64"/>
      <c r="QBO22" s="64"/>
      <c r="QBP22" s="64"/>
      <c r="QBQ22" s="64"/>
      <c r="QBR22" s="64"/>
      <c r="QBS22" s="64"/>
      <c r="QBT22" s="64"/>
      <c r="QBU22" s="64"/>
      <c r="QBV22" s="64"/>
      <c r="QBW22" s="64"/>
      <c r="QBX22" s="64"/>
      <c r="QBY22" s="64"/>
      <c r="QBZ22" s="64"/>
      <c r="QCA22" s="64"/>
      <c r="QCB22" s="64"/>
      <c r="QCC22" s="64"/>
      <c r="QCD22" s="64"/>
      <c r="QCE22" s="64"/>
      <c r="QCF22" s="64"/>
      <c r="QCG22" s="64"/>
      <c r="QCH22" s="64"/>
      <c r="QCI22" s="64"/>
      <c r="QCJ22" s="64"/>
      <c r="QCK22" s="64"/>
      <c r="QCL22" s="64"/>
      <c r="QCM22" s="64"/>
      <c r="QCN22" s="64"/>
      <c r="QCO22" s="64"/>
      <c r="QCP22" s="64"/>
      <c r="QCQ22" s="64"/>
      <c r="QCR22" s="64"/>
      <c r="QCS22" s="64"/>
      <c r="QCT22" s="64"/>
      <c r="QCU22" s="64"/>
      <c r="QCV22" s="64"/>
      <c r="QCW22" s="64"/>
      <c r="QCX22" s="64"/>
      <c r="QCY22" s="64"/>
      <c r="QCZ22" s="64"/>
      <c r="QDA22" s="64"/>
      <c r="QDB22" s="64"/>
      <c r="QDC22" s="64"/>
      <c r="QDD22" s="64"/>
      <c r="QDE22" s="64"/>
      <c r="QDF22" s="64"/>
      <c r="QDG22" s="64"/>
      <c r="QDH22" s="64"/>
      <c r="QDI22" s="64"/>
      <c r="QDJ22" s="64"/>
      <c r="QDK22" s="64"/>
      <c r="QDL22" s="64"/>
      <c r="QDM22" s="64"/>
      <c r="QDN22" s="64"/>
      <c r="QDO22" s="64"/>
      <c r="QDP22" s="64"/>
      <c r="QDQ22" s="64"/>
      <c r="QDR22" s="64"/>
      <c r="QDS22" s="64"/>
      <c r="QDT22" s="64"/>
      <c r="QDU22" s="64"/>
      <c r="QDV22" s="64"/>
      <c r="QDW22" s="64"/>
      <c r="QDX22" s="64"/>
      <c r="QDY22" s="64"/>
      <c r="QDZ22" s="64"/>
      <c r="QEA22" s="64"/>
      <c r="QEB22" s="64"/>
      <c r="QEC22" s="64"/>
      <c r="QED22" s="64"/>
      <c r="QEE22" s="64"/>
      <c r="QEF22" s="64"/>
      <c r="QEG22" s="64"/>
      <c r="QEH22" s="64"/>
      <c r="QEI22" s="64"/>
      <c r="QEJ22" s="64"/>
      <c r="QEK22" s="64"/>
      <c r="QEL22" s="64"/>
      <c r="QEM22" s="64"/>
      <c r="QEN22" s="64"/>
      <c r="QEO22" s="64"/>
      <c r="QEP22" s="64"/>
      <c r="QEQ22" s="64"/>
      <c r="QER22" s="64"/>
      <c r="QES22" s="64"/>
      <c r="QET22" s="64"/>
      <c r="QEU22" s="64"/>
      <c r="QEV22" s="64"/>
      <c r="QEW22" s="64"/>
      <c r="QEX22" s="64"/>
      <c r="QEY22" s="64"/>
      <c r="QEZ22" s="64"/>
      <c r="QFA22" s="64"/>
      <c r="QFB22" s="64"/>
      <c r="QFC22" s="64"/>
      <c r="QFD22" s="64"/>
      <c r="QFE22" s="64"/>
      <c r="QFF22" s="64"/>
      <c r="QFG22" s="64"/>
      <c r="QFH22" s="64"/>
      <c r="QFI22" s="64"/>
      <c r="QFJ22" s="64"/>
      <c r="QFK22" s="64"/>
      <c r="QFL22" s="64"/>
      <c r="QFM22" s="64"/>
      <c r="QFN22" s="64"/>
      <c r="QFO22" s="64"/>
      <c r="QFP22" s="64"/>
      <c r="QFQ22" s="64"/>
      <c r="QFR22" s="64"/>
      <c r="QFS22" s="64"/>
      <c r="QFT22" s="64"/>
      <c r="QFU22" s="64"/>
      <c r="QFV22" s="64"/>
      <c r="QFW22" s="64"/>
      <c r="QFX22" s="64"/>
      <c r="QFY22" s="64"/>
      <c r="QFZ22" s="64"/>
      <c r="QGA22" s="64"/>
      <c r="QGB22" s="64"/>
      <c r="QGC22" s="64"/>
      <c r="QGD22" s="64"/>
      <c r="QGE22" s="64"/>
      <c r="QGF22" s="64"/>
      <c r="QGG22" s="64"/>
      <c r="QGH22" s="64"/>
      <c r="QGI22" s="64"/>
      <c r="QGJ22" s="64"/>
      <c r="QGK22" s="64"/>
      <c r="QGL22" s="64"/>
      <c r="QGM22" s="64"/>
      <c r="QGN22" s="64"/>
      <c r="QGO22" s="64"/>
      <c r="QGP22" s="64"/>
      <c r="QGQ22" s="64"/>
      <c r="QGR22" s="64"/>
      <c r="QGS22" s="64"/>
      <c r="QGT22" s="64"/>
      <c r="QGU22" s="64"/>
      <c r="QGV22" s="64"/>
      <c r="QGW22" s="64"/>
      <c r="QGX22" s="64"/>
      <c r="QGY22" s="64"/>
      <c r="QGZ22" s="64"/>
      <c r="QHA22" s="64"/>
      <c r="QHB22" s="64"/>
      <c r="QHC22" s="64"/>
      <c r="QHD22" s="64"/>
      <c r="QHE22" s="64"/>
      <c r="QHF22" s="64"/>
      <c r="QHG22" s="64"/>
      <c r="QHH22" s="64"/>
      <c r="QHI22" s="64"/>
      <c r="QHJ22" s="64"/>
      <c r="QHK22" s="64"/>
      <c r="QHL22" s="64"/>
      <c r="QHM22" s="64"/>
      <c r="QHN22" s="64"/>
      <c r="QHO22" s="64"/>
      <c r="QHP22" s="64"/>
      <c r="QHQ22" s="64"/>
      <c r="QHR22" s="64"/>
      <c r="QHS22" s="64"/>
      <c r="QHT22" s="64"/>
      <c r="QHU22" s="64"/>
      <c r="QHV22" s="64"/>
      <c r="QHW22" s="64"/>
      <c r="QHX22" s="64"/>
      <c r="QHY22" s="64"/>
      <c r="QHZ22" s="64"/>
      <c r="QIA22" s="64"/>
      <c r="QIB22" s="64"/>
      <c r="QIC22" s="64"/>
      <c r="QID22" s="64"/>
      <c r="QIE22" s="64"/>
      <c r="QIF22" s="64"/>
      <c r="QIG22" s="64"/>
      <c r="QIH22" s="64"/>
      <c r="QII22" s="64"/>
      <c r="QIJ22" s="64"/>
      <c r="QIK22" s="64"/>
      <c r="QIL22" s="64"/>
      <c r="QIM22" s="64"/>
      <c r="QIN22" s="64"/>
      <c r="QIO22" s="64"/>
      <c r="QIP22" s="64"/>
      <c r="QIQ22" s="64"/>
      <c r="QIR22" s="64"/>
      <c r="QIS22" s="64"/>
      <c r="QIT22" s="64"/>
      <c r="QIU22" s="64"/>
      <c r="QIV22" s="64"/>
      <c r="QIW22" s="64"/>
      <c r="QIX22" s="64"/>
      <c r="QIY22" s="64"/>
      <c r="QIZ22" s="64"/>
      <c r="QJA22" s="64"/>
      <c r="QJB22" s="64"/>
      <c r="QJC22" s="64"/>
      <c r="QJD22" s="64"/>
      <c r="QJE22" s="64"/>
      <c r="QJF22" s="64"/>
      <c r="QJG22" s="64"/>
      <c r="QJH22" s="64"/>
      <c r="QJI22" s="64"/>
      <c r="QJJ22" s="64"/>
      <c r="QJK22" s="64"/>
      <c r="QJL22" s="64"/>
      <c r="QJM22" s="64"/>
      <c r="QJN22" s="64"/>
      <c r="QJO22" s="64"/>
      <c r="QJP22" s="64"/>
      <c r="QJQ22" s="64"/>
      <c r="QJR22" s="64"/>
      <c r="QJS22" s="64"/>
      <c r="QJT22" s="64"/>
      <c r="QJU22" s="64"/>
      <c r="QJV22" s="64"/>
      <c r="QJW22" s="64"/>
      <c r="QJX22" s="64"/>
      <c r="QJY22" s="64"/>
      <c r="QJZ22" s="64"/>
      <c r="QKA22" s="64"/>
      <c r="QKB22" s="64"/>
      <c r="QKC22" s="64"/>
      <c r="QKD22" s="64"/>
      <c r="QKE22" s="64"/>
      <c r="QKF22" s="64"/>
      <c r="QKG22" s="64"/>
      <c r="QKH22" s="64"/>
      <c r="QKI22" s="64"/>
      <c r="QKJ22" s="64"/>
      <c r="QKK22" s="64"/>
      <c r="QKL22" s="64"/>
      <c r="QKM22" s="64"/>
      <c r="QKN22" s="64"/>
      <c r="QKO22" s="64"/>
      <c r="QKP22" s="64"/>
      <c r="QKQ22" s="64"/>
      <c r="QKR22" s="64"/>
      <c r="QKS22" s="64"/>
      <c r="QKT22" s="64"/>
      <c r="QKU22" s="64"/>
      <c r="QKV22" s="64"/>
      <c r="QKW22" s="64"/>
      <c r="QKX22" s="64"/>
      <c r="QKY22" s="64"/>
      <c r="QKZ22" s="64"/>
      <c r="QLA22" s="64"/>
      <c r="QLB22" s="64"/>
      <c r="QLC22" s="64"/>
      <c r="QLD22" s="64"/>
      <c r="QLE22" s="64"/>
      <c r="QLF22" s="64"/>
      <c r="QLG22" s="64"/>
      <c r="QLH22" s="64"/>
      <c r="QLI22" s="64"/>
      <c r="QLJ22" s="64"/>
      <c r="QLK22" s="64"/>
      <c r="QLL22" s="64"/>
      <c r="QLM22" s="64"/>
      <c r="QLN22" s="64"/>
      <c r="QLO22" s="64"/>
      <c r="QLP22" s="64"/>
      <c r="QLQ22" s="64"/>
      <c r="QLR22" s="64"/>
      <c r="QLS22" s="64"/>
      <c r="QLT22" s="64"/>
      <c r="QLU22" s="64"/>
      <c r="QLV22" s="64"/>
      <c r="QLW22" s="64"/>
      <c r="QLX22" s="64"/>
      <c r="QLY22" s="64"/>
      <c r="QLZ22" s="64"/>
      <c r="QMA22" s="64"/>
      <c r="QMB22" s="64"/>
      <c r="QMC22" s="64"/>
      <c r="QMD22" s="64"/>
      <c r="QME22" s="64"/>
      <c r="QMF22" s="64"/>
      <c r="QMG22" s="64"/>
      <c r="QMH22" s="64"/>
      <c r="QMI22" s="64"/>
      <c r="QMJ22" s="64"/>
      <c r="QMK22" s="64"/>
      <c r="QML22" s="64"/>
      <c r="QMM22" s="64"/>
      <c r="QMN22" s="64"/>
      <c r="QMO22" s="64"/>
      <c r="QMP22" s="64"/>
      <c r="QMQ22" s="64"/>
      <c r="QMR22" s="64"/>
      <c r="QMS22" s="64"/>
      <c r="QMT22" s="64"/>
      <c r="QMU22" s="64"/>
      <c r="QMV22" s="64"/>
      <c r="QMW22" s="64"/>
      <c r="QMX22" s="64"/>
      <c r="QMY22" s="64"/>
      <c r="QMZ22" s="64"/>
      <c r="QNA22" s="64"/>
      <c r="QNB22" s="64"/>
      <c r="QNC22" s="64"/>
      <c r="QND22" s="64"/>
      <c r="QNE22" s="64"/>
      <c r="QNF22" s="64"/>
      <c r="QNG22" s="64"/>
      <c r="QNH22" s="64"/>
      <c r="QNI22" s="64"/>
      <c r="QNJ22" s="64"/>
      <c r="QNK22" s="64"/>
      <c r="QNL22" s="64"/>
      <c r="QNM22" s="64"/>
      <c r="QNN22" s="64"/>
      <c r="QNO22" s="64"/>
      <c r="QNP22" s="64"/>
      <c r="QNQ22" s="64"/>
      <c r="QNR22" s="64"/>
      <c r="QNS22" s="64"/>
      <c r="QNT22" s="64"/>
      <c r="QNU22" s="64"/>
      <c r="QNV22" s="64"/>
      <c r="QNW22" s="64"/>
      <c r="QNX22" s="64"/>
      <c r="QNY22" s="64"/>
      <c r="QNZ22" s="64"/>
      <c r="QOA22" s="64"/>
      <c r="QOB22" s="64"/>
      <c r="QOC22" s="64"/>
      <c r="QOD22" s="64"/>
      <c r="QOE22" s="64"/>
      <c r="QOF22" s="64"/>
      <c r="QOG22" s="64"/>
      <c r="QOH22" s="64"/>
      <c r="QOI22" s="64"/>
      <c r="QOJ22" s="64"/>
      <c r="QOK22" s="64"/>
      <c r="QOL22" s="64"/>
      <c r="QOM22" s="64"/>
      <c r="QON22" s="64"/>
      <c r="QOO22" s="64"/>
      <c r="QOP22" s="64"/>
      <c r="QOQ22" s="64"/>
      <c r="QOR22" s="64"/>
      <c r="QOS22" s="64"/>
      <c r="QOT22" s="64"/>
      <c r="QOU22" s="64"/>
      <c r="QOV22" s="64"/>
      <c r="QOW22" s="64"/>
      <c r="QOX22" s="64"/>
      <c r="QOY22" s="64"/>
      <c r="QOZ22" s="64"/>
      <c r="QPA22" s="64"/>
      <c r="QPB22" s="64"/>
      <c r="QPC22" s="64"/>
      <c r="QPD22" s="64"/>
      <c r="QPE22" s="64"/>
      <c r="QPF22" s="64"/>
      <c r="QPG22" s="64"/>
      <c r="QPH22" s="64"/>
      <c r="QPI22" s="64"/>
      <c r="QPJ22" s="64"/>
      <c r="QPK22" s="64"/>
      <c r="QPL22" s="64"/>
      <c r="QPM22" s="64"/>
      <c r="QPN22" s="64"/>
      <c r="QPO22" s="64"/>
      <c r="QPP22" s="64"/>
      <c r="QPQ22" s="64"/>
      <c r="QPR22" s="64"/>
      <c r="QPS22" s="64"/>
      <c r="QPT22" s="64"/>
      <c r="QPU22" s="64"/>
      <c r="QPV22" s="64"/>
      <c r="QPW22" s="64"/>
      <c r="QPX22" s="64"/>
      <c r="QPY22" s="64"/>
      <c r="QPZ22" s="64"/>
      <c r="QQA22" s="64"/>
      <c r="QQB22" s="64"/>
      <c r="QQC22" s="64"/>
      <c r="QQD22" s="64"/>
      <c r="QQE22" s="64"/>
      <c r="QQF22" s="64"/>
      <c r="QQG22" s="64"/>
      <c r="QQH22" s="64"/>
      <c r="QQI22" s="64"/>
      <c r="QQJ22" s="64"/>
      <c r="QQK22" s="64"/>
      <c r="QQL22" s="64"/>
      <c r="QQM22" s="64"/>
      <c r="QQN22" s="64"/>
      <c r="QQO22" s="64"/>
      <c r="QQP22" s="64"/>
      <c r="QQQ22" s="64"/>
      <c r="QQR22" s="64"/>
      <c r="QQS22" s="64"/>
      <c r="QQT22" s="64"/>
      <c r="QQU22" s="64"/>
      <c r="QQV22" s="64"/>
      <c r="QQW22" s="64"/>
      <c r="QQX22" s="64"/>
      <c r="QQY22" s="64"/>
      <c r="QQZ22" s="64"/>
      <c r="QRA22" s="64"/>
      <c r="QRB22" s="64"/>
      <c r="QRC22" s="64"/>
      <c r="QRD22" s="64"/>
      <c r="QRE22" s="64"/>
      <c r="QRF22" s="64"/>
      <c r="QRG22" s="64"/>
      <c r="QRH22" s="64"/>
      <c r="QRI22" s="64"/>
      <c r="QRJ22" s="64"/>
      <c r="QRK22" s="64"/>
      <c r="QRL22" s="64"/>
      <c r="QRM22" s="64"/>
      <c r="QRN22" s="64"/>
      <c r="QRO22" s="64"/>
      <c r="QRP22" s="64"/>
      <c r="QRQ22" s="64"/>
      <c r="QRR22" s="64"/>
      <c r="QRS22" s="64"/>
      <c r="QRT22" s="64"/>
      <c r="QRU22" s="64"/>
      <c r="QRV22" s="64"/>
      <c r="QRW22" s="64"/>
      <c r="QRX22" s="64"/>
      <c r="QRY22" s="64"/>
      <c r="QRZ22" s="64"/>
      <c r="QSA22" s="64"/>
      <c r="QSB22" s="64"/>
      <c r="QSC22" s="64"/>
      <c r="QSD22" s="64"/>
      <c r="QSE22" s="64"/>
      <c r="QSF22" s="64"/>
      <c r="QSG22" s="64"/>
      <c r="QSH22" s="64"/>
      <c r="QSI22" s="64"/>
      <c r="QSJ22" s="64"/>
      <c r="QSK22" s="64"/>
      <c r="QSL22" s="64"/>
      <c r="QSM22" s="64"/>
      <c r="QSN22" s="64"/>
      <c r="QSO22" s="64"/>
      <c r="QSP22" s="64"/>
      <c r="QSQ22" s="64"/>
      <c r="QSR22" s="64"/>
      <c r="QSS22" s="64"/>
      <c r="QST22" s="64"/>
      <c r="QSU22" s="64"/>
      <c r="QSV22" s="64"/>
      <c r="QSW22" s="64"/>
      <c r="QSX22" s="64"/>
      <c r="QSY22" s="64"/>
      <c r="QSZ22" s="64"/>
      <c r="QTA22" s="64"/>
      <c r="QTB22" s="64"/>
      <c r="QTC22" s="64"/>
      <c r="QTD22" s="64"/>
      <c r="QTE22" s="64"/>
      <c r="QTF22" s="64"/>
      <c r="QTG22" s="64"/>
      <c r="QTH22" s="64"/>
      <c r="QTI22" s="64"/>
      <c r="QTJ22" s="64"/>
      <c r="QTK22" s="64"/>
      <c r="QTL22" s="64"/>
      <c r="QTM22" s="64"/>
      <c r="QTN22" s="64"/>
      <c r="QTO22" s="64"/>
      <c r="QTP22" s="64"/>
      <c r="QTQ22" s="64"/>
      <c r="QTR22" s="64"/>
      <c r="QTS22" s="64"/>
      <c r="QTT22" s="64"/>
      <c r="QTU22" s="64"/>
      <c r="QTV22" s="64"/>
      <c r="QTW22" s="64"/>
      <c r="QTX22" s="64"/>
      <c r="QTY22" s="64"/>
      <c r="QTZ22" s="64"/>
      <c r="QUA22" s="64"/>
      <c r="QUB22" s="64"/>
      <c r="QUC22" s="64"/>
      <c r="QUD22" s="64"/>
      <c r="QUE22" s="64"/>
      <c r="QUF22" s="64"/>
      <c r="QUG22" s="64"/>
      <c r="QUH22" s="64"/>
      <c r="QUI22" s="64"/>
      <c r="QUJ22" s="64"/>
      <c r="QUK22" s="64"/>
      <c r="QUL22" s="64"/>
      <c r="QUM22" s="64"/>
      <c r="QUN22" s="64"/>
      <c r="QUO22" s="64"/>
      <c r="QUP22" s="64"/>
      <c r="QUQ22" s="64"/>
      <c r="QUR22" s="64"/>
      <c r="QUS22" s="64"/>
      <c r="QUT22" s="64"/>
      <c r="QUU22" s="64"/>
      <c r="QUV22" s="64"/>
      <c r="QUW22" s="64"/>
      <c r="QUX22" s="64"/>
      <c r="QUY22" s="64"/>
      <c r="QUZ22" s="64"/>
      <c r="QVA22" s="64"/>
      <c r="QVB22" s="64"/>
      <c r="QVC22" s="64"/>
      <c r="QVD22" s="64"/>
      <c r="QVE22" s="64"/>
      <c r="QVF22" s="64"/>
      <c r="QVG22" s="64"/>
      <c r="QVH22" s="64"/>
      <c r="QVI22" s="64"/>
      <c r="QVJ22" s="64"/>
      <c r="QVK22" s="64"/>
      <c r="QVL22" s="64"/>
      <c r="QVM22" s="64"/>
      <c r="QVN22" s="64"/>
      <c r="QVO22" s="64"/>
      <c r="QVP22" s="64"/>
      <c r="QVQ22" s="64"/>
      <c r="QVR22" s="64"/>
      <c r="QVS22" s="64"/>
      <c r="QVT22" s="64"/>
      <c r="QVU22" s="64"/>
      <c r="QVV22" s="64"/>
      <c r="QVW22" s="64"/>
      <c r="QVX22" s="64"/>
      <c r="QVY22" s="64"/>
      <c r="QVZ22" s="64"/>
      <c r="QWA22" s="64"/>
      <c r="QWB22" s="64"/>
      <c r="QWC22" s="64"/>
      <c r="QWD22" s="64"/>
      <c r="QWE22" s="64"/>
      <c r="QWF22" s="64"/>
      <c r="QWG22" s="64"/>
      <c r="QWH22" s="64"/>
      <c r="QWI22" s="64"/>
      <c r="QWJ22" s="64"/>
      <c r="QWK22" s="64"/>
      <c r="QWL22" s="64"/>
      <c r="QWM22" s="64"/>
      <c r="QWN22" s="64"/>
      <c r="QWO22" s="64"/>
      <c r="QWP22" s="64"/>
      <c r="QWQ22" s="64"/>
      <c r="QWR22" s="64"/>
      <c r="QWS22" s="64"/>
      <c r="QWT22" s="64"/>
      <c r="QWU22" s="64"/>
      <c r="QWV22" s="64"/>
      <c r="QWW22" s="64"/>
      <c r="QWX22" s="64"/>
      <c r="QWY22" s="64"/>
      <c r="QWZ22" s="64"/>
      <c r="QXA22" s="64"/>
      <c r="QXB22" s="64"/>
      <c r="QXC22" s="64"/>
      <c r="QXD22" s="64"/>
      <c r="QXE22" s="64"/>
      <c r="QXF22" s="64"/>
      <c r="QXG22" s="64"/>
      <c r="QXH22" s="64"/>
      <c r="QXI22" s="64"/>
      <c r="QXJ22" s="64"/>
      <c r="QXK22" s="64"/>
      <c r="QXL22" s="64"/>
      <c r="QXM22" s="64"/>
      <c r="QXN22" s="64"/>
      <c r="QXO22" s="64"/>
      <c r="QXP22" s="64"/>
      <c r="QXQ22" s="64"/>
      <c r="QXR22" s="64"/>
      <c r="QXS22" s="64"/>
      <c r="QXT22" s="64"/>
      <c r="QXU22" s="64"/>
      <c r="QXV22" s="64"/>
      <c r="QXW22" s="64"/>
      <c r="QXX22" s="64"/>
      <c r="QXY22" s="64"/>
      <c r="QXZ22" s="64"/>
      <c r="QYA22" s="64"/>
      <c r="QYB22" s="64"/>
      <c r="QYC22" s="64"/>
      <c r="QYD22" s="64"/>
      <c r="QYE22" s="64"/>
      <c r="QYF22" s="64"/>
      <c r="QYG22" s="64"/>
      <c r="QYH22" s="64"/>
      <c r="QYI22" s="64"/>
      <c r="QYJ22" s="64"/>
      <c r="QYK22" s="64"/>
      <c r="QYL22" s="64"/>
      <c r="QYM22" s="64"/>
      <c r="QYN22" s="64"/>
      <c r="QYO22" s="64"/>
      <c r="QYP22" s="64"/>
      <c r="QYQ22" s="64"/>
      <c r="QYR22" s="64"/>
      <c r="QYS22" s="64"/>
      <c r="QYT22" s="64"/>
      <c r="QYU22" s="64"/>
      <c r="QYV22" s="64"/>
      <c r="QYW22" s="64"/>
      <c r="QYX22" s="64"/>
      <c r="QYY22" s="64"/>
      <c r="QYZ22" s="64"/>
      <c r="QZA22" s="64"/>
      <c r="QZB22" s="64"/>
      <c r="QZC22" s="64"/>
      <c r="QZD22" s="64"/>
      <c r="QZE22" s="64"/>
      <c r="QZF22" s="64"/>
      <c r="QZG22" s="64"/>
      <c r="QZH22" s="64"/>
      <c r="QZI22" s="64"/>
      <c r="QZJ22" s="64"/>
      <c r="QZK22" s="64"/>
      <c r="QZL22" s="64"/>
      <c r="QZM22" s="64"/>
      <c r="QZN22" s="64"/>
      <c r="QZO22" s="64"/>
      <c r="QZP22" s="64"/>
      <c r="QZQ22" s="64"/>
      <c r="QZR22" s="64"/>
      <c r="QZS22" s="64"/>
      <c r="QZT22" s="64"/>
      <c r="QZU22" s="64"/>
      <c r="QZV22" s="64"/>
      <c r="QZW22" s="64"/>
      <c r="QZX22" s="64"/>
      <c r="QZY22" s="64"/>
      <c r="QZZ22" s="64"/>
      <c r="RAA22" s="64"/>
      <c r="RAB22" s="64"/>
      <c r="RAC22" s="64"/>
      <c r="RAD22" s="64"/>
      <c r="RAE22" s="64"/>
      <c r="RAF22" s="64"/>
      <c r="RAG22" s="64"/>
      <c r="RAH22" s="64"/>
      <c r="RAI22" s="64"/>
      <c r="RAJ22" s="64"/>
      <c r="RAK22" s="64"/>
      <c r="RAL22" s="64"/>
      <c r="RAM22" s="64"/>
      <c r="RAN22" s="64"/>
      <c r="RAO22" s="64"/>
      <c r="RAP22" s="64"/>
      <c r="RAQ22" s="64"/>
      <c r="RAR22" s="64"/>
      <c r="RAS22" s="64"/>
      <c r="RAT22" s="64"/>
      <c r="RAU22" s="64"/>
      <c r="RAV22" s="64"/>
      <c r="RAW22" s="64"/>
      <c r="RAX22" s="64"/>
      <c r="RAY22" s="64"/>
      <c r="RAZ22" s="64"/>
      <c r="RBA22" s="64"/>
      <c r="RBB22" s="64"/>
      <c r="RBC22" s="64"/>
      <c r="RBD22" s="64"/>
      <c r="RBE22" s="64"/>
      <c r="RBF22" s="64"/>
      <c r="RBG22" s="64"/>
      <c r="RBH22" s="64"/>
      <c r="RBI22" s="64"/>
      <c r="RBJ22" s="64"/>
      <c r="RBK22" s="64"/>
      <c r="RBL22" s="64"/>
      <c r="RBM22" s="64"/>
      <c r="RBN22" s="64"/>
      <c r="RBO22" s="64"/>
      <c r="RBP22" s="64"/>
      <c r="RBQ22" s="64"/>
      <c r="RBR22" s="64"/>
      <c r="RBS22" s="64"/>
      <c r="RBT22" s="64"/>
      <c r="RBU22" s="64"/>
      <c r="RBV22" s="64"/>
      <c r="RBW22" s="64"/>
      <c r="RBX22" s="64"/>
      <c r="RBY22" s="64"/>
      <c r="RBZ22" s="64"/>
      <c r="RCA22" s="64"/>
      <c r="RCB22" s="64"/>
      <c r="RCC22" s="64"/>
      <c r="RCD22" s="64"/>
      <c r="RCE22" s="64"/>
      <c r="RCF22" s="64"/>
      <c r="RCG22" s="64"/>
      <c r="RCH22" s="64"/>
      <c r="RCI22" s="64"/>
      <c r="RCJ22" s="64"/>
      <c r="RCK22" s="64"/>
      <c r="RCL22" s="64"/>
      <c r="RCM22" s="64"/>
      <c r="RCN22" s="64"/>
      <c r="RCO22" s="64"/>
      <c r="RCP22" s="64"/>
      <c r="RCQ22" s="64"/>
      <c r="RCR22" s="64"/>
      <c r="RCS22" s="64"/>
      <c r="RCT22" s="64"/>
      <c r="RCU22" s="64"/>
      <c r="RCV22" s="64"/>
      <c r="RCW22" s="64"/>
      <c r="RCX22" s="64"/>
      <c r="RCY22" s="64"/>
      <c r="RCZ22" s="64"/>
      <c r="RDA22" s="64"/>
      <c r="RDB22" s="64"/>
      <c r="RDC22" s="64"/>
      <c r="RDD22" s="64"/>
      <c r="RDE22" s="64"/>
      <c r="RDF22" s="64"/>
      <c r="RDG22" s="64"/>
      <c r="RDH22" s="64"/>
      <c r="RDI22" s="64"/>
      <c r="RDJ22" s="64"/>
      <c r="RDK22" s="64"/>
      <c r="RDL22" s="64"/>
      <c r="RDM22" s="64"/>
      <c r="RDN22" s="64"/>
      <c r="RDO22" s="64"/>
      <c r="RDP22" s="64"/>
      <c r="RDQ22" s="64"/>
      <c r="RDR22" s="64"/>
      <c r="RDS22" s="64"/>
      <c r="RDT22" s="64"/>
      <c r="RDU22" s="64"/>
      <c r="RDV22" s="64"/>
      <c r="RDW22" s="64"/>
      <c r="RDX22" s="64"/>
      <c r="RDY22" s="64"/>
      <c r="RDZ22" s="64"/>
      <c r="REA22" s="64"/>
      <c r="REB22" s="64"/>
      <c r="REC22" s="64"/>
      <c r="RED22" s="64"/>
      <c r="REE22" s="64"/>
      <c r="REF22" s="64"/>
      <c r="REG22" s="64"/>
      <c r="REH22" s="64"/>
      <c r="REI22" s="64"/>
      <c r="REJ22" s="64"/>
      <c r="REK22" s="64"/>
      <c r="REL22" s="64"/>
      <c r="REM22" s="64"/>
      <c r="REN22" s="64"/>
      <c r="REO22" s="64"/>
      <c r="REP22" s="64"/>
      <c r="REQ22" s="64"/>
      <c r="RER22" s="64"/>
      <c r="RES22" s="64"/>
      <c r="RET22" s="64"/>
      <c r="REU22" s="64"/>
      <c r="REV22" s="64"/>
      <c r="REW22" s="64"/>
      <c r="REX22" s="64"/>
      <c r="REY22" s="64"/>
      <c r="REZ22" s="64"/>
      <c r="RFA22" s="64"/>
      <c r="RFB22" s="64"/>
      <c r="RFC22" s="64"/>
      <c r="RFD22" s="64"/>
      <c r="RFE22" s="64"/>
      <c r="RFF22" s="64"/>
      <c r="RFG22" s="64"/>
      <c r="RFH22" s="64"/>
      <c r="RFI22" s="64"/>
      <c r="RFJ22" s="64"/>
      <c r="RFK22" s="64"/>
      <c r="RFL22" s="64"/>
      <c r="RFM22" s="64"/>
      <c r="RFN22" s="64"/>
      <c r="RFO22" s="64"/>
      <c r="RFP22" s="64"/>
      <c r="RFQ22" s="64"/>
      <c r="RFR22" s="64"/>
      <c r="RFS22" s="64"/>
      <c r="RFT22" s="64"/>
      <c r="RFU22" s="64"/>
      <c r="RFV22" s="64"/>
      <c r="RFW22" s="64"/>
      <c r="RFX22" s="64"/>
      <c r="RFY22" s="64"/>
      <c r="RFZ22" s="64"/>
      <c r="RGA22" s="64"/>
      <c r="RGB22" s="64"/>
      <c r="RGC22" s="64"/>
      <c r="RGD22" s="64"/>
      <c r="RGE22" s="64"/>
      <c r="RGF22" s="64"/>
      <c r="RGG22" s="64"/>
      <c r="RGH22" s="64"/>
      <c r="RGI22" s="64"/>
      <c r="RGJ22" s="64"/>
      <c r="RGK22" s="64"/>
      <c r="RGL22" s="64"/>
      <c r="RGM22" s="64"/>
      <c r="RGN22" s="64"/>
      <c r="RGO22" s="64"/>
      <c r="RGP22" s="64"/>
      <c r="RGQ22" s="64"/>
      <c r="RGR22" s="64"/>
      <c r="RGS22" s="64"/>
      <c r="RGT22" s="64"/>
      <c r="RGU22" s="64"/>
      <c r="RGV22" s="64"/>
      <c r="RGW22" s="64"/>
      <c r="RGX22" s="64"/>
      <c r="RGY22" s="64"/>
      <c r="RGZ22" s="64"/>
      <c r="RHA22" s="64"/>
      <c r="RHB22" s="64"/>
      <c r="RHC22" s="64"/>
      <c r="RHD22" s="64"/>
      <c r="RHE22" s="64"/>
      <c r="RHF22" s="64"/>
      <c r="RHG22" s="64"/>
      <c r="RHH22" s="64"/>
      <c r="RHI22" s="64"/>
      <c r="RHJ22" s="64"/>
      <c r="RHK22" s="64"/>
      <c r="RHL22" s="64"/>
      <c r="RHM22" s="64"/>
      <c r="RHN22" s="64"/>
      <c r="RHO22" s="64"/>
      <c r="RHP22" s="64"/>
      <c r="RHQ22" s="64"/>
      <c r="RHR22" s="64"/>
      <c r="RHS22" s="64"/>
      <c r="RHT22" s="64"/>
      <c r="RHU22" s="64"/>
      <c r="RHV22" s="64"/>
      <c r="RHW22" s="64"/>
      <c r="RHX22" s="64"/>
      <c r="RHY22" s="64"/>
      <c r="RHZ22" s="64"/>
      <c r="RIA22" s="64"/>
      <c r="RIB22" s="64"/>
      <c r="RIC22" s="64"/>
      <c r="RID22" s="64"/>
      <c r="RIE22" s="64"/>
      <c r="RIF22" s="64"/>
      <c r="RIG22" s="64"/>
      <c r="RIH22" s="64"/>
      <c r="RII22" s="64"/>
      <c r="RIJ22" s="64"/>
      <c r="RIK22" s="64"/>
      <c r="RIL22" s="64"/>
      <c r="RIM22" s="64"/>
      <c r="RIN22" s="64"/>
      <c r="RIO22" s="64"/>
      <c r="RIP22" s="64"/>
      <c r="RIQ22" s="64"/>
      <c r="RIR22" s="64"/>
      <c r="RIS22" s="64"/>
      <c r="RIT22" s="64"/>
      <c r="RIU22" s="64"/>
      <c r="RIV22" s="64"/>
      <c r="RIW22" s="64"/>
      <c r="RIX22" s="64"/>
      <c r="RIY22" s="64"/>
      <c r="RIZ22" s="64"/>
      <c r="RJA22" s="64"/>
      <c r="RJB22" s="64"/>
      <c r="RJC22" s="64"/>
      <c r="RJD22" s="64"/>
      <c r="RJE22" s="64"/>
      <c r="RJF22" s="64"/>
      <c r="RJG22" s="64"/>
      <c r="RJH22" s="64"/>
      <c r="RJI22" s="64"/>
      <c r="RJJ22" s="64"/>
      <c r="RJK22" s="64"/>
      <c r="RJL22" s="64"/>
      <c r="RJM22" s="64"/>
      <c r="RJN22" s="64"/>
      <c r="RJO22" s="64"/>
      <c r="RJP22" s="64"/>
      <c r="RJQ22" s="64"/>
      <c r="RJR22" s="64"/>
      <c r="RJS22" s="64"/>
      <c r="RJT22" s="64"/>
      <c r="RJU22" s="64"/>
      <c r="RJV22" s="64"/>
      <c r="RJW22" s="64"/>
      <c r="RJX22" s="64"/>
      <c r="RJY22" s="64"/>
      <c r="RJZ22" s="64"/>
      <c r="RKA22" s="64"/>
      <c r="RKB22" s="64"/>
      <c r="RKC22" s="64"/>
      <c r="RKD22" s="64"/>
      <c r="RKE22" s="64"/>
      <c r="RKF22" s="64"/>
      <c r="RKG22" s="64"/>
      <c r="RKH22" s="64"/>
      <c r="RKI22" s="64"/>
      <c r="RKJ22" s="64"/>
      <c r="RKK22" s="64"/>
      <c r="RKL22" s="64"/>
      <c r="RKM22" s="64"/>
      <c r="RKN22" s="64"/>
      <c r="RKO22" s="64"/>
      <c r="RKP22" s="64"/>
      <c r="RKQ22" s="64"/>
      <c r="RKR22" s="64"/>
      <c r="RKS22" s="64"/>
      <c r="RKT22" s="64"/>
      <c r="RKU22" s="64"/>
      <c r="RKV22" s="64"/>
      <c r="RKW22" s="64"/>
      <c r="RKX22" s="64"/>
      <c r="RKY22" s="64"/>
      <c r="RKZ22" s="64"/>
      <c r="RLA22" s="64"/>
      <c r="RLB22" s="64"/>
      <c r="RLC22" s="64"/>
      <c r="RLD22" s="64"/>
      <c r="RLE22" s="64"/>
      <c r="RLF22" s="64"/>
      <c r="RLG22" s="64"/>
      <c r="RLH22" s="64"/>
      <c r="RLI22" s="64"/>
      <c r="RLJ22" s="64"/>
      <c r="RLK22" s="64"/>
      <c r="RLL22" s="64"/>
      <c r="RLM22" s="64"/>
      <c r="RLN22" s="64"/>
      <c r="RLO22" s="64"/>
      <c r="RLP22" s="64"/>
      <c r="RLQ22" s="64"/>
      <c r="RLR22" s="64"/>
      <c r="RLS22" s="64"/>
      <c r="RLT22" s="64"/>
      <c r="RLU22" s="64"/>
      <c r="RLV22" s="64"/>
      <c r="RLW22" s="64"/>
      <c r="RLX22" s="64"/>
      <c r="RLY22" s="64"/>
      <c r="RLZ22" s="64"/>
      <c r="RMA22" s="64"/>
      <c r="RMB22" s="64"/>
      <c r="RMC22" s="64"/>
      <c r="RMD22" s="64"/>
      <c r="RME22" s="64"/>
      <c r="RMF22" s="64"/>
      <c r="RMG22" s="64"/>
      <c r="RMH22" s="64"/>
      <c r="RMI22" s="64"/>
      <c r="RMJ22" s="64"/>
      <c r="RMK22" s="64"/>
      <c r="RML22" s="64"/>
      <c r="RMM22" s="64"/>
      <c r="RMN22" s="64"/>
      <c r="RMO22" s="64"/>
      <c r="RMP22" s="64"/>
      <c r="RMQ22" s="64"/>
      <c r="RMR22" s="64"/>
      <c r="RMS22" s="64"/>
      <c r="RMT22" s="64"/>
      <c r="RMU22" s="64"/>
      <c r="RMV22" s="64"/>
      <c r="RMW22" s="64"/>
      <c r="RMX22" s="64"/>
      <c r="RMY22" s="64"/>
      <c r="RMZ22" s="64"/>
      <c r="RNA22" s="64"/>
      <c r="RNB22" s="64"/>
      <c r="RNC22" s="64"/>
      <c r="RND22" s="64"/>
      <c r="RNE22" s="64"/>
      <c r="RNF22" s="64"/>
      <c r="RNG22" s="64"/>
      <c r="RNH22" s="64"/>
      <c r="RNI22" s="64"/>
      <c r="RNJ22" s="64"/>
      <c r="RNK22" s="64"/>
      <c r="RNL22" s="64"/>
      <c r="RNM22" s="64"/>
      <c r="RNN22" s="64"/>
      <c r="RNO22" s="64"/>
      <c r="RNP22" s="64"/>
      <c r="RNQ22" s="64"/>
      <c r="RNR22" s="64"/>
      <c r="RNS22" s="64"/>
      <c r="RNT22" s="64"/>
      <c r="RNU22" s="64"/>
      <c r="RNV22" s="64"/>
      <c r="RNW22" s="64"/>
      <c r="RNX22" s="64"/>
      <c r="RNY22" s="64"/>
      <c r="RNZ22" s="64"/>
      <c r="ROA22" s="64"/>
      <c r="ROB22" s="64"/>
      <c r="ROC22" s="64"/>
      <c r="ROD22" s="64"/>
      <c r="ROE22" s="64"/>
      <c r="ROF22" s="64"/>
      <c r="ROG22" s="64"/>
      <c r="ROH22" s="64"/>
      <c r="ROI22" s="64"/>
      <c r="ROJ22" s="64"/>
      <c r="ROK22" s="64"/>
      <c r="ROL22" s="64"/>
      <c r="ROM22" s="64"/>
      <c r="RON22" s="64"/>
      <c r="ROO22" s="64"/>
      <c r="ROP22" s="64"/>
      <c r="ROQ22" s="64"/>
      <c r="ROR22" s="64"/>
      <c r="ROS22" s="64"/>
      <c r="ROT22" s="64"/>
      <c r="ROU22" s="64"/>
      <c r="ROV22" s="64"/>
      <c r="ROW22" s="64"/>
      <c r="ROX22" s="64"/>
      <c r="ROY22" s="64"/>
      <c r="ROZ22" s="64"/>
      <c r="RPA22" s="64"/>
      <c r="RPB22" s="64"/>
      <c r="RPC22" s="64"/>
      <c r="RPD22" s="64"/>
      <c r="RPE22" s="64"/>
      <c r="RPF22" s="64"/>
      <c r="RPG22" s="64"/>
      <c r="RPH22" s="64"/>
      <c r="RPI22" s="64"/>
      <c r="RPJ22" s="64"/>
      <c r="RPK22" s="64"/>
      <c r="RPL22" s="64"/>
      <c r="RPM22" s="64"/>
      <c r="RPN22" s="64"/>
      <c r="RPO22" s="64"/>
      <c r="RPP22" s="64"/>
      <c r="RPQ22" s="64"/>
      <c r="RPR22" s="64"/>
      <c r="RPS22" s="64"/>
      <c r="RPT22" s="64"/>
      <c r="RPU22" s="64"/>
      <c r="RPV22" s="64"/>
      <c r="RPW22" s="64"/>
      <c r="RPX22" s="64"/>
      <c r="RPY22" s="64"/>
      <c r="RPZ22" s="64"/>
      <c r="RQA22" s="64"/>
      <c r="RQB22" s="64"/>
      <c r="RQC22" s="64"/>
      <c r="RQD22" s="64"/>
      <c r="RQE22" s="64"/>
      <c r="RQF22" s="64"/>
      <c r="RQG22" s="64"/>
      <c r="RQH22" s="64"/>
      <c r="RQI22" s="64"/>
      <c r="RQJ22" s="64"/>
      <c r="RQK22" s="64"/>
      <c r="RQL22" s="64"/>
      <c r="RQM22" s="64"/>
      <c r="RQN22" s="64"/>
      <c r="RQO22" s="64"/>
      <c r="RQP22" s="64"/>
      <c r="RQQ22" s="64"/>
      <c r="RQR22" s="64"/>
      <c r="RQS22" s="64"/>
      <c r="RQT22" s="64"/>
      <c r="RQU22" s="64"/>
      <c r="RQV22" s="64"/>
      <c r="RQW22" s="64"/>
      <c r="RQX22" s="64"/>
      <c r="RQY22" s="64"/>
      <c r="RQZ22" s="64"/>
      <c r="RRA22" s="64"/>
      <c r="RRB22" s="64"/>
      <c r="RRC22" s="64"/>
      <c r="RRD22" s="64"/>
      <c r="RRE22" s="64"/>
      <c r="RRF22" s="64"/>
      <c r="RRG22" s="64"/>
      <c r="RRH22" s="64"/>
      <c r="RRI22" s="64"/>
      <c r="RRJ22" s="64"/>
      <c r="RRK22" s="64"/>
      <c r="RRL22" s="64"/>
      <c r="RRM22" s="64"/>
      <c r="RRN22" s="64"/>
      <c r="RRO22" s="64"/>
      <c r="RRP22" s="64"/>
      <c r="RRQ22" s="64"/>
      <c r="RRR22" s="64"/>
      <c r="RRS22" s="64"/>
      <c r="RRT22" s="64"/>
      <c r="RRU22" s="64"/>
      <c r="RRV22" s="64"/>
      <c r="RRW22" s="64"/>
      <c r="RRX22" s="64"/>
      <c r="RRY22" s="64"/>
      <c r="RRZ22" s="64"/>
      <c r="RSA22" s="64"/>
      <c r="RSB22" s="64"/>
      <c r="RSC22" s="64"/>
      <c r="RSD22" s="64"/>
      <c r="RSE22" s="64"/>
      <c r="RSF22" s="64"/>
      <c r="RSG22" s="64"/>
      <c r="RSH22" s="64"/>
      <c r="RSI22" s="64"/>
      <c r="RSJ22" s="64"/>
      <c r="RSK22" s="64"/>
      <c r="RSL22" s="64"/>
      <c r="RSM22" s="64"/>
      <c r="RSN22" s="64"/>
      <c r="RSO22" s="64"/>
      <c r="RSP22" s="64"/>
      <c r="RSQ22" s="64"/>
      <c r="RSR22" s="64"/>
      <c r="RSS22" s="64"/>
      <c r="RST22" s="64"/>
      <c r="RSU22" s="64"/>
      <c r="RSV22" s="64"/>
      <c r="RSW22" s="64"/>
      <c r="RSX22" s="64"/>
      <c r="RSY22" s="64"/>
      <c r="RSZ22" s="64"/>
      <c r="RTA22" s="64"/>
      <c r="RTB22" s="64"/>
      <c r="RTC22" s="64"/>
      <c r="RTD22" s="64"/>
      <c r="RTE22" s="64"/>
      <c r="RTF22" s="64"/>
      <c r="RTG22" s="64"/>
      <c r="RTH22" s="64"/>
      <c r="RTI22" s="64"/>
      <c r="RTJ22" s="64"/>
      <c r="RTK22" s="64"/>
      <c r="RTL22" s="64"/>
      <c r="RTM22" s="64"/>
      <c r="RTN22" s="64"/>
      <c r="RTO22" s="64"/>
      <c r="RTP22" s="64"/>
      <c r="RTQ22" s="64"/>
      <c r="RTR22" s="64"/>
      <c r="RTS22" s="64"/>
      <c r="RTT22" s="64"/>
      <c r="RTU22" s="64"/>
      <c r="RTV22" s="64"/>
      <c r="RTW22" s="64"/>
      <c r="RTX22" s="64"/>
      <c r="RTY22" s="64"/>
      <c r="RTZ22" s="64"/>
      <c r="RUA22" s="64"/>
      <c r="RUB22" s="64"/>
      <c r="RUC22" s="64"/>
      <c r="RUD22" s="64"/>
      <c r="RUE22" s="64"/>
      <c r="RUF22" s="64"/>
      <c r="RUG22" s="64"/>
      <c r="RUH22" s="64"/>
      <c r="RUI22" s="64"/>
      <c r="RUJ22" s="64"/>
      <c r="RUK22" s="64"/>
      <c r="RUL22" s="64"/>
      <c r="RUM22" s="64"/>
      <c r="RUN22" s="64"/>
      <c r="RUO22" s="64"/>
      <c r="RUP22" s="64"/>
      <c r="RUQ22" s="64"/>
      <c r="RUR22" s="64"/>
      <c r="RUS22" s="64"/>
      <c r="RUT22" s="64"/>
      <c r="RUU22" s="64"/>
      <c r="RUV22" s="64"/>
      <c r="RUW22" s="64"/>
      <c r="RUX22" s="64"/>
      <c r="RUY22" s="64"/>
      <c r="RUZ22" s="64"/>
      <c r="RVA22" s="64"/>
      <c r="RVB22" s="64"/>
      <c r="RVC22" s="64"/>
      <c r="RVD22" s="64"/>
      <c r="RVE22" s="64"/>
      <c r="RVF22" s="64"/>
      <c r="RVG22" s="64"/>
      <c r="RVH22" s="64"/>
      <c r="RVI22" s="64"/>
      <c r="RVJ22" s="64"/>
      <c r="RVK22" s="64"/>
      <c r="RVL22" s="64"/>
      <c r="RVM22" s="64"/>
      <c r="RVN22" s="64"/>
      <c r="RVO22" s="64"/>
      <c r="RVP22" s="64"/>
      <c r="RVQ22" s="64"/>
      <c r="RVR22" s="64"/>
      <c r="RVS22" s="64"/>
      <c r="RVT22" s="64"/>
      <c r="RVU22" s="64"/>
      <c r="RVV22" s="64"/>
      <c r="RVW22" s="64"/>
      <c r="RVX22" s="64"/>
      <c r="RVY22" s="64"/>
      <c r="RVZ22" s="64"/>
      <c r="RWA22" s="64"/>
      <c r="RWB22" s="64"/>
      <c r="RWC22" s="64"/>
      <c r="RWD22" s="64"/>
      <c r="RWE22" s="64"/>
      <c r="RWF22" s="64"/>
      <c r="RWG22" s="64"/>
      <c r="RWH22" s="64"/>
      <c r="RWI22" s="64"/>
      <c r="RWJ22" s="64"/>
      <c r="RWK22" s="64"/>
      <c r="RWL22" s="64"/>
      <c r="RWM22" s="64"/>
      <c r="RWN22" s="64"/>
      <c r="RWO22" s="64"/>
      <c r="RWP22" s="64"/>
      <c r="RWQ22" s="64"/>
      <c r="RWR22" s="64"/>
      <c r="RWS22" s="64"/>
      <c r="RWT22" s="64"/>
      <c r="RWU22" s="64"/>
      <c r="RWV22" s="64"/>
      <c r="RWW22" s="64"/>
      <c r="RWX22" s="64"/>
      <c r="RWY22" s="64"/>
      <c r="RWZ22" s="64"/>
      <c r="RXA22" s="64"/>
      <c r="RXB22" s="64"/>
      <c r="RXC22" s="64"/>
      <c r="RXD22" s="64"/>
      <c r="RXE22" s="64"/>
      <c r="RXF22" s="64"/>
      <c r="RXG22" s="64"/>
      <c r="RXH22" s="64"/>
      <c r="RXI22" s="64"/>
      <c r="RXJ22" s="64"/>
      <c r="RXK22" s="64"/>
      <c r="RXL22" s="64"/>
      <c r="RXM22" s="64"/>
      <c r="RXN22" s="64"/>
      <c r="RXO22" s="64"/>
      <c r="RXP22" s="64"/>
      <c r="RXQ22" s="64"/>
      <c r="RXR22" s="64"/>
      <c r="RXS22" s="64"/>
      <c r="RXT22" s="64"/>
      <c r="RXU22" s="64"/>
      <c r="RXV22" s="64"/>
      <c r="RXW22" s="64"/>
      <c r="RXX22" s="64"/>
      <c r="RXY22" s="64"/>
      <c r="RXZ22" s="64"/>
      <c r="RYA22" s="64"/>
      <c r="RYB22" s="64"/>
      <c r="RYC22" s="64"/>
      <c r="RYD22" s="64"/>
      <c r="RYE22" s="64"/>
      <c r="RYF22" s="64"/>
      <c r="RYG22" s="64"/>
      <c r="RYH22" s="64"/>
      <c r="RYI22" s="64"/>
      <c r="RYJ22" s="64"/>
      <c r="RYK22" s="64"/>
      <c r="RYL22" s="64"/>
      <c r="RYM22" s="64"/>
      <c r="RYN22" s="64"/>
      <c r="RYO22" s="64"/>
      <c r="RYP22" s="64"/>
      <c r="RYQ22" s="64"/>
      <c r="RYR22" s="64"/>
      <c r="RYS22" s="64"/>
      <c r="RYT22" s="64"/>
      <c r="RYU22" s="64"/>
      <c r="RYV22" s="64"/>
      <c r="RYW22" s="64"/>
      <c r="RYX22" s="64"/>
      <c r="RYY22" s="64"/>
      <c r="RYZ22" s="64"/>
      <c r="RZA22" s="64"/>
      <c r="RZB22" s="64"/>
      <c r="RZC22" s="64"/>
      <c r="RZD22" s="64"/>
      <c r="RZE22" s="64"/>
      <c r="RZF22" s="64"/>
      <c r="RZG22" s="64"/>
      <c r="RZH22" s="64"/>
      <c r="RZI22" s="64"/>
      <c r="RZJ22" s="64"/>
      <c r="RZK22" s="64"/>
      <c r="RZL22" s="64"/>
      <c r="RZM22" s="64"/>
      <c r="RZN22" s="64"/>
      <c r="RZO22" s="64"/>
      <c r="RZP22" s="64"/>
      <c r="RZQ22" s="64"/>
      <c r="RZR22" s="64"/>
      <c r="RZS22" s="64"/>
      <c r="RZT22" s="64"/>
      <c r="RZU22" s="64"/>
      <c r="RZV22" s="64"/>
      <c r="RZW22" s="64"/>
      <c r="RZX22" s="64"/>
      <c r="RZY22" s="64"/>
      <c r="RZZ22" s="64"/>
      <c r="SAA22" s="64"/>
      <c r="SAB22" s="64"/>
      <c r="SAC22" s="64"/>
      <c r="SAD22" s="64"/>
      <c r="SAE22" s="64"/>
      <c r="SAF22" s="64"/>
      <c r="SAG22" s="64"/>
      <c r="SAH22" s="64"/>
      <c r="SAI22" s="64"/>
      <c r="SAJ22" s="64"/>
      <c r="SAK22" s="64"/>
      <c r="SAL22" s="64"/>
      <c r="SAM22" s="64"/>
      <c r="SAN22" s="64"/>
      <c r="SAO22" s="64"/>
      <c r="SAP22" s="64"/>
      <c r="SAQ22" s="64"/>
      <c r="SAR22" s="64"/>
      <c r="SAS22" s="64"/>
      <c r="SAT22" s="64"/>
      <c r="SAU22" s="64"/>
      <c r="SAV22" s="64"/>
      <c r="SAW22" s="64"/>
      <c r="SAX22" s="64"/>
      <c r="SAY22" s="64"/>
      <c r="SAZ22" s="64"/>
      <c r="SBA22" s="64"/>
      <c r="SBB22" s="64"/>
      <c r="SBC22" s="64"/>
      <c r="SBD22" s="64"/>
      <c r="SBE22" s="64"/>
      <c r="SBF22" s="64"/>
      <c r="SBG22" s="64"/>
      <c r="SBH22" s="64"/>
      <c r="SBI22" s="64"/>
      <c r="SBJ22" s="64"/>
      <c r="SBK22" s="64"/>
      <c r="SBL22" s="64"/>
      <c r="SBM22" s="64"/>
      <c r="SBN22" s="64"/>
      <c r="SBO22" s="64"/>
      <c r="SBP22" s="64"/>
      <c r="SBQ22" s="64"/>
      <c r="SBR22" s="64"/>
      <c r="SBS22" s="64"/>
      <c r="SBT22" s="64"/>
      <c r="SBU22" s="64"/>
      <c r="SBV22" s="64"/>
      <c r="SBW22" s="64"/>
      <c r="SBX22" s="64"/>
      <c r="SBY22" s="64"/>
      <c r="SBZ22" s="64"/>
      <c r="SCA22" s="64"/>
      <c r="SCB22" s="64"/>
      <c r="SCC22" s="64"/>
      <c r="SCD22" s="64"/>
      <c r="SCE22" s="64"/>
      <c r="SCF22" s="64"/>
      <c r="SCG22" s="64"/>
      <c r="SCH22" s="64"/>
      <c r="SCI22" s="64"/>
      <c r="SCJ22" s="64"/>
      <c r="SCK22" s="64"/>
      <c r="SCL22" s="64"/>
      <c r="SCM22" s="64"/>
      <c r="SCN22" s="64"/>
      <c r="SCO22" s="64"/>
      <c r="SCP22" s="64"/>
      <c r="SCQ22" s="64"/>
      <c r="SCR22" s="64"/>
      <c r="SCS22" s="64"/>
      <c r="SCT22" s="64"/>
      <c r="SCU22" s="64"/>
      <c r="SCV22" s="64"/>
      <c r="SCW22" s="64"/>
      <c r="SCX22" s="64"/>
      <c r="SCY22" s="64"/>
      <c r="SCZ22" s="64"/>
      <c r="SDA22" s="64"/>
      <c r="SDB22" s="64"/>
      <c r="SDC22" s="64"/>
      <c r="SDD22" s="64"/>
      <c r="SDE22" s="64"/>
      <c r="SDF22" s="64"/>
      <c r="SDG22" s="64"/>
      <c r="SDH22" s="64"/>
      <c r="SDI22" s="64"/>
      <c r="SDJ22" s="64"/>
      <c r="SDK22" s="64"/>
      <c r="SDL22" s="64"/>
      <c r="SDM22" s="64"/>
      <c r="SDN22" s="64"/>
      <c r="SDO22" s="64"/>
      <c r="SDP22" s="64"/>
      <c r="SDQ22" s="64"/>
      <c r="SDR22" s="64"/>
      <c r="SDS22" s="64"/>
      <c r="SDT22" s="64"/>
      <c r="SDU22" s="64"/>
      <c r="SDV22" s="64"/>
      <c r="SDW22" s="64"/>
      <c r="SDX22" s="64"/>
      <c r="SDY22" s="64"/>
      <c r="SDZ22" s="64"/>
      <c r="SEA22" s="64"/>
      <c r="SEB22" s="64"/>
      <c r="SEC22" s="64"/>
      <c r="SED22" s="64"/>
      <c r="SEE22" s="64"/>
      <c r="SEF22" s="64"/>
      <c r="SEG22" s="64"/>
      <c r="SEH22" s="64"/>
      <c r="SEI22" s="64"/>
      <c r="SEJ22" s="64"/>
      <c r="SEK22" s="64"/>
      <c r="SEL22" s="64"/>
      <c r="SEM22" s="64"/>
      <c r="SEN22" s="64"/>
      <c r="SEO22" s="64"/>
      <c r="SEP22" s="64"/>
      <c r="SEQ22" s="64"/>
      <c r="SER22" s="64"/>
      <c r="SES22" s="64"/>
      <c r="SET22" s="64"/>
      <c r="SEU22" s="64"/>
      <c r="SEV22" s="64"/>
      <c r="SEW22" s="64"/>
      <c r="SEX22" s="64"/>
      <c r="SEY22" s="64"/>
      <c r="SEZ22" s="64"/>
      <c r="SFA22" s="64"/>
      <c r="SFB22" s="64"/>
      <c r="SFC22" s="64"/>
      <c r="SFD22" s="64"/>
      <c r="SFE22" s="64"/>
      <c r="SFF22" s="64"/>
      <c r="SFG22" s="64"/>
      <c r="SFH22" s="64"/>
      <c r="SFI22" s="64"/>
      <c r="SFJ22" s="64"/>
      <c r="SFK22" s="64"/>
      <c r="SFL22" s="64"/>
      <c r="SFM22" s="64"/>
      <c r="SFN22" s="64"/>
      <c r="SFO22" s="64"/>
      <c r="SFP22" s="64"/>
      <c r="SFQ22" s="64"/>
      <c r="SFR22" s="64"/>
      <c r="SFS22" s="64"/>
      <c r="SFT22" s="64"/>
      <c r="SFU22" s="64"/>
      <c r="SFV22" s="64"/>
      <c r="SFW22" s="64"/>
      <c r="SFX22" s="64"/>
      <c r="SFY22" s="64"/>
      <c r="SFZ22" s="64"/>
      <c r="SGA22" s="64"/>
      <c r="SGB22" s="64"/>
      <c r="SGC22" s="64"/>
      <c r="SGD22" s="64"/>
      <c r="SGE22" s="64"/>
      <c r="SGF22" s="64"/>
      <c r="SGG22" s="64"/>
      <c r="SGH22" s="64"/>
      <c r="SGI22" s="64"/>
      <c r="SGJ22" s="64"/>
      <c r="SGK22" s="64"/>
      <c r="SGL22" s="64"/>
      <c r="SGM22" s="64"/>
      <c r="SGN22" s="64"/>
      <c r="SGO22" s="64"/>
      <c r="SGP22" s="64"/>
      <c r="SGQ22" s="64"/>
      <c r="SGR22" s="64"/>
      <c r="SGS22" s="64"/>
      <c r="SGT22" s="64"/>
      <c r="SGU22" s="64"/>
      <c r="SGV22" s="64"/>
      <c r="SGW22" s="64"/>
      <c r="SGX22" s="64"/>
      <c r="SGY22" s="64"/>
      <c r="SGZ22" s="64"/>
      <c r="SHA22" s="64"/>
      <c r="SHB22" s="64"/>
      <c r="SHC22" s="64"/>
      <c r="SHD22" s="64"/>
      <c r="SHE22" s="64"/>
      <c r="SHF22" s="64"/>
      <c r="SHG22" s="64"/>
      <c r="SHH22" s="64"/>
      <c r="SHI22" s="64"/>
      <c r="SHJ22" s="64"/>
      <c r="SHK22" s="64"/>
      <c r="SHL22" s="64"/>
      <c r="SHM22" s="64"/>
      <c r="SHN22" s="64"/>
      <c r="SHO22" s="64"/>
      <c r="SHP22" s="64"/>
      <c r="SHQ22" s="64"/>
      <c r="SHR22" s="64"/>
      <c r="SHS22" s="64"/>
      <c r="SHT22" s="64"/>
      <c r="SHU22" s="64"/>
      <c r="SHV22" s="64"/>
      <c r="SHW22" s="64"/>
      <c r="SHX22" s="64"/>
      <c r="SHY22" s="64"/>
      <c r="SHZ22" s="64"/>
      <c r="SIA22" s="64"/>
      <c r="SIB22" s="64"/>
      <c r="SIC22" s="64"/>
      <c r="SID22" s="64"/>
      <c r="SIE22" s="64"/>
      <c r="SIF22" s="64"/>
      <c r="SIG22" s="64"/>
      <c r="SIH22" s="64"/>
      <c r="SII22" s="64"/>
      <c r="SIJ22" s="64"/>
      <c r="SIK22" s="64"/>
      <c r="SIL22" s="64"/>
      <c r="SIM22" s="64"/>
      <c r="SIN22" s="64"/>
      <c r="SIO22" s="64"/>
      <c r="SIP22" s="64"/>
      <c r="SIQ22" s="64"/>
      <c r="SIR22" s="64"/>
      <c r="SIS22" s="64"/>
      <c r="SIT22" s="64"/>
      <c r="SIU22" s="64"/>
      <c r="SIV22" s="64"/>
      <c r="SIW22" s="64"/>
      <c r="SIX22" s="64"/>
      <c r="SIY22" s="64"/>
      <c r="SIZ22" s="64"/>
      <c r="SJA22" s="64"/>
      <c r="SJB22" s="64"/>
      <c r="SJC22" s="64"/>
      <c r="SJD22" s="64"/>
      <c r="SJE22" s="64"/>
      <c r="SJF22" s="64"/>
      <c r="SJG22" s="64"/>
      <c r="SJH22" s="64"/>
      <c r="SJI22" s="64"/>
      <c r="SJJ22" s="64"/>
      <c r="SJK22" s="64"/>
      <c r="SJL22" s="64"/>
      <c r="SJM22" s="64"/>
      <c r="SJN22" s="64"/>
      <c r="SJO22" s="64"/>
      <c r="SJP22" s="64"/>
      <c r="SJQ22" s="64"/>
      <c r="SJR22" s="64"/>
      <c r="SJS22" s="64"/>
      <c r="SJT22" s="64"/>
      <c r="SJU22" s="64"/>
      <c r="SJV22" s="64"/>
      <c r="SJW22" s="64"/>
      <c r="SJX22" s="64"/>
      <c r="SJY22" s="64"/>
      <c r="SJZ22" s="64"/>
      <c r="SKA22" s="64"/>
      <c r="SKB22" s="64"/>
      <c r="SKC22" s="64"/>
      <c r="SKD22" s="64"/>
      <c r="SKE22" s="64"/>
      <c r="SKF22" s="64"/>
      <c r="SKG22" s="64"/>
      <c r="SKH22" s="64"/>
      <c r="SKI22" s="64"/>
      <c r="SKJ22" s="64"/>
      <c r="SKK22" s="64"/>
      <c r="SKL22" s="64"/>
      <c r="SKM22" s="64"/>
      <c r="SKN22" s="64"/>
      <c r="SKO22" s="64"/>
      <c r="SKP22" s="64"/>
      <c r="SKQ22" s="64"/>
      <c r="SKR22" s="64"/>
      <c r="SKS22" s="64"/>
      <c r="SKT22" s="64"/>
      <c r="SKU22" s="64"/>
      <c r="SKV22" s="64"/>
      <c r="SKW22" s="64"/>
      <c r="SKX22" s="64"/>
      <c r="SKY22" s="64"/>
      <c r="SKZ22" s="64"/>
      <c r="SLA22" s="64"/>
      <c r="SLB22" s="64"/>
      <c r="SLC22" s="64"/>
      <c r="SLD22" s="64"/>
      <c r="SLE22" s="64"/>
      <c r="SLF22" s="64"/>
      <c r="SLG22" s="64"/>
      <c r="SLH22" s="64"/>
      <c r="SLI22" s="64"/>
      <c r="SLJ22" s="64"/>
      <c r="SLK22" s="64"/>
      <c r="SLL22" s="64"/>
      <c r="SLM22" s="64"/>
      <c r="SLN22" s="64"/>
      <c r="SLO22" s="64"/>
      <c r="SLP22" s="64"/>
      <c r="SLQ22" s="64"/>
      <c r="SLR22" s="64"/>
      <c r="SLS22" s="64"/>
      <c r="SLT22" s="64"/>
      <c r="SLU22" s="64"/>
      <c r="SLV22" s="64"/>
      <c r="SLW22" s="64"/>
      <c r="SLX22" s="64"/>
      <c r="SLY22" s="64"/>
      <c r="SLZ22" s="64"/>
      <c r="SMA22" s="64"/>
      <c r="SMB22" s="64"/>
      <c r="SMC22" s="64"/>
      <c r="SMD22" s="64"/>
      <c r="SME22" s="64"/>
      <c r="SMF22" s="64"/>
      <c r="SMG22" s="64"/>
      <c r="SMH22" s="64"/>
      <c r="SMI22" s="64"/>
      <c r="SMJ22" s="64"/>
      <c r="SMK22" s="64"/>
      <c r="SML22" s="64"/>
      <c r="SMM22" s="64"/>
      <c r="SMN22" s="64"/>
      <c r="SMO22" s="64"/>
      <c r="SMP22" s="64"/>
      <c r="SMQ22" s="64"/>
      <c r="SMR22" s="64"/>
      <c r="SMS22" s="64"/>
      <c r="SMT22" s="64"/>
      <c r="SMU22" s="64"/>
      <c r="SMV22" s="64"/>
      <c r="SMW22" s="64"/>
      <c r="SMX22" s="64"/>
      <c r="SMY22" s="64"/>
      <c r="SMZ22" s="64"/>
      <c r="SNA22" s="64"/>
      <c r="SNB22" s="64"/>
      <c r="SNC22" s="64"/>
      <c r="SND22" s="64"/>
      <c r="SNE22" s="64"/>
      <c r="SNF22" s="64"/>
      <c r="SNG22" s="64"/>
      <c r="SNH22" s="64"/>
      <c r="SNI22" s="64"/>
      <c r="SNJ22" s="64"/>
      <c r="SNK22" s="64"/>
      <c r="SNL22" s="64"/>
      <c r="SNM22" s="64"/>
      <c r="SNN22" s="64"/>
      <c r="SNO22" s="64"/>
      <c r="SNP22" s="64"/>
      <c r="SNQ22" s="64"/>
      <c r="SNR22" s="64"/>
      <c r="SNS22" s="64"/>
      <c r="SNT22" s="64"/>
      <c r="SNU22" s="64"/>
      <c r="SNV22" s="64"/>
      <c r="SNW22" s="64"/>
      <c r="SNX22" s="64"/>
      <c r="SNY22" s="64"/>
      <c r="SNZ22" s="64"/>
      <c r="SOA22" s="64"/>
      <c r="SOB22" s="64"/>
      <c r="SOC22" s="64"/>
      <c r="SOD22" s="64"/>
      <c r="SOE22" s="64"/>
      <c r="SOF22" s="64"/>
      <c r="SOG22" s="64"/>
      <c r="SOH22" s="64"/>
      <c r="SOI22" s="64"/>
      <c r="SOJ22" s="64"/>
      <c r="SOK22" s="64"/>
      <c r="SOL22" s="64"/>
      <c r="SOM22" s="64"/>
      <c r="SON22" s="64"/>
      <c r="SOO22" s="64"/>
      <c r="SOP22" s="64"/>
      <c r="SOQ22" s="64"/>
      <c r="SOR22" s="64"/>
      <c r="SOS22" s="64"/>
      <c r="SOT22" s="64"/>
      <c r="SOU22" s="64"/>
      <c r="SOV22" s="64"/>
      <c r="SOW22" s="64"/>
      <c r="SOX22" s="64"/>
      <c r="SOY22" s="64"/>
      <c r="SOZ22" s="64"/>
      <c r="SPA22" s="64"/>
      <c r="SPB22" s="64"/>
      <c r="SPC22" s="64"/>
      <c r="SPD22" s="64"/>
      <c r="SPE22" s="64"/>
      <c r="SPF22" s="64"/>
      <c r="SPG22" s="64"/>
      <c r="SPH22" s="64"/>
      <c r="SPI22" s="64"/>
      <c r="SPJ22" s="64"/>
      <c r="SPK22" s="64"/>
      <c r="SPL22" s="64"/>
      <c r="SPM22" s="64"/>
      <c r="SPN22" s="64"/>
      <c r="SPO22" s="64"/>
      <c r="SPP22" s="64"/>
      <c r="SPQ22" s="64"/>
      <c r="SPR22" s="64"/>
      <c r="SPS22" s="64"/>
      <c r="SPT22" s="64"/>
      <c r="SPU22" s="64"/>
      <c r="SPV22" s="64"/>
      <c r="SPW22" s="64"/>
      <c r="SPX22" s="64"/>
      <c r="SPY22" s="64"/>
      <c r="SPZ22" s="64"/>
      <c r="SQA22" s="64"/>
      <c r="SQB22" s="64"/>
      <c r="SQC22" s="64"/>
      <c r="SQD22" s="64"/>
      <c r="SQE22" s="64"/>
      <c r="SQF22" s="64"/>
      <c r="SQG22" s="64"/>
      <c r="SQH22" s="64"/>
      <c r="SQI22" s="64"/>
      <c r="SQJ22" s="64"/>
      <c r="SQK22" s="64"/>
      <c r="SQL22" s="64"/>
      <c r="SQM22" s="64"/>
      <c r="SQN22" s="64"/>
      <c r="SQO22" s="64"/>
      <c r="SQP22" s="64"/>
      <c r="SQQ22" s="64"/>
      <c r="SQR22" s="64"/>
      <c r="SQS22" s="64"/>
      <c r="SQT22" s="64"/>
      <c r="SQU22" s="64"/>
      <c r="SQV22" s="64"/>
      <c r="SQW22" s="64"/>
      <c r="SQX22" s="64"/>
      <c r="SQY22" s="64"/>
      <c r="SQZ22" s="64"/>
      <c r="SRA22" s="64"/>
      <c r="SRB22" s="64"/>
      <c r="SRC22" s="64"/>
      <c r="SRD22" s="64"/>
      <c r="SRE22" s="64"/>
      <c r="SRF22" s="64"/>
      <c r="SRG22" s="64"/>
      <c r="SRH22" s="64"/>
      <c r="SRI22" s="64"/>
      <c r="SRJ22" s="64"/>
      <c r="SRK22" s="64"/>
      <c r="SRL22" s="64"/>
      <c r="SRM22" s="64"/>
      <c r="SRN22" s="64"/>
      <c r="SRO22" s="64"/>
      <c r="SRP22" s="64"/>
      <c r="SRQ22" s="64"/>
      <c r="SRR22" s="64"/>
      <c r="SRS22" s="64"/>
      <c r="SRT22" s="64"/>
      <c r="SRU22" s="64"/>
      <c r="SRV22" s="64"/>
      <c r="SRW22" s="64"/>
      <c r="SRX22" s="64"/>
      <c r="SRY22" s="64"/>
      <c r="SRZ22" s="64"/>
      <c r="SSA22" s="64"/>
      <c r="SSB22" s="64"/>
      <c r="SSC22" s="64"/>
      <c r="SSD22" s="64"/>
      <c r="SSE22" s="64"/>
      <c r="SSF22" s="64"/>
      <c r="SSG22" s="64"/>
      <c r="SSH22" s="64"/>
      <c r="SSI22" s="64"/>
      <c r="SSJ22" s="64"/>
      <c r="SSK22" s="64"/>
      <c r="SSL22" s="64"/>
      <c r="SSM22" s="64"/>
      <c r="SSN22" s="64"/>
      <c r="SSO22" s="64"/>
      <c r="SSP22" s="64"/>
      <c r="SSQ22" s="64"/>
      <c r="SSR22" s="64"/>
      <c r="SSS22" s="64"/>
      <c r="SST22" s="64"/>
      <c r="SSU22" s="64"/>
      <c r="SSV22" s="64"/>
      <c r="SSW22" s="64"/>
      <c r="SSX22" s="64"/>
      <c r="SSY22" s="64"/>
      <c r="SSZ22" s="64"/>
      <c r="STA22" s="64"/>
      <c r="STB22" s="64"/>
      <c r="STC22" s="64"/>
      <c r="STD22" s="64"/>
      <c r="STE22" s="64"/>
      <c r="STF22" s="64"/>
      <c r="STG22" s="64"/>
      <c r="STH22" s="64"/>
      <c r="STI22" s="64"/>
      <c r="STJ22" s="64"/>
      <c r="STK22" s="64"/>
      <c r="STL22" s="64"/>
      <c r="STM22" s="64"/>
      <c r="STN22" s="64"/>
      <c r="STO22" s="64"/>
      <c r="STP22" s="64"/>
      <c r="STQ22" s="64"/>
      <c r="STR22" s="64"/>
      <c r="STS22" s="64"/>
      <c r="STT22" s="64"/>
      <c r="STU22" s="64"/>
      <c r="STV22" s="64"/>
      <c r="STW22" s="64"/>
      <c r="STX22" s="64"/>
      <c r="STY22" s="64"/>
      <c r="STZ22" s="64"/>
      <c r="SUA22" s="64"/>
      <c r="SUB22" s="64"/>
      <c r="SUC22" s="64"/>
      <c r="SUD22" s="64"/>
      <c r="SUE22" s="64"/>
      <c r="SUF22" s="64"/>
      <c r="SUG22" s="64"/>
      <c r="SUH22" s="64"/>
      <c r="SUI22" s="64"/>
      <c r="SUJ22" s="64"/>
      <c r="SUK22" s="64"/>
      <c r="SUL22" s="64"/>
      <c r="SUM22" s="64"/>
      <c r="SUN22" s="64"/>
      <c r="SUO22" s="64"/>
      <c r="SUP22" s="64"/>
      <c r="SUQ22" s="64"/>
      <c r="SUR22" s="64"/>
      <c r="SUS22" s="64"/>
      <c r="SUT22" s="64"/>
      <c r="SUU22" s="64"/>
      <c r="SUV22" s="64"/>
      <c r="SUW22" s="64"/>
      <c r="SUX22" s="64"/>
      <c r="SUY22" s="64"/>
      <c r="SUZ22" s="64"/>
      <c r="SVA22" s="64"/>
      <c r="SVB22" s="64"/>
      <c r="SVC22" s="64"/>
      <c r="SVD22" s="64"/>
      <c r="SVE22" s="64"/>
      <c r="SVF22" s="64"/>
      <c r="SVG22" s="64"/>
      <c r="SVH22" s="64"/>
      <c r="SVI22" s="64"/>
      <c r="SVJ22" s="64"/>
      <c r="SVK22" s="64"/>
      <c r="SVL22" s="64"/>
      <c r="SVM22" s="64"/>
      <c r="SVN22" s="64"/>
      <c r="SVO22" s="64"/>
      <c r="SVP22" s="64"/>
      <c r="SVQ22" s="64"/>
      <c r="SVR22" s="64"/>
      <c r="SVS22" s="64"/>
      <c r="SVT22" s="64"/>
      <c r="SVU22" s="64"/>
      <c r="SVV22" s="64"/>
      <c r="SVW22" s="64"/>
      <c r="SVX22" s="64"/>
      <c r="SVY22" s="64"/>
      <c r="SVZ22" s="64"/>
      <c r="SWA22" s="64"/>
      <c r="SWB22" s="64"/>
      <c r="SWC22" s="64"/>
      <c r="SWD22" s="64"/>
      <c r="SWE22" s="64"/>
      <c r="SWF22" s="64"/>
      <c r="SWG22" s="64"/>
      <c r="SWH22" s="64"/>
      <c r="SWI22" s="64"/>
      <c r="SWJ22" s="64"/>
      <c r="SWK22" s="64"/>
      <c r="SWL22" s="64"/>
      <c r="SWM22" s="64"/>
      <c r="SWN22" s="64"/>
      <c r="SWO22" s="64"/>
      <c r="SWP22" s="64"/>
      <c r="SWQ22" s="64"/>
      <c r="SWR22" s="64"/>
      <c r="SWS22" s="64"/>
      <c r="SWT22" s="64"/>
      <c r="SWU22" s="64"/>
      <c r="SWV22" s="64"/>
      <c r="SWW22" s="64"/>
      <c r="SWX22" s="64"/>
      <c r="SWY22" s="64"/>
      <c r="SWZ22" s="64"/>
      <c r="SXA22" s="64"/>
      <c r="SXB22" s="64"/>
      <c r="SXC22" s="64"/>
      <c r="SXD22" s="64"/>
      <c r="SXE22" s="64"/>
      <c r="SXF22" s="64"/>
      <c r="SXG22" s="64"/>
      <c r="SXH22" s="64"/>
      <c r="SXI22" s="64"/>
      <c r="SXJ22" s="64"/>
      <c r="SXK22" s="64"/>
      <c r="SXL22" s="64"/>
      <c r="SXM22" s="64"/>
      <c r="SXN22" s="64"/>
      <c r="SXO22" s="64"/>
      <c r="SXP22" s="64"/>
      <c r="SXQ22" s="64"/>
      <c r="SXR22" s="64"/>
      <c r="SXS22" s="64"/>
      <c r="SXT22" s="64"/>
      <c r="SXU22" s="64"/>
      <c r="SXV22" s="64"/>
      <c r="SXW22" s="64"/>
      <c r="SXX22" s="64"/>
      <c r="SXY22" s="64"/>
      <c r="SXZ22" s="64"/>
      <c r="SYA22" s="64"/>
      <c r="SYB22" s="64"/>
      <c r="SYC22" s="64"/>
      <c r="SYD22" s="64"/>
      <c r="SYE22" s="64"/>
      <c r="SYF22" s="64"/>
      <c r="SYG22" s="64"/>
      <c r="SYH22" s="64"/>
      <c r="SYI22" s="64"/>
      <c r="SYJ22" s="64"/>
      <c r="SYK22" s="64"/>
      <c r="SYL22" s="64"/>
      <c r="SYM22" s="64"/>
      <c r="SYN22" s="64"/>
      <c r="SYO22" s="64"/>
      <c r="SYP22" s="64"/>
      <c r="SYQ22" s="64"/>
      <c r="SYR22" s="64"/>
      <c r="SYS22" s="64"/>
      <c r="SYT22" s="64"/>
      <c r="SYU22" s="64"/>
      <c r="SYV22" s="64"/>
      <c r="SYW22" s="64"/>
      <c r="SYX22" s="64"/>
      <c r="SYY22" s="64"/>
      <c r="SYZ22" s="64"/>
      <c r="SZA22" s="64"/>
      <c r="SZB22" s="64"/>
      <c r="SZC22" s="64"/>
      <c r="SZD22" s="64"/>
      <c r="SZE22" s="64"/>
      <c r="SZF22" s="64"/>
      <c r="SZG22" s="64"/>
      <c r="SZH22" s="64"/>
      <c r="SZI22" s="64"/>
      <c r="SZJ22" s="64"/>
      <c r="SZK22" s="64"/>
      <c r="SZL22" s="64"/>
      <c r="SZM22" s="64"/>
      <c r="SZN22" s="64"/>
      <c r="SZO22" s="64"/>
      <c r="SZP22" s="64"/>
      <c r="SZQ22" s="64"/>
      <c r="SZR22" s="64"/>
      <c r="SZS22" s="64"/>
      <c r="SZT22" s="64"/>
      <c r="SZU22" s="64"/>
      <c r="SZV22" s="64"/>
      <c r="SZW22" s="64"/>
      <c r="SZX22" s="64"/>
      <c r="SZY22" s="64"/>
      <c r="SZZ22" s="64"/>
      <c r="TAA22" s="64"/>
      <c r="TAB22" s="64"/>
      <c r="TAC22" s="64"/>
      <c r="TAD22" s="64"/>
      <c r="TAE22" s="64"/>
      <c r="TAF22" s="64"/>
      <c r="TAG22" s="64"/>
      <c r="TAH22" s="64"/>
      <c r="TAI22" s="64"/>
      <c r="TAJ22" s="64"/>
      <c r="TAK22" s="64"/>
      <c r="TAL22" s="64"/>
      <c r="TAM22" s="64"/>
      <c r="TAN22" s="64"/>
      <c r="TAO22" s="64"/>
      <c r="TAP22" s="64"/>
      <c r="TAQ22" s="64"/>
      <c r="TAR22" s="64"/>
      <c r="TAS22" s="64"/>
      <c r="TAT22" s="64"/>
      <c r="TAU22" s="64"/>
      <c r="TAV22" s="64"/>
      <c r="TAW22" s="64"/>
      <c r="TAX22" s="64"/>
      <c r="TAY22" s="64"/>
      <c r="TAZ22" s="64"/>
      <c r="TBA22" s="64"/>
      <c r="TBB22" s="64"/>
      <c r="TBC22" s="64"/>
      <c r="TBD22" s="64"/>
      <c r="TBE22" s="64"/>
      <c r="TBF22" s="64"/>
      <c r="TBG22" s="64"/>
      <c r="TBH22" s="64"/>
      <c r="TBI22" s="64"/>
      <c r="TBJ22" s="64"/>
      <c r="TBK22" s="64"/>
      <c r="TBL22" s="64"/>
      <c r="TBM22" s="64"/>
      <c r="TBN22" s="64"/>
      <c r="TBO22" s="64"/>
      <c r="TBP22" s="64"/>
      <c r="TBQ22" s="64"/>
      <c r="TBR22" s="64"/>
      <c r="TBS22" s="64"/>
      <c r="TBT22" s="64"/>
      <c r="TBU22" s="64"/>
      <c r="TBV22" s="64"/>
      <c r="TBW22" s="64"/>
      <c r="TBX22" s="64"/>
      <c r="TBY22" s="64"/>
      <c r="TBZ22" s="64"/>
      <c r="TCA22" s="64"/>
      <c r="TCB22" s="64"/>
      <c r="TCC22" s="64"/>
      <c r="TCD22" s="64"/>
      <c r="TCE22" s="64"/>
      <c r="TCF22" s="64"/>
      <c r="TCG22" s="64"/>
      <c r="TCH22" s="64"/>
      <c r="TCI22" s="64"/>
      <c r="TCJ22" s="64"/>
      <c r="TCK22" s="64"/>
      <c r="TCL22" s="64"/>
      <c r="TCM22" s="64"/>
      <c r="TCN22" s="64"/>
      <c r="TCO22" s="64"/>
      <c r="TCP22" s="64"/>
      <c r="TCQ22" s="64"/>
      <c r="TCR22" s="64"/>
      <c r="TCS22" s="64"/>
      <c r="TCT22" s="64"/>
      <c r="TCU22" s="64"/>
      <c r="TCV22" s="64"/>
      <c r="TCW22" s="64"/>
      <c r="TCX22" s="64"/>
      <c r="TCY22" s="64"/>
      <c r="TCZ22" s="64"/>
      <c r="TDA22" s="64"/>
      <c r="TDB22" s="64"/>
      <c r="TDC22" s="64"/>
      <c r="TDD22" s="64"/>
      <c r="TDE22" s="64"/>
      <c r="TDF22" s="64"/>
      <c r="TDG22" s="64"/>
      <c r="TDH22" s="64"/>
      <c r="TDI22" s="64"/>
      <c r="TDJ22" s="64"/>
      <c r="TDK22" s="64"/>
      <c r="TDL22" s="64"/>
      <c r="TDM22" s="64"/>
      <c r="TDN22" s="64"/>
      <c r="TDO22" s="64"/>
      <c r="TDP22" s="64"/>
      <c r="TDQ22" s="64"/>
      <c r="TDR22" s="64"/>
      <c r="TDS22" s="64"/>
      <c r="TDT22" s="64"/>
      <c r="TDU22" s="64"/>
      <c r="TDV22" s="64"/>
      <c r="TDW22" s="64"/>
      <c r="TDX22" s="64"/>
      <c r="TDY22" s="64"/>
      <c r="TDZ22" s="64"/>
      <c r="TEA22" s="64"/>
      <c r="TEB22" s="64"/>
      <c r="TEC22" s="64"/>
      <c r="TED22" s="64"/>
      <c r="TEE22" s="64"/>
      <c r="TEF22" s="64"/>
      <c r="TEG22" s="64"/>
      <c r="TEH22" s="64"/>
      <c r="TEI22" s="64"/>
      <c r="TEJ22" s="64"/>
      <c r="TEK22" s="64"/>
      <c r="TEL22" s="64"/>
      <c r="TEM22" s="64"/>
      <c r="TEN22" s="64"/>
      <c r="TEO22" s="64"/>
      <c r="TEP22" s="64"/>
      <c r="TEQ22" s="64"/>
      <c r="TER22" s="64"/>
      <c r="TES22" s="64"/>
      <c r="TET22" s="64"/>
      <c r="TEU22" s="64"/>
      <c r="TEV22" s="64"/>
      <c r="TEW22" s="64"/>
      <c r="TEX22" s="64"/>
      <c r="TEY22" s="64"/>
      <c r="TEZ22" s="64"/>
      <c r="TFA22" s="64"/>
      <c r="TFB22" s="64"/>
      <c r="TFC22" s="64"/>
      <c r="TFD22" s="64"/>
      <c r="TFE22" s="64"/>
      <c r="TFF22" s="64"/>
      <c r="TFG22" s="64"/>
      <c r="TFH22" s="64"/>
      <c r="TFI22" s="64"/>
      <c r="TFJ22" s="64"/>
      <c r="TFK22" s="64"/>
      <c r="TFL22" s="64"/>
      <c r="TFM22" s="64"/>
      <c r="TFN22" s="64"/>
      <c r="TFO22" s="64"/>
      <c r="TFP22" s="64"/>
      <c r="TFQ22" s="64"/>
      <c r="TFR22" s="64"/>
      <c r="TFS22" s="64"/>
      <c r="TFT22" s="64"/>
      <c r="TFU22" s="64"/>
      <c r="TFV22" s="64"/>
      <c r="TFW22" s="64"/>
      <c r="TFX22" s="64"/>
      <c r="TFY22" s="64"/>
      <c r="TFZ22" s="64"/>
      <c r="TGA22" s="64"/>
      <c r="TGB22" s="64"/>
      <c r="TGC22" s="64"/>
      <c r="TGD22" s="64"/>
      <c r="TGE22" s="64"/>
      <c r="TGF22" s="64"/>
      <c r="TGG22" s="64"/>
      <c r="TGH22" s="64"/>
      <c r="TGI22" s="64"/>
      <c r="TGJ22" s="64"/>
      <c r="TGK22" s="64"/>
      <c r="TGL22" s="64"/>
      <c r="TGM22" s="64"/>
      <c r="TGN22" s="64"/>
      <c r="TGO22" s="64"/>
      <c r="TGP22" s="64"/>
      <c r="TGQ22" s="64"/>
      <c r="TGR22" s="64"/>
      <c r="TGS22" s="64"/>
      <c r="TGT22" s="64"/>
      <c r="TGU22" s="64"/>
      <c r="TGV22" s="64"/>
      <c r="TGW22" s="64"/>
      <c r="TGX22" s="64"/>
      <c r="TGY22" s="64"/>
      <c r="TGZ22" s="64"/>
      <c r="THA22" s="64"/>
      <c r="THB22" s="64"/>
      <c r="THC22" s="64"/>
      <c r="THD22" s="64"/>
      <c r="THE22" s="64"/>
      <c r="THF22" s="64"/>
      <c r="THG22" s="64"/>
      <c r="THH22" s="64"/>
      <c r="THI22" s="64"/>
      <c r="THJ22" s="64"/>
      <c r="THK22" s="64"/>
      <c r="THL22" s="64"/>
      <c r="THM22" s="64"/>
      <c r="THN22" s="64"/>
      <c r="THO22" s="64"/>
      <c r="THP22" s="64"/>
      <c r="THQ22" s="64"/>
      <c r="THR22" s="64"/>
      <c r="THS22" s="64"/>
      <c r="THT22" s="64"/>
      <c r="THU22" s="64"/>
      <c r="THV22" s="64"/>
      <c r="THW22" s="64"/>
      <c r="THX22" s="64"/>
      <c r="THY22" s="64"/>
      <c r="THZ22" s="64"/>
      <c r="TIA22" s="64"/>
      <c r="TIB22" s="64"/>
      <c r="TIC22" s="64"/>
      <c r="TID22" s="64"/>
      <c r="TIE22" s="64"/>
      <c r="TIF22" s="64"/>
      <c r="TIG22" s="64"/>
      <c r="TIH22" s="64"/>
      <c r="TII22" s="64"/>
      <c r="TIJ22" s="64"/>
      <c r="TIK22" s="64"/>
      <c r="TIL22" s="64"/>
      <c r="TIM22" s="64"/>
      <c r="TIN22" s="64"/>
      <c r="TIO22" s="64"/>
      <c r="TIP22" s="64"/>
      <c r="TIQ22" s="64"/>
      <c r="TIR22" s="64"/>
      <c r="TIS22" s="64"/>
      <c r="TIT22" s="64"/>
      <c r="TIU22" s="64"/>
      <c r="TIV22" s="64"/>
      <c r="TIW22" s="64"/>
      <c r="TIX22" s="64"/>
      <c r="TIY22" s="64"/>
      <c r="TIZ22" s="64"/>
      <c r="TJA22" s="64"/>
      <c r="TJB22" s="64"/>
      <c r="TJC22" s="64"/>
      <c r="TJD22" s="64"/>
      <c r="TJE22" s="64"/>
      <c r="TJF22" s="64"/>
      <c r="TJG22" s="64"/>
      <c r="TJH22" s="64"/>
      <c r="TJI22" s="64"/>
      <c r="TJJ22" s="64"/>
      <c r="TJK22" s="64"/>
      <c r="TJL22" s="64"/>
      <c r="TJM22" s="64"/>
      <c r="TJN22" s="64"/>
      <c r="TJO22" s="64"/>
      <c r="TJP22" s="64"/>
      <c r="TJQ22" s="64"/>
      <c r="TJR22" s="64"/>
      <c r="TJS22" s="64"/>
      <c r="TJT22" s="64"/>
      <c r="TJU22" s="64"/>
      <c r="TJV22" s="64"/>
      <c r="TJW22" s="64"/>
      <c r="TJX22" s="64"/>
      <c r="TJY22" s="64"/>
      <c r="TJZ22" s="64"/>
      <c r="TKA22" s="64"/>
      <c r="TKB22" s="64"/>
      <c r="TKC22" s="64"/>
      <c r="TKD22" s="64"/>
      <c r="TKE22" s="64"/>
      <c r="TKF22" s="64"/>
      <c r="TKG22" s="64"/>
      <c r="TKH22" s="64"/>
      <c r="TKI22" s="64"/>
      <c r="TKJ22" s="64"/>
      <c r="TKK22" s="64"/>
      <c r="TKL22" s="64"/>
      <c r="TKM22" s="64"/>
      <c r="TKN22" s="64"/>
      <c r="TKO22" s="64"/>
      <c r="TKP22" s="64"/>
      <c r="TKQ22" s="64"/>
      <c r="TKR22" s="64"/>
      <c r="TKS22" s="64"/>
      <c r="TKT22" s="64"/>
      <c r="TKU22" s="64"/>
      <c r="TKV22" s="64"/>
      <c r="TKW22" s="64"/>
      <c r="TKX22" s="64"/>
      <c r="TKY22" s="64"/>
      <c r="TKZ22" s="64"/>
      <c r="TLA22" s="64"/>
      <c r="TLB22" s="64"/>
      <c r="TLC22" s="64"/>
      <c r="TLD22" s="64"/>
      <c r="TLE22" s="64"/>
      <c r="TLF22" s="64"/>
      <c r="TLG22" s="64"/>
      <c r="TLH22" s="64"/>
      <c r="TLI22" s="64"/>
      <c r="TLJ22" s="64"/>
      <c r="TLK22" s="64"/>
      <c r="TLL22" s="64"/>
      <c r="TLM22" s="64"/>
      <c r="TLN22" s="64"/>
      <c r="TLO22" s="64"/>
      <c r="TLP22" s="64"/>
      <c r="TLQ22" s="64"/>
      <c r="TLR22" s="64"/>
      <c r="TLS22" s="64"/>
      <c r="TLT22" s="64"/>
      <c r="TLU22" s="64"/>
      <c r="TLV22" s="64"/>
      <c r="TLW22" s="64"/>
      <c r="TLX22" s="64"/>
      <c r="TLY22" s="64"/>
      <c r="TLZ22" s="64"/>
      <c r="TMA22" s="64"/>
      <c r="TMB22" s="64"/>
      <c r="TMC22" s="64"/>
      <c r="TMD22" s="64"/>
      <c r="TME22" s="64"/>
      <c r="TMF22" s="64"/>
      <c r="TMG22" s="64"/>
      <c r="TMH22" s="64"/>
      <c r="TMI22" s="64"/>
      <c r="TMJ22" s="64"/>
      <c r="TMK22" s="64"/>
      <c r="TML22" s="64"/>
      <c r="TMM22" s="64"/>
      <c r="TMN22" s="64"/>
      <c r="TMO22" s="64"/>
      <c r="TMP22" s="64"/>
      <c r="TMQ22" s="64"/>
      <c r="TMR22" s="64"/>
      <c r="TMS22" s="64"/>
      <c r="TMT22" s="64"/>
      <c r="TMU22" s="64"/>
      <c r="TMV22" s="64"/>
      <c r="TMW22" s="64"/>
      <c r="TMX22" s="64"/>
      <c r="TMY22" s="64"/>
      <c r="TMZ22" s="64"/>
      <c r="TNA22" s="64"/>
      <c r="TNB22" s="64"/>
      <c r="TNC22" s="64"/>
      <c r="TND22" s="64"/>
      <c r="TNE22" s="64"/>
      <c r="TNF22" s="64"/>
      <c r="TNG22" s="64"/>
      <c r="TNH22" s="64"/>
      <c r="TNI22" s="64"/>
      <c r="TNJ22" s="64"/>
      <c r="TNK22" s="64"/>
      <c r="TNL22" s="64"/>
      <c r="TNM22" s="64"/>
      <c r="TNN22" s="64"/>
      <c r="TNO22" s="64"/>
      <c r="TNP22" s="64"/>
      <c r="TNQ22" s="64"/>
      <c r="TNR22" s="64"/>
      <c r="TNS22" s="64"/>
      <c r="TNT22" s="64"/>
      <c r="TNU22" s="64"/>
      <c r="TNV22" s="64"/>
      <c r="TNW22" s="64"/>
      <c r="TNX22" s="64"/>
      <c r="TNY22" s="64"/>
      <c r="TNZ22" s="64"/>
      <c r="TOA22" s="64"/>
      <c r="TOB22" s="64"/>
      <c r="TOC22" s="64"/>
      <c r="TOD22" s="64"/>
      <c r="TOE22" s="64"/>
      <c r="TOF22" s="64"/>
      <c r="TOG22" s="64"/>
      <c r="TOH22" s="64"/>
      <c r="TOI22" s="64"/>
      <c r="TOJ22" s="64"/>
      <c r="TOK22" s="64"/>
      <c r="TOL22" s="64"/>
      <c r="TOM22" s="64"/>
      <c r="TON22" s="64"/>
      <c r="TOO22" s="64"/>
      <c r="TOP22" s="64"/>
      <c r="TOQ22" s="64"/>
      <c r="TOR22" s="64"/>
      <c r="TOS22" s="64"/>
      <c r="TOT22" s="64"/>
      <c r="TOU22" s="64"/>
      <c r="TOV22" s="64"/>
      <c r="TOW22" s="64"/>
      <c r="TOX22" s="64"/>
      <c r="TOY22" s="64"/>
      <c r="TOZ22" s="64"/>
      <c r="TPA22" s="64"/>
      <c r="TPB22" s="64"/>
      <c r="TPC22" s="64"/>
      <c r="TPD22" s="64"/>
      <c r="TPE22" s="64"/>
      <c r="TPF22" s="64"/>
      <c r="TPG22" s="64"/>
      <c r="TPH22" s="64"/>
      <c r="TPI22" s="64"/>
      <c r="TPJ22" s="64"/>
      <c r="TPK22" s="64"/>
      <c r="TPL22" s="64"/>
      <c r="TPM22" s="64"/>
      <c r="TPN22" s="64"/>
      <c r="TPO22" s="64"/>
      <c r="TPP22" s="64"/>
      <c r="TPQ22" s="64"/>
      <c r="TPR22" s="64"/>
      <c r="TPS22" s="64"/>
      <c r="TPT22" s="64"/>
      <c r="TPU22" s="64"/>
      <c r="TPV22" s="64"/>
      <c r="TPW22" s="64"/>
      <c r="TPX22" s="64"/>
      <c r="TPY22" s="64"/>
      <c r="TPZ22" s="64"/>
      <c r="TQA22" s="64"/>
      <c r="TQB22" s="64"/>
      <c r="TQC22" s="64"/>
      <c r="TQD22" s="64"/>
      <c r="TQE22" s="64"/>
      <c r="TQF22" s="64"/>
      <c r="TQG22" s="64"/>
      <c r="TQH22" s="64"/>
      <c r="TQI22" s="64"/>
      <c r="TQJ22" s="64"/>
      <c r="TQK22" s="64"/>
      <c r="TQL22" s="64"/>
      <c r="TQM22" s="64"/>
      <c r="TQN22" s="64"/>
      <c r="TQO22" s="64"/>
      <c r="TQP22" s="64"/>
      <c r="TQQ22" s="64"/>
      <c r="TQR22" s="64"/>
      <c r="TQS22" s="64"/>
      <c r="TQT22" s="64"/>
      <c r="TQU22" s="64"/>
      <c r="TQV22" s="64"/>
      <c r="TQW22" s="64"/>
      <c r="TQX22" s="64"/>
      <c r="TQY22" s="64"/>
      <c r="TQZ22" s="64"/>
      <c r="TRA22" s="64"/>
      <c r="TRB22" s="64"/>
      <c r="TRC22" s="64"/>
      <c r="TRD22" s="64"/>
      <c r="TRE22" s="64"/>
      <c r="TRF22" s="64"/>
      <c r="TRG22" s="64"/>
      <c r="TRH22" s="64"/>
      <c r="TRI22" s="64"/>
      <c r="TRJ22" s="64"/>
      <c r="TRK22" s="64"/>
      <c r="TRL22" s="64"/>
      <c r="TRM22" s="64"/>
      <c r="TRN22" s="64"/>
      <c r="TRO22" s="64"/>
      <c r="TRP22" s="64"/>
      <c r="TRQ22" s="64"/>
      <c r="TRR22" s="64"/>
      <c r="TRS22" s="64"/>
      <c r="TRT22" s="64"/>
      <c r="TRU22" s="64"/>
      <c r="TRV22" s="64"/>
      <c r="TRW22" s="64"/>
      <c r="TRX22" s="64"/>
      <c r="TRY22" s="64"/>
      <c r="TRZ22" s="64"/>
      <c r="TSA22" s="64"/>
      <c r="TSB22" s="64"/>
      <c r="TSC22" s="64"/>
      <c r="TSD22" s="64"/>
      <c r="TSE22" s="64"/>
      <c r="TSF22" s="64"/>
      <c r="TSG22" s="64"/>
      <c r="TSH22" s="64"/>
      <c r="TSI22" s="64"/>
      <c r="TSJ22" s="64"/>
      <c r="TSK22" s="64"/>
      <c r="TSL22" s="64"/>
      <c r="TSM22" s="64"/>
      <c r="TSN22" s="64"/>
      <c r="TSO22" s="64"/>
      <c r="TSP22" s="64"/>
      <c r="TSQ22" s="64"/>
      <c r="TSR22" s="64"/>
      <c r="TSS22" s="64"/>
      <c r="TST22" s="64"/>
      <c r="TSU22" s="64"/>
      <c r="TSV22" s="64"/>
      <c r="TSW22" s="64"/>
      <c r="TSX22" s="64"/>
      <c r="TSY22" s="64"/>
      <c r="TSZ22" s="64"/>
      <c r="TTA22" s="64"/>
      <c r="TTB22" s="64"/>
      <c r="TTC22" s="64"/>
      <c r="TTD22" s="64"/>
      <c r="TTE22" s="64"/>
      <c r="TTF22" s="64"/>
      <c r="TTG22" s="64"/>
      <c r="TTH22" s="64"/>
      <c r="TTI22" s="64"/>
      <c r="TTJ22" s="64"/>
      <c r="TTK22" s="64"/>
      <c r="TTL22" s="64"/>
      <c r="TTM22" s="64"/>
      <c r="TTN22" s="64"/>
      <c r="TTO22" s="64"/>
      <c r="TTP22" s="64"/>
      <c r="TTQ22" s="64"/>
      <c r="TTR22" s="64"/>
      <c r="TTS22" s="64"/>
      <c r="TTT22" s="64"/>
      <c r="TTU22" s="64"/>
      <c r="TTV22" s="64"/>
      <c r="TTW22" s="64"/>
      <c r="TTX22" s="64"/>
      <c r="TTY22" s="64"/>
      <c r="TTZ22" s="64"/>
      <c r="TUA22" s="64"/>
      <c r="TUB22" s="64"/>
      <c r="TUC22" s="64"/>
      <c r="TUD22" s="64"/>
      <c r="TUE22" s="64"/>
      <c r="TUF22" s="64"/>
      <c r="TUG22" s="64"/>
      <c r="TUH22" s="64"/>
      <c r="TUI22" s="64"/>
      <c r="TUJ22" s="64"/>
      <c r="TUK22" s="64"/>
      <c r="TUL22" s="64"/>
      <c r="TUM22" s="64"/>
      <c r="TUN22" s="64"/>
      <c r="TUO22" s="64"/>
      <c r="TUP22" s="64"/>
      <c r="TUQ22" s="64"/>
      <c r="TUR22" s="64"/>
      <c r="TUS22" s="64"/>
      <c r="TUT22" s="64"/>
      <c r="TUU22" s="64"/>
      <c r="TUV22" s="64"/>
      <c r="TUW22" s="64"/>
      <c r="TUX22" s="64"/>
      <c r="TUY22" s="64"/>
      <c r="TUZ22" s="64"/>
      <c r="TVA22" s="64"/>
      <c r="TVB22" s="64"/>
      <c r="TVC22" s="64"/>
      <c r="TVD22" s="64"/>
      <c r="TVE22" s="64"/>
      <c r="TVF22" s="64"/>
      <c r="TVG22" s="64"/>
      <c r="TVH22" s="64"/>
      <c r="TVI22" s="64"/>
      <c r="TVJ22" s="64"/>
      <c r="TVK22" s="64"/>
      <c r="TVL22" s="64"/>
      <c r="TVM22" s="64"/>
      <c r="TVN22" s="64"/>
      <c r="TVO22" s="64"/>
      <c r="TVP22" s="64"/>
      <c r="TVQ22" s="64"/>
      <c r="TVR22" s="64"/>
      <c r="TVS22" s="64"/>
      <c r="TVT22" s="64"/>
      <c r="TVU22" s="64"/>
      <c r="TVV22" s="64"/>
      <c r="TVW22" s="64"/>
      <c r="TVX22" s="64"/>
      <c r="TVY22" s="64"/>
      <c r="TVZ22" s="64"/>
      <c r="TWA22" s="64"/>
      <c r="TWB22" s="64"/>
      <c r="TWC22" s="64"/>
      <c r="TWD22" s="64"/>
      <c r="TWE22" s="64"/>
      <c r="TWF22" s="64"/>
      <c r="TWG22" s="64"/>
      <c r="TWH22" s="64"/>
      <c r="TWI22" s="64"/>
      <c r="TWJ22" s="64"/>
      <c r="TWK22" s="64"/>
      <c r="TWL22" s="64"/>
      <c r="TWM22" s="64"/>
      <c r="TWN22" s="64"/>
      <c r="TWO22" s="64"/>
      <c r="TWP22" s="64"/>
      <c r="TWQ22" s="64"/>
      <c r="TWR22" s="64"/>
      <c r="TWS22" s="64"/>
      <c r="TWT22" s="64"/>
      <c r="TWU22" s="64"/>
      <c r="TWV22" s="64"/>
      <c r="TWW22" s="64"/>
      <c r="TWX22" s="64"/>
      <c r="TWY22" s="64"/>
      <c r="TWZ22" s="64"/>
      <c r="TXA22" s="64"/>
      <c r="TXB22" s="64"/>
      <c r="TXC22" s="64"/>
      <c r="TXD22" s="64"/>
      <c r="TXE22" s="64"/>
      <c r="TXF22" s="64"/>
      <c r="TXG22" s="64"/>
      <c r="TXH22" s="64"/>
      <c r="TXI22" s="64"/>
      <c r="TXJ22" s="64"/>
      <c r="TXK22" s="64"/>
      <c r="TXL22" s="64"/>
      <c r="TXM22" s="64"/>
      <c r="TXN22" s="64"/>
      <c r="TXO22" s="64"/>
      <c r="TXP22" s="64"/>
      <c r="TXQ22" s="64"/>
      <c r="TXR22" s="64"/>
      <c r="TXS22" s="64"/>
      <c r="TXT22" s="64"/>
      <c r="TXU22" s="64"/>
      <c r="TXV22" s="64"/>
      <c r="TXW22" s="64"/>
      <c r="TXX22" s="64"/>
      <c r="TXY22" s="64"/>
      <c r="TXZ22" s="64"/>
      <c r="TYA22" s="64"/>
      <c r="TYB22" s="64"/>
      <c r="TYC22" s="64"/>
      <c r="TYD22" s="64"/>
      <c r="TYE22" s="64"/>
      <c r="TYF22" s="64"/>
      <c r="TYG22" s="64"/>
      <c r="TYH22" s="64"/>
      <c r="TYI22" s="64"/>
      <c r="TYJ22" s="64"/>
      <c r="TYK22" s="64"/>
      <c r="TYL22" s="64"/>
      <c r="TYM22" s="64"/>
      <c r="TYN22" s="64"/>
      <c r="TYO22" s="64"/>
      <c r="TYP22" s="64"/>
      <c r="TYQ22" s="64"/>
      <c r="TYR22" s="64"/>
      <c r="TYS22" s="64"/>
      <c r="TYT22" s="64"/>
      <c r="TYU22" s="64"/>
      <c r="TYV22" s="64"/>
      <c r="TYW22" s="64"/>
      <c r="TYX22" s="64"/>
      <c r="TYY22" s="64"/>
      <c r="TYZ22" s="64"/>
      <c r="TZA22" s="64"/>
      <c r="TZB22" s="64"/>
      <c r="TZC22" s="64"/>
      <c r="TZD22" s="64"/>
      <c r="TZE22" s="64"/>
      <c r="TZF22" s="64"/>
      <c r="TZG22" s="64"/>
      <c r="TZH22" s="64"/>
      <c r="TZI22" s="64"/>
      <c r="TZJ22" s="64"/>
      <c r="TZK22" s="64"/>
      <c r="TZL22" s="64"/>
      <c r="TZM22" s="64"/>
      <c r="TZN22" s="64"/>
      <c r="TZO22" s="64"/>
      <c r="TZP22" s="64"/>
      <c r="TZQ22" s="64"/>
      <c r="TZR22" s="64"/>
      <c r="TZS22" s="64"/>
      <c r="TZT22" s="64"/>
      <c r="TZU22" s="64"/>
      <c r="TZV22" s="64"/>
      <c r="TZW22" s="64"/>
      <c r="TZX22" s="64"/>
      <c r="TZY22" s="64"/>
      <c r="TZZ22" s="64"/>
      <c r="UAA22" s="64"/>
      <c r="UAB22" s="64"/>
      <c r="UAC22" s="64"/>
      <c r="UAD22" s="64"/>
      <c r="UAE22" s="64"/>
      <c r="UAF22" s="64"/>
      <c r="UAG22" s="64"/>
      <c r="UAH22" s="64"/>
      <c r="UAI22" s="64"/>
      <c r="UAJ22" s="64"/>
      <c r="UAK22" s="64"/>
      <c r="UAL22" s="64"/>
      <c r="UAM22" s="64"/>
      <c r="UAN22" s="64"/>
      <c r="UAO22" s="64"/>
      <c r="UAP22" s="64"/>
      <c r="UAQ22" s="64"/>
      <c r="UAR22" s="64"/>
      <c r="UAS22" s="64"/>
      <c r="UAT22" s="64"/>
      <c r="UAU22" s="64"/>
      <c r="UAV22" s="64"/>
      <c r="UAW22" s="64"/>
      <c r="UAX22" s="64"/>
      <c r="UAY22" s="64"/>
      <c r="UAZ22" s="64"/>
      <c r="UBA22" s="64"/>
      <c r="UBB22" s="64"/>
      <c r="UBC22" s="64"/>
      <c r="UBD22" s="64"/>
      <c r="UBE22" s="64"/>
      <c r="UBF22" s="64"/>
      <c r="UBG22" s="64"/>
      <c r="UBH22" s="64"/>
      <c r="UBI22" s="64"/>
      <c r="UBJ22" s="64"/>
      <c r="UBK22" s="64"/>
      <c r="UBL22" s="64"/>
      <c r="UBM22" s="64"/>
      <c r="UBN22" s="64"/>
      <c r="UBO22" s="64"/>
      <c r="UBP22" s="64"/>
      <c r="UBQ22" s="64"/>
      <c r="UBR22" s="64"/>
      <c r="UBS22" s="64"/>
      <c r="UBT22" s="64"/>
      <c r="UBU22" s="64"/>
      <c r="UBV22" s="64"/>
      <c r="UBW22" s="64"/>
      <c r="UBX22" s="64"/>
      <c r="UBY22" s="64"/>
      <c r="UBZ22" s="64"/>
      <c r="UCA22" s="64"/>
      <c r="UCB22" s="64"/>
      <c r="UCC22" s="64"/>
      <c r="UCD22" s="64"/>
      <c r="UCE22" s="64"/>
      <c r="UCF22" s="64"/>
      <c r="UCG22" s="64"/>
      <c r="UCH22" s="64"/>
      <c r="UCI22" s="64"/>
      <c r="UCJ22" s="64"/>
      <c r="UCK22" s="64"/>
      <c r="UCL22" s="64"/>
      <c r="UCM22" s="64"/>
      <c r="UCN22" s="64"/>
      <c r="UCO22" s="64"/>
      <c r="UCP22" s="64"/>
      <c r="UCQ22" s="64"/>
      <c r="UCR22" s="64"/>
      <c r="UCS22" s="64"/>
      <c r="UCT22" s="64"/>
      <c r="UCU22" s="64"/>
      <c r="UCV22" s="64"/>
      <c r="UCW22" s="64"/>
      <c r="UCX22" s="64"/>
      <c r="UCY22" s="64"/>
      <c r="UCZ22" s="64"/>
      <c r="UDA22" s="64"/>
      <c r="UDB22" s="64"/>
      <c r="UDC22" s="64"/>
      <c r="UDD22" s="64"/>
      <c r="UDE22" s="64"/>
      <c r="UDF22" s="64"/>
      <c r="UDG22" s="64"/>
      <c r="UDH22" s="64"/>
      <c r="UDI22" s="64"/>
      <c r="UDJ22" s="64"/>
      <c r="UDK22" s="64"/>
      <c r="UDL22" s="64"/>
      <c r="UDM22" s="64"/>
      <c r="UDN22" s="64"/>
      <c r="UDO22" s="64"/>
      <c r="UDP22" s="64"/>
      <c r="UDQ22" s="64"/>
      <c r="UDR22" s="64"/>
      <c r="UDS22" s="64"/>
      <c r="UDT22" s="64"/>
      <c r="UDU22" s="64"/>
      <c r="UDV22" s="64"/>
      <c r="UDW22" s="64"/>
      <c r="UDX22" s="64"/>
      <c r="UDY22" s="64"/>
      <c r="UDZ22" s="64"/>
      <c r="UEA22" s="64"/>
      <c r="UEB22" s="64"/>
      <c r="UEC22" s="64"/>
      <c r="UED22" s="64"/>
      <c r="UEE22" s="64"/>
      <c r="UEF22" s="64"/>
      <c r="UEG22" s="64"/>
      <c r="UEH22" s="64"/>
      <c r="UEI22" s="64"/>
      <c r="UEJ22" s="64"/>
      <c r="UEK22" s="64"/>
      <c r="UEL22" s="64"/>
      <c r="UEM22" s="64"/>
      <c r="UEN22" s="64"/>
      <c r="UEO22" s="64"/>
      <c r="UEP22" s="64"/>
      <c r="UEQ22" s="64"/>
      <c r="UER22" s="64"/>
      <c r="UES22" s="64"/>
      <c r="UET22" s="64"/>
      <c r="UEU22" s="64"/>
      <c r="UEV22" s="64"/>
      <c r="UEW22" s="64"/>
      <c r="UEX22" s="64"/>
      <c r="UEY22" s="64"/>
      <c r="UEZ22" s="64"/>
      <c r="UFA22" s="64"/>
      <c r="UFB22" s="64"/>
      <c r="UFC22" s="64"/>
      <c r="UFD22" s="64"/>
      <c r="UFE22" s="64"/>
      <c r="UFF22" s="64"/>
      <c r="UFG22" s="64"/>
      <c r="UFH22" s="64"/>
      <c r="UFI22" s="64"/>
      <c r="UFJ22" s="64"/>
      <c r="UFK22" s="64"/>
      <c r="UFL22" s="64"/>
      <c r="UFM22" s="64"/>
      <c r="UFN22" s="64"/>
      <c r="UFO22" s="64"/>
      <c r="UFP22" s="64"/>
      <c r="UFQ22" s="64"/>
      <c r="UFR22" s="64"/>
      <c r="UFS22" s="64"/>
      <c r="UFT22" s="64"/>
      <c r="UFU22" s="64"/>
      <c r="UFV22" s="64"/>
      <c r="UFW22" s="64"/>
      <c r="UFX22" s="64"/>
      <c r="UFY22" s="64"/>
      <c r="UFZ22" s="64"/>
      <c r="UGA22" s="64"/>
      <c r="UGB22" s="64"/>
      <c r="UGC22" s="64"/>
      <c r="UGD22" s="64"/>
      <c r="UGE22" s="64"/>
      <c r="UGF22" s="64"/>
      <c r="UGG22" s="64"/>
      <c r="UGH22" s="64"/>
      <c r="UGI22" s="64"/>
      <c r="UGJ22" s="64"/>
      <c r="UGK22" s="64"/>
      <c r="UGL22" s="64"/>
      <c r="UGM22" s="64"/>
      <c r="UGN22" s="64"/>
      <c r="UGO22" s="64"/>
      <c r="UGP22" s="64"/>
      <c r="UGQ22" s="64"/>
      <c r="UGR22" s="64"/>
      <c r="UGS22" s="64"/>
      <c r="UGT22" s="64"/>
      <c r="UGU22" s="64"/>
      <c r="UGV22" s="64"/>
      <c r="UGW22" s="64"/>
      <c r="UGX22" s="64"/>
      <c r="UGY22" s="64"/>
      <c r="UGZ22" s="64"/>
      <c r="UHA22" s="64"/>
      <c r="UHB22" s="64"/>
      <c r="UHC22" s="64"/>
      <c r="UHD22" s="64"/>
      <c r="UHE22" s="64"/>
      <c r="UHF22" s="64"/>
      <c r="UHG22" s="64"/>
      <c r="UHH22" s="64"/>
      <c r="UHI22" s="64"/>
      <c r="UHJ22" s="64"/>
      <c r="UHK22" s="64"/>
      <c r="UHL22" s="64"/>
      <c r="UHM22" s="64"/>
      <c r="UHN22" s="64"/>
      <c r="UHO22" s="64"/>
      <c r="UHP22" s="64"/>
      <c r="UHQ22" s="64"/>
      <c r="UHR22" s="64"/>
      <c r="UHS22" s="64"/>
      <c r="UHT22" s="64"/>
      <c r="UHU22" s="64"/>
      <c r="UHV22" s="64"/>
      <c r="UHW22" s="64"/>
      <c r="UHX22" s="64"/>
      <c r="UHY22" s="64"/>
      <c r="UHZ22" s="64"/>
      <c r="UIA22" s="64"/>
      <c r="UIB22" s="64"/>
      <c r="UIC22" s="64"/>
      <c r="UID22" s="64"/>
      <c r="UIE22" s="64"/>
      <c r="UIF22" s="64"/>
      <c r="UIG22" s="64"/>
      <c r="UIH22" s="64"/>
      <c r="UII22" s="64"/>
      <c r="UIJ22" s="64"/>
      <c r="UIK22" s="64"/>
      <c r="UIL22" s="64"/>
      <c r="UIM22" s="64"/>
      <c r="UIN22" s="64"/>
      <c r="UIO22" s="64"/>
      <c r="UIP22" s="64"/>
      <c r="UIQ22" s="64"/>
      <c r="UIR22" s="64"/>
      <c r="UIS22" s="64"/>
      <c r="UIT22" s="64"/>
      <c r="UIU22" s="64"/>
      <c r="UIV22" s="64"/>
      <c r="UIW22" s="64"/>
      <c r="UIX22" s="64"/>
      <c r="UIY22" s="64"/>
      <c r="UIZ22" s="64"/>
      <c r="UJA22" s="64"/>
      <c r="UJB22" s="64"/>
      <c r="UJC22" s="64"/>
      <c r="UJD22" s="64"/>
      <c r="UJE22" s="64"/>
      <c r="UJF22" s="64"/>
      <c r="UJG22" s="64"/>
      <c r="UJH22" s="64"/>
      <c r="UJI22" s="64"/>
      <c r="UJJ22" s="64"/>
      <c r="UJK22" s="64"/>
      <c r="UJL22" s="64"/>
      <c r="UJM22" s="64"/>
      <c r="UJN22" s="64"/>
      <c r="UJO22" s="64"/>
      <c r="UJP22" s="64"/>
      <c r="UJQ22" s="64"/>
      <c r="UJR22" s="64"/>
      <c r="UJS22" s="64"/>
      <c r="UJT22" s="64"/>
      <c r="UJU22" s="64"/>
      <c r="UJV22" s="64"/>
      <c r="UJW22" s="64"/>
      <c r="UJX22" s="64"/>
      <c r="UJY22" s="64"/>
      <c r="UJZ22" s="64"/>
      <c r="UKA22" s="64"/>
      <c r="UKB22" s="64"/>
      <c r="UKC22" s="64"/>
      <c r="UKD22" s="64"/>
      <c r="UKE22" s="64"/>
      <c r="UKF22" s="64"/>
      <c r="UKG22" s="64"/>
      <c r="UKH22" s="64"/>
      <c r="UKI22" s="64"/>
      <c r="UKJ22" s="64"/>
      <c r="UKK22" s="64"/>
      <c r="UKL22" s="64"/>
      <c r="UKM22" s="64"/>
      <c r="UKN22" s="64"/>
      <c r="UKO22" s="64"/>
      <c r="UKP22" s="64"/>
      <c r="UKQ22" s="64"/>
      <c r="UKR22" s="64"/>
      <c r="UKS22" s="64"/>
      <c r="UKT22" s="64"/>
      <c r="UKU22" s="64"/>
      <c r="UKV22" s="64"/>
      <c r="UKW22" s="64"/>
      <c r="UKX22" s="64"/>
      <c r="UKY22" s="64"/>
      <c r="UKZ22" s="64"/>
      <c r="ULA22" s="64"/>
      <c r="ULB22" s="64"/>
      <c r="ULC22" s="64"/>
      <c r="ULD22" s="64"/>
      <c r="ULE22" s="64"/>
      <c r="ULF22" s="64"/>
      <c r="ULG22" s="64"/>
      <c r="ULH22" s="64"/>
      <c r="ULI22" s="64"/>
      <c r="ULJ22" s="64"/>
      <c r="ULK22" s="64"/>
      <c r="ULL22" s="64"/>
      <c r="ULM22" s="64"/>
      <c r="ULN22" s="64"/>
      <c r="ULO22" s="64"/>
      <c r="ULP22" s="64"/>
      <c r="ULQ22" s="64"/>
      <c r="ULR22" s="64"/>
      <c r="ULS22" s="64"/>
      <c r="ULT22" s="64"/>
      <c r="ULU22" s="64"/>
      <c r="ULV22" s="64"/>
      <c r="ULW22" s="64"/>
      <c r="ULX22" s="64"/>
      <c r="ULY22" s="64"/>
      <c r="ULZ22" s="64"/>
      <c r="UMA22" s="64"/>
      <c r="UMB22" s="64"/>
      <c r="UMC22" s="64"/>
      <c r="UMD22" s="64"/>
      <c r="UME22" s="64"/>
      <c r="UMF22" s="64"/>
      <c r="UMG22" s="64"/>
      <c r="UMH22" s="64"/>
      <c r="UMI22" s="64"/>
      <c r="UMJ22" s="64"/>
      <c r="UMK22" s="64"/>
      <c r="UML22" s="64"/>
      <c r="UMM22" s="64"/>
      <c r="UMN22" s="64"/>
      <c r="UMO22" s="64"/>
      <c r="UMP22" s="64"/>
      <c r="UMQ22" s="64"/>
      <c r="UMR22" s="64"/>
      <c r="UMS22" s="64"/>
      <c r="UMT22" s="64"/>
      <c r="UMU22" s="64"/>
      <c r="UMV22" s="64"/>
      <c r="UMW22" s="64"/>
      <c r="UMX22" s="64"/>
      <c r="UMY22" s="64"/>
      <c r="UMZ22" s="64"/>
      <c r="UNA22" s="64"/>
      <c r="UNB22" s="64"/>
      <c r="UNC22" s="64"/>
      <c r="UND22" s="64"/>
      <c r="UNE22" s="64"/>
      <c r="UNF22" s="64"/>
      <c r="UNG22" s="64"/>
      <c r="UNH22" s="64"/>
      <c r="UNI22" s="64"/>
      <c r="UNJ22" s="64"/>
      <c r="UNK22" s="64"/>
      <c r="UNL22" s="64"/>
      <c r="UNM22" s="64"/>
      <c r="UNN22" s="64"/>
      <c r="UNO22" s="64"/>
      <c r="UNP22" s="64"/>
      <c r="UNQ22" s="64"/>
      <c r="UNR22" s="64"/>
      <c r="UNS22" s="64"/>
      <c r="UNT22" s="64"/>
      <c r="UNU22" s="64"/>
      <c r="UNV22" s="64"/>
      <c r="UNW22" s="64"/>
      <c r="UNX22" s="64"/>
      <c r="UNY22" s="64"/>
      <c r="UNZ22" s="64"/>
      <c r="UOA22" s="64"/>
      <c r="UOB22" s="64"/>
      <c r="UOC22" s="64"/>
      <c r="UOD22" s="64"/>
      <c r="UOE22" s="64"/>
      <c r="UOF22" s="64"/>
      <c r="UOG22" s="64"/>
      <c r="UOH22" s="64"/>
      <c r="UOI22" s="64"/>
      <c r="UOJ22" s="64"/>
      <c r="UOK22" s="64"/>
      <c r="UOL22" s="64"/>
      <c r="UOM22" s="64"/>
      <c r="UON22" s="64"/>
      <c r="UOO22" s="64"/>
      <c r="UOP22" s="64"/>
      <c r="UOQ22" s="64"/>
      <c r="UOR22" s="64"/>
      <c r="UOS22" s="64"/>
      <c r="UOT22" s="64"/>
      <c r="UOU22" s="64"/>
      <c r="UOV22" s="64"/>
      <c r="UOW22" s="64"/>
      <c r="UOX22" s="64"/>
      <c r="UOY22" s="64"/>
      <c r="UOZ22" s="64"/>
      <c r="UPA22" s="64"/>
      <c r="UPB22" s="64"/>
      <c r="UPC22" s="64"/>
      <c r="UPD22" s="64"/>
      <c r="UPE22" s="64"/>
      <c r="UPF22" s="64"/>
      <c r="UPG22" s="64"/>
      <c r="UPH22" s="64"/>
      <c r="UPI22" s="64"/>
      <c r="UPJ22" s="64"/>
      <c r="UPK22" s="64"/>
      <c r="UPL22" s="64"/>
      <c r="UPM22" s="64"/>
      <c r="UPN22" s="64"/>
      <c r="UPO22" s="64"/>
      <c r="UPP22" s="64"/>
      <c r="UPQ22" s="64"/>
      <c r="UPR22" s="64"/>
      <c r="UPS22" s="64"/>
      <c r="UPT22" s="64"/>
      <c r="UPU22" s="64"/>
      <c r="UPV22" s="64"/>
      <c r="UPW22" s="64"/>
      <c r="UPX22" s="64"/>
      <c r="UPY22" s="64"/>
      <c r="UPZ22" s="64"/>
      <c r="UQA22" s="64"/>
      <c r="UQB22" s="64"/>
      <c r="UQC22" s="64"/>
      <c r="UQD22" s="64"/>
      <c r="UQE22" s="64"/>
      <c r="UQF22" s="64"/>
      <c r="UQG22" s="64"/>
      <c r="UQH22" s="64"/>
      <c r="UQI22" s="64"/>
      <c r="UQJ22" s="64"/>
      <c r="UQK22" s="64"/>
      <c r="UQL22" s="64"/>
      <c r="UQM22" s="64"/>
      <c r="UQN22" s="64"/>
      <c r="UQO22" s="64"/>
      <c r="UQP22" s="64"/>
      <c r="UQQ22" s="64"/>
      <c r="UQR22" s="64"/>
      <c r="UQS22" s="64"/>
      <c r="UQT22" s="64"/>
      <c r="UQU22" s="64"/>
      <c r="UQV22" s="64"/>
      <c r="UQW22" s="64"/>
      <c r="UQX22" s="64"/>
      <c r="UQY22" s="64"/>
      <c r="UQZ22" s="64"/>
      <c r="URA22" s="64"/>
      <c r="URB22" s="64"/>
      <c r="URC22" s="64"/>
      <c r="URD22" s="64"/>
      <c r="URE22" s="64"/>
      <c r="URF22" s="64"/>
      <c r="URG22" s="64"/>
      <c r="URH22" s="64"/>
      <c r="URI22" s="64"/>
      <c r="URJ22" s="64"/>
      <c r="URK22" s="64"/>
      <c r="URL22" s="64"/>
      <c r="URM22" s="64"/>
      <c r="URN22" s="64"/>
      <c r="URO22" s="64"/>
      <c r="URP22" s="64"/>
      <c r="URQ22" s="64"/>
      <c r="URR22" s="64"/>
      <c r="URS22" s="64"/>
      <c r="URT22" s="64"/>
      <c r="URU22" s="64"/>
      <c r="URV22" s="64"/>
      <c r="URW22" s="64"/>
      <c r="URX22" s="64"/>
      <c r="URY22" s="64"/>
      <c r="URZ22" s="64"/>
      <c r="USA22" s="64"/>
      <c r="USB22" s="64"/>
      <c r="USC22" s="64"/>
      <c r="USD22" s="64"/>
      <c r="USE22" s="64"/>
      <c r="USF22" s="64"/>
      <c r="USG22" s="64"/>
      <c r="USH22" s="64"/>
      <c r="USI22" s="64"/>
      <c r="USJ22" s="64"/>
      <c r="USK22" s="64"/>
      <c r="USL22" s="64"/>
      <c r="USM22" s="64"/>
      <c r="USN22" s="64"/>
      <c r="USO22" s="64"/>
      <c r="USP22" s="64"/>
      <c r="USQ22" s="64"/>
      <c r="USR22" s="64"/>
      <c r="USS22" s="64"/>
      <c r="UST22" s="64"/>
      <c r="USU22" s="64"/>
      <c r="USV22" s="64"/>
      <c r="USW22" s="64"/>
      <c r="USX22" s="64"/>
      <c r="USY22" s="64"/>
      <c r="USZ22" s="64"/>
      <c r="UTA22" s="64"/>
      <c r="UTB22" s="64"/>
      <c r="UTC22" s="64"/>
      <c r="UTD22" s="64"/>
      <c r="UTE22" s="64"/>
      <c r="UTF22" s="64"/>
      <c r="UTG22" s="64"/>
      <c r="UTH22" s="64"/>
      <c r="UTI22" s="64"/>
      <c r="UTJ22" s="64"/>
      <c r="UTK22" s="64"/>
      <c r="UTL22" s="64"/>
      <c r="UTM22" s="64"/>
      <c r="UTN22" s="64"/>
      <c r="UTO22" s="64"/>
      <c r="UTP22" s="64"/>
      <c r="UTQ22" s="64"/>
      <c r="UTR22" s="64"/>
      <c r="UTS22" s="64"/>
      <c r="UTT22" s="64"/>
      <c r="UTU22" s="64"/>
      <c r="UTV22" s="64"/>
      <c r="UTW22" s="64"/>
      <c r="UTX22" s="64"/>
      <c r="UTY22" s="64"/>
      <c r="UTZ22" s="64"/>
      <c r="UUA22" s="64"/>
      <c r="UUB22" s="64"/>
      <c r="UUC22" s="64"/>
      <c r="UUD22" s="64"/>
      <c r="UUE22" s="64"/>
      <c r="UUF22" s="64"/>
      <c r="UUG22" s="64"/>
      <c r="UUH22" s="64"/>
      <c r="UUI22" s="64"/>
      <c r="UUJ22" s="64"/>
      <c r="UUK22" s="64"/>
      <c r="UUL22" s="64"/>
      <c r="UUM22" s="64"/>
      <c r="UUN22" s="64"/>
      <c r="UUO22" s="64"/>
      <c r="UUP22" s="64"/>
      <c r="UUQ22" s="64"/>
      <c r="UUR22" s="64"/>
      <c r="UUS22" s="64"/>
      <c r="UUT22" s="64"/>
      <c r="UUU22" s="64"/>
      <c r="UUV22" s="64"/>
      <c r="UUW22" s="64"/>
      <c r="UUX22" s="64"/>
      <c r="UUY22" s="64"/>
      <c r="UUZ22" s="64"/>
      <c r="UVA22" s="64"/>
      <c r="UVB22" s="64"/>
      <c r="UVC22" s="64"/>
      <c r="UVD22" s="64"/>
      <c r="UVE22" s="64"/>
      <c r="UVF22" s="64"/>
      <c r="UVG22" s="64"/>
      <c r="UVH22" s="64"/>
      <c r="UVI22" s="64"/>
      <c r="UVJ22" s="64"/>
      <c r="UVK22" s="64"/>
      <c r="UVL22" s="64"/>
      <c r="UVM22" s="64"/>
      <c r="UVN22" s="64"/>
      <c r="UVO22" s="64"/>
      <c r="UVP22" s="64"/>
      <c r="UVQ22" s="64"/>
      <c r="UVR22" s="64"/>
      <c r="UVS22" s="64"/>
      <c r="UVT22" s="64"/>
      <c r="UVU22" s="64"/>
      <c r="UVV22" s="64"/>
      <c r="UVW22" s="64"/>
      <c r="UVX22" s="64"/>
      <c r="UVY22" s="64"/>
      <c r="UVZ22" s="64"/>
      <c r="UWA22" s="64"/>
      <c r="UWB22" s="64"/>
      <c r="UWC22" s="64"/>
      <c r="UWD22" s="64"/>
      <c r="UWE22" s="64"/>
      <c r="UWF22" s="64"/>
      <c r="UWG22" s="64"/>
      <c r="UWH22" s="64"/>
      <c r="UWI22" s="64"/>
      <c r="UWJ22" s="64"/>
      <c r="UWK22" s="64"/>
      <c r="UWL22" s="64"/>
      <c r="UWM22" s="64"/>
      <c r="UWN22" s="64"/>
      <c r="UWO22" s="64"/>
      <c r="UWP22" s="64"/>
      <c r="UWQ22" s="64"/>
      <c r="UWR22" s="64"/>
      <c r="UWS22" s="64"/>
      <c r="UWT22" s="64"/>
      <c r="UWU22" s="64"/>
      <c r="UWV22" s="64"/>
      <c r="UWW22" s="64"/>
      <c r="UWX22" s="64"/>
      <c r="UWY22" s="64"/>
      <c r="UWZ22" s="64"/>
      <c r="UXA22" s="64"/>
      <c r="UXB22" s="64"/>
      <c r="UXC22" s="64"/>
      <c r="UXD22" s="64"/>
      <c r="UXE22" s="64"/>
      <c r="UXF22" s="64"/>
      <c r="UXG22" s="64"/>
      <c r="UXH22" s="64"/>
      <c r="UXI22" s="64"/>
      <c r="UXJ22" s="64"/>
      <c r="UXK22" s="64"/>
      <c r="UXL22" s="64"/>
      <c r="UXM22" s="64"/>
      <c r="UXN22" s="64"/>
      <c r="UXO22" s="64"/>
      <c r="UXP22" s="64"/>
      <c r="UXQ22" s="64"/>
      <c r="UXR22" s="64"/>
      <c r="UXS22" s="64"/>
      <c r="UXT22" s="64"/>
      <c r="UXU22" s="64"/>
      <c r="UXV22" s="64"/>
      <c r="UXW22" s="64"/>
      <c r="UXX22" s="64"/>
      <c r="UXY22" s="64"/>
      <c r="UXZ22" s="64"/>
      <c r="UYA22" s="64"/>
      <c r="UYB22" s="64"/>
      <c r="UYC22" s="64"/>
      <c r="UYD22" s="64"/>
      <c r="UYE22" s="64"/>
      <c r="UYF22" s="64"/>
      <c r="UYG22" s="64"/>
      <c r="UYH22" s="64"/>
      <c r="UYI22" s="64"/>
      <c r="UYJ22" s="64"/>
      <c r="UYK22" s="64"/>
      <c r="UYL22" s="64"/>
      <c r="UYM22" s="64"/>
      <c r="UYN22" s="64"/>
      <c r="UYO22" s="64"/>
      <c r="UYP22" s="64"/>
      <c r="UYQ22" s="64"/>
      <c r="UYR22" s="64"/>
      <c r="UYS22" s="64"/>
      <c r="UYT22" s="64"/>
      <c r="UYU22" s="64"/>
      <c r="UYV22" s="64"/>
      <c r="UYW22" s="64"/>
      <c r="UYX22" s="64"/>
      <c r="UYY22" s="64"/>
      <c r="UYZ22" s="64"/>
      <c r="UZA22" s="64"/>
      <c r="UZB22" s="64"/>
      <c r="UZC22" s="64"/>
      <c r="UZD22" s="64"/>
      <c r="UZE22" s="64"/>
      <c r="UZF22" s="64"/>
      <c r="UZG22" s="64"/>
      <c r="UZH22" s="64"/>
      <c r="UZI22" s="64"/>
      <c r="UZJ22" s="64"/>
      <c r="UZK22" s="64"/>
      <c r="UZL22" s="64"/>
      <c r="UZM22" s="64"/>
      <c r="UZN22" s="64"/>
      <c r="UZO22" s="64"/>
      <c r="UZP22" s="64"/>
      <c r="UZQ22" s="64"/>
      <c r="UZR22" s="64"/>
      <c r="UZS22" s="64"/>
      <c r="UZT22" s="64"/>
      <c r="UZU22" s="64"/>
      <c r="UZV22" s="64"/>
      <c r="UZW22" s="64"/>
      <c r="UZX22" s="64"/>
      <c r="UZY22" s="64"/>
      <c r="UZZ22" s="64"/>
      <c r="VAA22" s="64"/>
      <c r="VAB22" s="64"/>
      <c r="VAC22" s="64"/>
      <c r="VAD22" s="64"/>
      <c r="VAE22" s="64"/>
      <c r="VAF22" s="64"/>
      <c r="VAG22" s="64"/>
      <c r="VAH22" s="64"/>
      <c r="VAI22" s="64"/>
      <c r="VAJ22" s="64"/>
      <c r="VAK22" s="64"/>
      <c r="VAL22" s="64"/>
      <c r="VAM22" s="64"/>
      <c r="VAN22" s="64"/>
      <c r="VAO22" s="64"/>
      <c r="VAP22" s="64"/>
      <c r="VAQ22" s="64"/>
      <c r="VAR22" s="64"/>
      <c r="VAS22" s="64"/>
      <c r="VAT22" s="64"/>
      <c r="VAU22" s="64"/>
      <c r="VAV22" s="64"/>
      <c r="VAW22" s="64"/>
      <c r="VAX22" s="64"/>
      <c r="VAY22" s="64"/>
      <c r="VAZ22" s="64"/>
      <c r="VBA22" s="64"/>
      <c r="VBB22" s="64"/>
      <c r="VBC22" s="64"/>
      <c r="VBD22" s="64"/>
      <c r="VBE22" s="64"/>
      <c r="VBF22" s="64"/>
      <c r="VBG22" s="64"/>
      <c r="VBH22" s="64"/>
      <c r="VBI22" s="64"/>
      <c r="VBJ22" s="64"/>
      <c r="VBK22" s="64"/>
      <c r="VBL22" s="64"/>
      <c r="VBM22" s="64"/>
      <c r="VBN22" s="64"/>
      <c r="VBO22" s="64"/>
      <c r="VBP22" s="64"/>
      <c r="VBQ22" s="64"/>
      <c r="VBR22" s="64"/>
      <c r="VBS22" s="64"/>
      <c r="VBT22" s="64"/>
      <c r="VBU22" s="64"/>
      <c r="VBV22" s="64"/>
      <c r="VBW22" s="64"/>
      <c r="VBX22" s="64"/>
      <c r="VBY22" s="64"/>
      <c r="VBZ22" s="64"/>
      <c r="VCA22" s="64"/>
      <c r="VCB22" s="64"/>
      <c r="VCC22" s="64"/>
      <c r="VCD22" s="64"/>
      <c r="VCE22" s="64"/>
      <c r="VCF22" s="64"/>
      <c r="VCG22" s="64"/>
      <c r="VCH22" s="64"/>
      <c r="VCI22" s="64"/>
      <c r="VCJ22" s="64"/>
      <c r="VCK22" s="64"/>
      <c r="VCL22" s="64"/>
      <c r="VCM22" s="64"/>
      <c r="VCN22" s="64"/>
      <c r="VCO22" s="64"/>
      <c r="VCP22" s="64"/>
      <c r="VCQ22" s="64"/>
      <c r="VCR22" s="64"/>
      <c r="VCS22" s="64"/>
      <c r="VCT22" s="64"/>
      <c r="VCU22" s="64"/>
      <c r="VCV22" s="64"/>
      <c r="VCW22" s="64"/>
      <c r="VCX22" s="64"/>
      <c r="VCY22" s="64"/>
      <c r="VCZ22" s="64"/>
      <c r="VDA22" s="64"/>
      <c r="VDB22" s="64"/>
      <c r="VDC22" s="64"/>
      <c r="VDD22" s="64"/>
      <c r="VDE22" s="64"/>
      <c r="VDF22" s="64"/>
      <c r="VDG22" s="64"/>
      <c r="VDH22" s="64"/>
      <c r="VDI22" s="64"/>
      <c r="VDJ22" s="64"/>
      <c r="VDK22" s="64"/>
      <c r="VDL22" s="64"/>
      <c r="VDM22" s="64"/>
      <c r="VDN22" s="64"/>
      <c r="VDO22" s="64"/>
      <c r="VDP22" s="64"/>
      <c r="VDQ22" s="64"/>
      <c r="VDR22" s="64"/>
      <c r="VDS22" s="64"/>
      <c r="VDT22" s="64"/>
      <c r="VDU22" s="64"/>
      <c r="VDV22" s="64"/>
      <c r="VDW22" s="64"/>
      <c r="VDX22" s="64"/>
      <c r="VDY22" s="64"/>
      <c r="VDZ22" s="64"/>
      <c r="VEA22" s="64"/>
      <c r="VEB22" s="64"/>
      <c r="VEC22" s="64"/>
      <c r="VED22" s="64"/>
      <c r="VEE22" s="64"/>
      <c r="VEF22" s="64"/>
      <c r="VEG22" s="64"/>
      <c r="VEH22" s="64"/>
      <c r="VEI22" s="64"/>
      <c r="VEJ22" s="64"/>
      <c r="VEK22" s="64"/>
      <c r="VEL22" s="64"/>
      <c r="VEM22" s="64"/>
      <c r="VEN22" s="64"/>
      <c r="VEO22" s="64"/>
      <c r="VEP22" s="64"/>
      <c r="VEQ22" s="64"/>
      <c r="VER22" s="64"/>
      <c r="VES22" s="64"/>
      <c r="VET22" s="64"/>
      <c r="VEU22" s="64"/>
      <c r="VEV22" s="64"/>
      <c r="VEW22" s="64"/>
      <c r="VEX22" s="64"/>
      <c r="VEY22" s="64"/>
      <c r="VEZ22" s="64"/>
      <c r="VFA22" s="64"/>
      <c r="VFB22" s="64"/>
      <c r="VFC22" s="64"/>
      <c r="VFD22" s="64"/>
      <c r="VFE22" s="64"/>
      <c r="VFF22" s="64"/>
      <c r="VFG22" s="64"/>
      <c r="VFH22" s="64"/>
      <c r="VFI22" s="64"/>
      <c r="VFJ22" s="64"/>
      <c r="VFK22" s="64"/>
      <c r="VFL22" s="64"/>
      <c r="VFM22" s="64"/>
      <c r="VFN22" s="64"/>
      <c r="VFO22" s="64"/>
      <c r="VFP22" s="64"/>
      <c r="VFQ22" s="64"/>
      <c r="VFR22" s="64"/>
      <c r="VFS22" s="64"/>
      <c r="VFT22" s="64"/>
      <c r="VFU22" s="64"/>
      <c r="VFV22" s="64"/>
      <c r="VFW22" s="64"/>
      <c r="VFX22" s="64"/>
      <c r="VFY22" s="64"/>
      <c r="VFZ22" s="64"/>
      <c r="VGA22" s="64"/>
      <c r="VGB22" s="64"/>
      <c r="VGC22" s="64"/>
      <c r="VGD22" s="64"/>
      <c r="VGE22" s="64"/>
      <c r="VGF22" s="64"/>
      <c r="VGG22" s="64"/>
      <c r="VGH22" s="64"/>
      <c r="VGI22" s="64"/>
      <c r="VGJ22" s="64"/>
      <c r="VGK22" s="64"/>
      <c r="VGL22" s="64"/>
      <c r="VGM22" s="64"/>
      <c r="VGN22" s="64"/>
      <c r="VGO22" s="64"/>
      <c r="VGP22" s="64"/>
      <c r="VGQ22" s="64"/>
      <c r="VGR22" s="64"/>
      <c r="VGS22" s="64"/>
      <c r="VGT22" s="64"/>
      <c r="VGU22" s="64"/>
      <c r="VGV22" s="64"/>
      <c r="VGW22" s="64"/>
      <c r="VGX22" s="64"/>
      <c r="VGY22" s="64"/>
      <c r="VGZ22" s="64"/>
      <c r="VHA22" s="64"/>
      <c r="VHB22" s="64"/>
      <c r="VHC22" s="64"/>
      <c r="VHD22" s="64"/>
      <c r="VHE22" s="64"/>
      <c r="VHF22" s="64"/>
      <c r="VHG22" s="64"/>
      <c r="VHH22" s="64"/>
      <c r="VHI22" s="64"/>
      <c r="VHJ22" s="64"/>
      <c r="VHK22" s="64"/>
      <c r="VHL22" s="64"/>
      <c r="VHM22" s="64"/>
      <c r="VHN22" s="64"/>
      <c r="VHO22" s="64"/>
      <c r="VHP22" s="64"/>
      <c r="VHQ22" s="64"/>
      <c r="VHR22" s="64"/>
      <c r="VHS22" s="64"/>
      <c r="VHT22" s="64"/>
      <c r="VHU22" s="64"/>
      <c r="VHV22" s="64"/>
      <c r="VHW22" s="64"/>
      <c r="VHX22" s="64"/>
      <c r="VHY22" s="64"/>
      <c r="VHZ22" s="64"/>
      <c r="VIA22" s="64"/>
      <c r="VIB22" s="64"/>
      <c r="VIC22" s="64"/>
      <c r="VID22" s="64"/>
      <c r="VIE22" s="64"/>
      <c r="VIF22" s="64"/>
      <c r="VIG22" s="64"/>
      <c r="VIH22" s="64"/>
      <c r="VII22" s="64"/>
      <c r="VIJ22" s="64"/>
      <c r="VIK22" s="64"/>
      <c r="VIL22" s="64"/>
      <c r="VIM22" s="64"/>
      <c r="VIN22" s="64"/>
      <c r="VIO22" s="64"/>
      <c r="VIP22" s="64"/>
      <c r="VIQ22" s="64"/>
      <c r="VIR22" s="64"/>
      <c r="VIS22" s="64"/>
      <c r="VIT22" s="64"/>
      <c r="VIU22" s="64"/>
      <c r="VIV22" s="64"/>
      <c r="VIW22" s="64"/>
      <c r="VIX22" s="64"/>
      <c r="VIY22" s="64"/>
      <c r="VIZ22" s="64"/>
      <c r="VJA22" s="64"/>
      <c r="VJB22" s="64"/>
      <c r="VJC22" s="64"/>
      <c r="VJD22" s="64"/>
      <c r="VJE22" s="64"/>
      <c r="VJF22" s="64"/>
      <c r="VJG22" s="64"/>
      <c r="VJH22" s="64"/>
      <c r="VJI22" s="64"/>
      <c r="VJJ22" s="64"/>
      <c r="VJK22" s="64"/>
      <c r="VJL22" s="64"/>
      <c r="VJM22" s="64"/>
      <c r="VJN22" s="64"/>
      <c r="VJO22" s="64"/>
      <c r="VJP22" s="64"/>
      <c r="VJQ22" s="64"/>
      <c r="VJR22" s="64"/>
      <c r="VJS22" s="64"/>
      <c r="VJT22" s="64"/>
      <c r="VJU22" s="64"/>
      <c r="VJV22" s="64"/>
      <c r="VJW22" s="64"/>
      <c r="VJX22" s="64"/>
      <c r="VJY22" s="64"/>
      <c r="VJZ22" s="64"/>
      <c r="VKA22" s="64"/>
      <c r="VKB22" s="64"/>
      <c r="VKC22" s="64"/>
      <c r="VKD22" s="64"/>
      <c r="VKE22" s="64"/>
      <c r="VKF22" s="64"/>
      <c r="VKG22" s="64"/>
      <c r="VKH22" s="64"/>
      <c r="VKI22" s="64"/>
      <c r="VKJ22" s="64"/>
      <c r="VKK22" s="64"/>
      <c r="VKL22" s="64"/>
      <c r="VKM22" s="64"/>
      <c r="VKN22" s="64"/>
      <c r="VKO22" s="64"/>
      <c r="VKP22" s="64"/>
      <c r="VKQ22" s="64"/>
      <c r="VKR22" s="64"/>
      <c r="VKS22" s="64"/>
      <c r="VKT22" s="64"/>
      <c r="VKU22" s="64"/>
      <c r="VKV22" s="64"/>
      <c r="VKW22" s="64"/>
      <c r="VKX22" s="64"/>
      <c r="VKY22" s="64"/>
      <c r="VKZ22" s="64"/>
      <c r="VLA22" s="64"/>
      <c r="VLB22" s="64"/>
      <c r="VLC22" s="64"/>
      <c r="VLD22" s="64"/>
      <c r="VLE22" s="64"/>
      <c r="VLF22" s="64"/>
      <c r="VLG22" s="64"/>
      <c r="VLH22" s="64"/>
      <c r="VLI22" s="64"/>
      <c r="VLJ22" s="64"/>
      <c r="VLK22" s="64"/>
      <c r="VLL22" s="64"/>
      <c r="VLM22" s="64"/>
      <c r="VLN22" s="64"/>
      <c r="VLO22" s="64"/>
      <c r="VLP22" s="64"/>
      <c r="VLQ22" s="64"/>
      <c r="VLR22" s="64"/>
      <c r="VLS22" s="64"/>
      <c r="VLT22" s="64"/>
      <c r="VLU22" s="64"/>
      <c r="VLV22" s="64"/>
      <c r="VLW22" s="64"/>
      <c r="VLX22" s="64"/>
      <c r="VLY22" s="64"/>
      <c r="VLZ22" s="64"/>
      <c r="VMA22" s="64"/>
      <c r="VMB22" s="64"/>
      <c r="VMC22" s="64"/>
      <c r="VMD22" s="64"/>
      <c r="VME22" s="64"/>
      <c r="VMF22" s="64"/>
      <c r="VMG22" s="64"/>
      <c r="VMH22" s="64"/>
      <c r="VMI22" s="64"/>
      <c r="VMJ22" s="64"/>
      <c r="VMK22" s="64"/>
      <c r="VML22" s="64"/>
      <c r="VMM22" s="64"/>
      <c r="VMN22" s="64"/>
      <c r="VMO22" s="64"/>
      <c r="VMP22" s="64"/>
      <c r="VMQ22" s="64"/>
      <c r="VMR22" s="64"/>
      <c r="VMS22" s="64"/>
      <c r="VMT22" s="64"/>
      <c r="VMU22" s="64"/>
      <c r="VMV22" s="64"/>
      <c r="VMW22" s="64"/>
      <c r="VMX22" s="64"/>
      <c r="VMY22" s="64"/>
      <c r="VMZ22" s="64"/>
      <c r="VNA22" s="64"/>
      <c r="VNB22" s="64"/>
      <c r="VNC22" s="64"/>
      <c r="VND22" s="64"/>
      <c r="VNE22" s="64"/>
      <c r="VNF22" s="64"/>
      <c r="VNG22" s="64"/>
      <c r="VNH22" s="64"/>
      <c r="VNI22" s="64"/>
      <c r="VNJ22" s="64"/>
      <c r="VNK22" s="64"/>
      <c r="VNL22" s="64"/>
      <c r="VNM22" s="64"/>
      <c r="VNN22" s="64"/>
      <c r="VNO22" s="64"/>
      <c r="VNP22" s="64"/>
      <c r="VNQ22" s="64"/>
      <c r="VNR22" s="64"/>
      <c r="VNS22" s="64"/>
      <c r="VNT22" s="64"/>
      <c r="VNU22" s="64"/>
      <c r="VNV22" s="64"/>
      <c r="VNW22" s="64"/>
      <c r="VNX22" s="64"/>
      <c r="VNY22" s="64"/>
      <c r="VNZ22" s="64"/>
      <c r="VOA22" s="64"/>
      <c r="VOB22" s="64"/>
      <c r="VOC22" s="64"/>
      <c r="VOD22" s="64"/>
      <c r="VOE22" s="64"/>
      <c r="VOF22" s="64"/>
      <c r="VOG22" s="64"/>
      <c r="VOH22" s="64"/>
      <c r="VOI22" s="64"/>
      <c r="VOJ22" s="64"/>
      <c r="VOK22" s="64"/>
      <c r="VOL22" s="64"/>
      <c r="VOM22" s="64"/>
      <c r="VON22" s="64"/>
      <c r="VOO22" s="64"/>
      <c r="VOP22" s="64"/>
      <c r="VOQ22" s="64"/>
      <c r="VOR22" s="64"/>
      <c r="VOS22" s="64"/>
      <c r="VOT22" s="64"/>
      <c r="VOU22" s="64"/>
      <c r="VOV22" s="64"/>
      <c r="VOW22" s="64"/>
      <c r="VOX22" s="64"/>
      <c r="VOY22" s="64"/>
      <c r="VOZ22" s="64"/>
      <c r="VPA22" s="64"/>
      <c r="VPB22" s="64"/>
      <c r="VPC22" s="64"/>
      <c r="VPD22" s="64"/>
      <c r="VPE22" s="64"/>
      <c r="VPF22" s="64"/>
      <c r="VPG22" s="64"/>
      <c r="VPH22" s="64"/>
      <c r="VPI22" s="64"/>
      <c r="VPJ22" s="64"/>
      <c r="VPK22" s="64"/>
      <c r="VPL22" s="64"/>
      <c r="VPM22" s="64"/>
      <c r="VPN22" s="64"/>
      <c r="VPO22" s="64"/>
      <c r="VPP22" s="64"/>
      <c r="VPQ22" s="64"/>
      <c r="VPR22" s="64"/>
      <c r="VPS22" s="64"/>
      <c r="VPT22" s="64"/>
      <c r="VPU22" s="64"/>
      <c r="VPV22" s="64"/>
      <c r="VPW22" s="64"/>
      <c r="VPX22" s="64"/>
      <c r="VPY22" s="64"/>
      <c r="VPZ22" s="64"/>
      <c r="VQA22" s="64"/>
      <c r="VQB22" s="64"/>
      <c r="VQC22" s="64"/>
      <c r="VQD22" s="64"/>
      <c r="VQE22" s="64"/>
      <c r="VQF22" s="64"/>
      <c r="VQG22" s="64"/>
      <c r="VQH22" s="64"/>
      <c r="VQI22" s="64"/>
      <c r="VQJ22" s="64"/>
      <c r="VQK22" s="64"/>
      <c r="VQL22" s="64"/>
      <c r="VQM22" s="64"/>
      <c r="VQN22" s="64"/>
      <c r="VQO22" s="64"/>
      <c r="VQP22" s="64"/>
      <c r="VQQ22" s="64"/>
      <c r="VQR22" s="64"/>
      <c r="VQS22" s="64"/>
      <c r="VQT22" s="64"/>
      <c r="VQU22" s="64"/>
      <c r="VQV22" s="64"/>
      <c r="VQW22" s="64"/>
      <c r="VQX22" s="64"/>
      <c r="VQY22" s="64"/>
      <c r="VQZ22" s="64"/>
      <c r="VRA22" s="64"/>
      <c r="VRB22" s="64"/>
      <c r="VRC22" s="64"/>
      <c r="VRD22" s="64"/>
      <c r="VRE22" s="64"/>
      <c r="VRF22" s="64"/>
      <c r="VRG22" s="64"/>
      <c r="VRH22" s="64"/>
      <c r="VRI22" s="64"/>
      <c r="VRJ22" s="64"/>
      <c r="VRK22" s="64"/>
      <c r="VRL22" s="64"/>
      <c r="VRM22" s="64"/>
      <c r="VRN22" s="64"/>
      <c r="VRO22" s="64"/>
      <c r="VRP22" s="64"/>
      <c r="VRQ22" s="64"/>
      <c r="VRR22" s="64"/>
      <c r="VRS22" s="64"/>
      <c r="VRT22" s="64"/>
      <c r="VRU22" s="64"/>
      <c r="VRV22" s="64"/>
      <c r="VRW22" s="64"/>
      <c r="VRX22" s="64"/>
      <c r="VRY22" s="64"/>
      <c r="VRZ22" s="64"/>
      <c r="VSA22" s="64"/>
      <c r="VSB22" s="64"/>
      <c r="VSC22" s="64"/>
      <c r="VSD22" s="64"/>
      <c r="VSE22" s="64"/>
      <c r="VSF22" s="64"/>
      <c r="VSG22" s="64"/>
      <c r="VSH22" s="64"/>
      <c r="VSI22" s="64"/>
      <c r="VSJ22" s="64"/>
      <c r="VSK22" s="64"/>
      <c r="VSL22" s="64"/>
      <c r="VSM22" s="64"/>
      <c r="VSN22" s="64"/>
      <c r="VSO22" s="64"/>
      <c r="VSP22" s="64"/>
      <c r="VSQ22" s="64"/>
      <c r="VSR22" s="64"/>
      <c r="VSS22" s="64"/>
      <c r="VST22" s="64"/>
      <c r="VSU22" s="64"/>
      <c r="VSV22" s="64"/>
      <c r="VSW22" s="64"/>
      <c r="VSX22" s="64"/>
      <c r="VSY22" s="64"/>
      <c r="VSZ22" s="64"/>
      <c r="VTA22" s="64"/>
      <c r="VTB22" s="64"/>
      <c r="VTC22" s="64"/>
      <c r="VTD22" s="64"/>
      <c r="VTE22" s="64"/>
      <c r="VTF22" s="64"/>
      <c r="VTG22" s="64"/>
      <c r="VTH22" s="64"/>
      <c r="VTI22" s="64"/>
      <c r="VTJ22" s="64"/>
      <c r="VTK22" s="64"/>
      <c r="VTL22" s="64"/>
      <c r="VTM22" s="64"/>
      <c r="VTN22" s="64"/>
      <c r="VTO22" s="64"/>
      <c r="VTP22" s="64"/>
      <c r="VTQ22" s="64"/>
      <c r="VTR22" s="64"/>
      <c r="VTS22" s="64"/>
      <c r="VTT22" s="64"/>
      <c r="VTU22" s="64"/>
      <c r="VTV22" s="64"/>
      <c r="VTW22" s="64"/>
      <c r="VTX22" s="64"/>
      <c r="VTY22" s="64"/>
      <c r="VTZ22" s="64"/>
      <c r="VUA22" s="64"/>
      <c r="VUB22" s="64"/>
      <c r="VUC22" s="64"/>
      <c r="VUD22" s="64"/>
      <c r="VUE22" s="64"/>
      <c r="VUF22" s="64"/>
      <c r="VUG22" s="64"/>
      <c r="VUH22" s="64"/>
      <c r="VUI22" s="64"/>
      <c r="VUJ22" s="64"/>
      <c r="VUK22" s="64"/>
      <c r="VUL22" s="64"/>
      <c r="VUM22" s="64"/>
      <c r="VUN22" s="64"/>
      <c r="VUO22" s="64"/>
      <c r="VUP22" s="64"/>
      <c r="VUQ22" s="64"/>
      <c r="VUR22" s="64"/>
      <c r="VUS22" s="64"/>
      <c r="VUT22" s="64"/>
      <c r="VUU22" s="64"/>
      <c r="VUV22" s="64"/>
      <c r="VUW22" s="64"/>
      <c r="VUX22" s="64"/>
      <c r="VUY22" s="64"/>
      <c r="VUZ22" s="64"/>
      <c r="VVA22" s="64"/>
      <c r="VVB22" s="64"/>
      <c r="VVC22" s="64"/>
      <c r="VVD22" s="64"/>
      <c r="VVE22" s="64"/>
      <c r="VVF22" s="64"/>
      <c r="VVG22" s="64"/>
      <c r="VVH22" s="64"/>
      <c r="VVI22" s="64"/>
      <c r="VVJ22" s="64"/>
      <c r="VVK22" s="64"/>
      <c r="VVL22" s="64"/>
      <c r="VVM22" s="64"/>
      <c r="VVN22" s="64"/>
      <c r="VVO22" s="64"/>
      <c r="VVP22" s="64"/>
      <c r="VVQ22" s="64"/>
      <c r="VVR22" s="64"/>
      <c r="VVS22" s="64"/>
      <c r="VVT22" s="64"/>
      <c r="VVU22" s="64"/>
      <c r="VVV22" s="64"/>
      <c r="VVW22" s="64"/>
      <c r="VVX22" s="64"/>
      <c r="VVY22" s="64"/>
      <c r="VVZ22" s="64"/>
      <c r="VWA22" s="64"/>
      <c r="VWB22" s="64"/>
      <c r="VWC22" s="64"/>
      <c r="VWD22" s="64"/>
      <c r="VWE22" s="64"/>
      <c r="VWF22" s="64"/>
      <c r="VWG22" s="64"/>
      <c r="VWH22" s="64"/>
      <c r="VWI22" s="64"/>
      <c r="VWJ22" s="64"/>
      <c r="VWK22" s="64"/>
      <c r="VWL22" s="64"/>
      <c r="VWM22" s="64"/>
      <c r="VWN22" s="64"/>
      <c r="VWO22" s="64"/>
      <c r="VWP22" s="64"/>
      <c r="VWQ22" s="64"/>
      <c r="VWR22" s="64"/>
      <c r="VWS22" s="64"/>
      <c r="VWT22" s="64"/>
      <c r="VWU22" s="64"/>
      <c r="VWV22" s="64"/>
      <c r="VWW22" s="64"/>
      <c r="VWX22" s="64"/>
      <c r="VWY22" s="64"/>
      <c r="VWZ22" s="64"/>
      <c r="VXA22" s="64"/>
      <c r="VXB22" s="64"/>
      <c r="VXC22" s="64"/>
      <c r="VXD22" s="64"/>
      <c r="VXE22" s="64"/>
      <c r="VXF22" s="64"/>
      <c r="VXG22" s="64"/>
      <c r="VXH22" s="64"/>
      <c r="VXI22" s="64"/>
      <c r="VXJ22" s="64"/>
      <c r="VXK22" s="64"/>
      <c r="VXL22" s="64"/>
      <c r="VXM22" s="64"/>
      <c r="VXN22" s="64"/>
      <c r="VXO22" s="64"/>
      <c r="VXP22" s="64"/>
      <c r="VXQ22" s="64"/>
      <c r="VXR22" s="64"/>
      <c r="VXS22" s="64"/>
      <c r="VXT22" s="64"/>
      <c r="VXU22" s="64"/>
      <c r="VXV22" s="64"/>
      <c r="VXW22" s="64"/>
      <c r="VXX22" s="64"/>
      <c r="VXY22" s="64"/>
      <c r="VXZ22" s="64"/>
      <c r="VYA22" s="64"/>
      <c r="VYB22" s="64"/>
      <c r="VYC22" s="64"/>
      <c r="VYD22" s="64"/>
      <c r="VYE22" s="64"/>
      <c r="VYF22" s="64"/>
      <c r="VYG22" s="64"/>
      <c r="VYH22" s="64"/>
      <c r="VYI22" s="64"/>
      <c r="VYJ22" s="64"/>
      <c r="VYK22" s="64"/>
      <c r="VYL22" s="64"/>
      <c r="VYM22" s="64"/>
      <c r="VYN22" s="64"/>
      <c r="VYO22" s="64"/>
      <c r="VYP22" s="64"/>
      <c r="VYQ22" s="64"/>
      <c r="VYR22" s="64"/>
      <c r="VYS22" s="64"/>
      <c r="VYT22" s="64"/>
      <c r="VYU22" s="64"/>
      <c r="VYV22" s="64"/>
      <c r="VYW22" s="64"/>
      <c r="VYX22" s="64"/>
      <c r="VYY22" s="64"/>
      <c r="VYZ22" s="64"/>
      <c r="VZA22" s="64"/>
      <c r="VZB22" s="64"/>
      <c r="VZC22" s="64"/>
      <c r="VZD22" s="64"/>
      <c r="VZE22" s="64"/>
      <c r="VZF22" s="64"/>
      <c r="VZG22" s="64"/>
      <c r="VZH22" s="64"/>
      <c r="VZI22" s="64"/>
      <c r="VZJ22" s="64"/>
      <c r="VZK22" s="64"/>
      <c r="VZL22" s="64"/>
      <c r="VZM22" s="64"/>
      <c r="VZN22" s="64"/>
      <c r="VZO22" s="64"/>
      <c r="VZP22" s="64"/>
      <c r="VZQ22" s="64"/>
      <c r="VZR22" s="64"/>
      <c r="VZS22" s="64"/>
      <c r="VZT22" s="64"/>
      <c r="VZU22" s="64"/>
      <c r="VZV22" s="64"/>
      <c r="VZW22" s="64"/>
      <c r="VZX22" s="64"/>
      <c r="VZY22" s="64"/>
      <c r="VZZ22" s="64"/>
      <c r="WAA22" s="64"/>
      <c r="WAB22" s="64"/>
      <c r="WAC22" s="64"/>
      <c r="WAD22" s="64"/>
      <c r="WAE22" s="64"/>
      <c r="WAF22" s="64"/>
      <c r="WAG22" s="64"/>
      <c r="WAH22" s="64"/>
      <c r="WAI22" s="64"/>
      <c r="WAJ22" s="64"/>
      <c r="WAK22" s="64"/>
      <c r="WAL22" s="64"/>
      <c r="WAM22" s="64"/>
      <c r="WAN22" s="64"/>
      <c r="WAO22" s="64"/>
      <c r="WAP22" s="64"/>
      <c r="WAQ22" s="64"/>
      <c r="WAR22" s="64"/>
      <c r="WAS22" s="64"/>
      <c r="WAT22" s="64"/>
      <c r="WAU22" s="64"/>
      <c r="WAV22" s="64"/>
      <c r="WAW22" s="64"/>
      <c r="WAX22" s="64"/>
      <c r="WAY22" s="64"/>
      <c r="WAZ22" s="64"/>
      <c r="WBA22" s="64"/>
      <c r="WBB22" s="64"/>
      <c r="WBC22" s="64"/>
      <c r="WBD22" s="64"/>
      <c r="WBE22" s="64"/>
      <c r="WBF22" s="64"/>
      <c r="WBG22" s="64"/>
      <c r="WBH22" s="64"/>
      <c r="WBI22" s="64"/>
      <c r="WBJ22" s="64"/>
      <c r="WBK22" s="64"/>
      <c r="WBL22" s="64"/>
      <c r="WBM22" s="64"/>
      <c r="WBN22" s="64"/>
      <c r="WBO22" s="64"/>
      <c r="WBP22" s="64"/>
      <c r="WBQ22" s="64"/>
      <c r="WBR22" s="64"/>
      <c r="WBS22" s="64"/>
      <c r="WBT22" s="64"/>
      <c r="WBU22" s="64"/>
      <c r="WBV22" s="64"/>
      <c r="WBW22" s="64"/>
      <c r="WBX22" s="64"/>
      <c r="WBY22" s="64"/>
      <c r="WBZ22" s="64"/>
      <c r="WCA22" s="64"/>
      <c r="WCB22" s="64"/>
      <c r="WCC22" s="64"/>
      <c r="WCD22" s="64"/>
      <c r="WCE22" s="64"/>
      <c r="WCF22" s="64"/>
      <c r="WCG22" s="64"/>
      <c r="WCH22" s="64"/>
      <c r="WCI22" s="64"/>
      <c r="WCJ22" s="64"/>
      <c r="WCK22" s="64"/>
      <c r="WCL22" s="64"/>
      <c r="WCM22" s="64"/>
      <c r="WCN22" s="64"/>
      <c r="WCO22" s="64"/>
      <c r="WCP22" s="64"/>
      <c r="WCQ22" s="64"/>
      <c r="WCR22" s="64"/>
      <c r="WCS22" s="64"/>
      <c r="WCT22" s="64"/>
      <c r="WCU22" s="64"/>
      <c r="WCV22" s="64"/>
      <c r="WCW22" s="64"/>
      <c r="WCX22" s="64"/>
      <c r="WCY22" s="64"/>
      <c r="WCZ22" s="64"/>
      <c r="WDA22" s="64"/>
      <c r="WDB22" s="64"/>
      <c r="WDC22" s="64"/>
      <c r="WDD22" s="64"/>
      <c r="WDE22" s="64"/>
      <c r="WDF22" s="64"/>
      <c r="WDG22" s="64"/>
      <c r="WDH22" s="64"/>
      <c r="WDI22" s="64"/>
      <c r="WDJ22" s="64"/>
      <c r="WDK22" s="64"/>
      <c r="WDL22" s="64"/>
      <c r="WDM22" s="64"/>
      <c r="WDN22" s="64"/>
      <c r="WDO22" s="64"/>
      <c r="WDP22" s="64"/>
      <c r="WDQ22" s="64"/>
      <c r="WDR22" s="64"/>
      <c r="WDS22" s="64"/>
      <c r="WDT22" s="64"/>
      <c r="WDU22" s="64"/>
      <c r="WDV22" s="64"/>
      <c r="WDW22" s="64"/>
      <c r="WDX22" s="64"/>
      <c r="WDY22" s="64"/>
      <c r="WDZ22" s="64"/>
      <c r="WEA22" s="64"/>
      <c r="WEB22" s="64"/>
      <c r="WEC22" s="64"/>
      <c r="WED22" s="64"/>
      <c r="WEE22" s="64"/>
      <c r="WEF22" s="64"/>
      <c r="WEG22" s="64"/>
      <c r="WEH22" s="64"/>
      <c r="WEI22" s="64"/>
      <c r="WEJ22" s="64"/>
      <c r="WEK22" s="64"/>
      <c r="WEL22" s="64"/>
      <c r="WEM22" s="64"/>
      <c r="WEN22" s="64"/>
      <c r="WEO22" s="64"/>
      <c r="WEP22" s="64"/>
      <c r="WEQ22" s="64"/>
      <c r="WER22" s="64"/>
      <c r="WES22" s="64"/>
      <c r="WET22" s="64"/>
      <c r="WEU22" s="64"/>
      <c r="WEV22" s="64"/>
      <c r="WEW22" s="64"/>
      <c r="WEX22" s="64"/>
      <c r="WEY22" s="64"/>
      <c r="WEZ22" s="64"/>
      <c r="WFA22" s="64"/>
      <c r="WFB22" s="64"/>
      <c r="WFC22" s="64"/>
      <c r="WFD22" s="64"/>
      <c r="WFE22" s="64"/>
      <c r="WFF22" s="64"/>
      <c r="WFG22" s="64"/>
      <c r="WFH22" s="64"/>
      <c r="WFI22" s="64"/>
      <c r="WFJ22" s="64"/>
      <c r="WFK22" s="64"/>
      <c r="WFL22" s="64"/>
      <c r="WFM22" s="64"/>
      <c r="WFN22" s="64"/>
      <c r="WFO22" s="64"/>
      <c r="WFP22" s="64"/>
      <c r="WFQ22" s="64"/>
      <c r="WFR22" s="64"/>
      <c r="WFS22" s="64"/>
      <c r="WFT22" s="64"/>
      <c r="WFU22" s="64"/>
      <c r="WFV22" s="64"/>
      <c r="WFW22" s="64"/>
      <c r="WFX22" s="64"/>
      <c r="WFY22" s="64"/>
      <c r="WFZ22" s="64"/>
      <c r="WGA22" s="64"/>
      <c r="WGB22" s="64"/>
      <c r="WGC22" s="64"/>
      <c r="WGD22" s="64"/>
      <c r="WGE22" s="64"/>
      <c r="WGF22" s="64"/>
      <c r="WGG22" s="64"/>
      <c r="WGH22" s="64"/>
      <c r="WGI22" s="64"/>
      <c r="WGJ22" s="64"/>
      <c r="WGK22" s="64"/>
      <c r="WGL22" s="64"/>
      <c r="WGM22" s="64"/>
      <c r="WGN22" s="64"/>
      <c r="WGO22" s="64"/>
      <c r="WGP22" s="64"/>
      <c r="WGQ22" s="64"/>
      <c r="WGR22" s="64"/>
      <c r="WGS22" s="64"/>
      <c r="WGT22" s="64"/>
      <c r="WGU22" s="64"/>
      <c r="WGV22" s="64"/>
      <c r="WGW22" s="64"/>
      <c r="WGX22" s="64"/>
      <c r="WGY22" s="64"/>
      <c r="WGZ22" s="64"/>
      <c r="WHA22" s="64"/>
      <c r="WHB22" s="64"/>
      <c r="WHC22" s="64"/>
      <c r="WHD22" s="64"/>
      <c r="WHE22" s="64"/>
      <c r="WHF22" s="64"/>
      <c r="WHG22" s="64"/>
      <c r="WHH22" s="64"/>
      <c r="WHI22" s="64"/>
      <c r="WHJ22" s="64"/>
      <c r="WHK22" s="64"/>
      <c r="WHL22" s="64"/>
      <c r="WHM22" s="64"/>
      <c r="WHN22" s="64"/>
      <c r="WHO22" s="64"/>
      <c r="WHP22" s="64"/>
      <c r="WHQ22" s="64"/>
      <c r="WHR22" s="64"/>
      <c r="WHS22" s="64"/>
      <c r="WHT22" s="64"/>
      <c r="WHU22" s="64"/>
      <c r="WHV22" s="64"/>
      <c r="WHW22" s="64"/>
      <c r="WHX22" s="64"/>
      <c r="WHY22" s="64"/>
      <c r="WHZ22" s="64"/>
      <c r="WIA22" s="64"/>
      <c r="WIB22" s="64"/>
      <c r="WIC22" s="64"/>
      <c r="WID22" s="64"/>
      <c r="WIE22" s="64"/>
      <c r="WIF22" s="64"/>
      <c r="WIG22" s="64"/>
      <c r="WIH22" s="64"/>
      <c r="WII22" s="64"/>
      <c r="WIJ22" s="64"/>
      <c r="WIK22" s="64"/>
      <c r="WIL22" s="64"/>
      <c r="WIM22" s="64"/>
      <c r="WIN22" s="64"/>
      <c r="WIO22" s="64"/>
      <c r="WIP22" s="64"/>
      <c r="WIQ22" s="64"/>
      <c r="WIR22" s="64"/>
      <c r="WIS22" s="64"/>
      <c r="WIT22" s="64"/>
      <c r="WIU22" s="64"/>
      <c r="WIV22" s="64"/>
      <c r="WIW22" s="64"/>
      <c r="WIX22" s="64"/>
      <c r="WIY22" s="64"/>
      <c r="WIZ22" s="64"/>
      <c r="WJA22" s="64"/>
      <c r="WJB22" s="64"/>
      <c r="WJC22" s="64"/>
      <c r="WJD22" s="64"/>
      <c r="WJE22" s="64"/>
      <c r="WJF22" s="64"/>
      <c r="WJG22" s="64"/>
      <c r="WJH22" s="64"/>
      <c r="WJI22" s="64"/>
      <c r="WJJ22" s="64"/>
      <c r="WJK22" s="64"/>
      <c r="WJL22" s="64"/>
      <c r="WJM22" s="64"/>
      <c r="WJN22" s="64"/>
      <c r="WJO22" s="64"/>
      <c r="WJP22" s="64"/>
      <c r="WJQ22" s="64"/>
      <c r="WJR22" s="64"/>
      <c r="WJS22" s="64"/>
      <c r="WJT22" s="64"/>
      <c r="WJU22" s="64"/>
      <c r="WJV22" s="64"/>
      <c r="WJW22" s="64"/>
      <c r="WJX22" s="64"/>
      <c r="WJY22" s="64"/>
      <c r="WJZ22" s="64"/>
      <c r="WKA22" s="64"/>
      <c r="WKB22" s="64"/>
      <c r="WKC22" s="64"/>
      <c r="WKD22" s="64"/>
      <c r="WKE22" s="64"/>
      <c r="WKF22" s="64"/>
      <c r="WKG22" s="64"/>
      <c r="WKH22" s="64"/>
      <c r="WKI22" s="64"/>
      <c r="WKJ22" s="64"/>
      <c r="WKK22" s="64"/>
      <c r="WKL22" s="64"/>
      <c r="WKM22" s="64"/>
      <c r="WKN22" s="64"/>
      <c r="WKO22" s="64"/>
      <c r="WKP22" s="64"/>
      <c r="WKQ22" s="64"/>
      <c r="WKR22" s="64"/>
      <c r="WKS22" s="64"/>
      <c r="WKT22" s="64"/>
      <c r="WKU22" s="64"/>
      <c r="WKV22" s="64"/>
      <c r="WKW22" s="64"/>
      <c r="WKX22" s="64"/>
      <c r="WKY22" s="64"/>
      <c r="WKZ22" s="64"/>
      <c r="WLA22" s="64"/>
      <c r="WLB22" s="64"/>
      <c r="WLC22" s="64"/>
      <c r="WLD22" s="64"/>
      <c r="WLE22" s="64"/>
      <c r="WLF22" s="64"/>
      <c r="WLG22" s="64"/>
      <c r="WLH22" s="64"/>
      <c r="WLI22" s="64"/>
      <c r="WLJ22" s="64"/>
      <c r="WLK22" s="64"/>
      <c r="WLL22" s="64"/>
      <c r="WLM22" s="64"/>
      <c r="WLN22" s="64"/>
      <c r="WLO22" s="64"/>
      <c r="WLP22" s="64"/>
      <c r="WLQ22" s="64"/>
      <c r="WLR22" s="64"/>
      <c r="WLS22" s="64"/>
      <c r="WLT22" s="64"/>
      <c r="WLU22" s="64"/>
      <c r="WLV22" s="64"/>
      <c r="WLW22" s="64"/>
      <c r="WLX22" s="64"/>
      <c r="WLY22" s="64"/>
      <c r="WLZ22" s="64"/>
      <c r="WMA22" s="64"/>
      <c r="WMB22" s="64"/>
      <c r="WMC22" s="64"/>
      <c r="WMD22" s="64"/>
      <c r="WME22" s="64"/>
      <c r="WMF22" s="64"/>
      <c r="WMG22" s="64"/>
      <c r="WMH22" s="64"/>
      <c r="WMI22" s="64"/>
      <c r="WMJ22" s="64"/>
      <c r="WMK22" s="64"/>
      <c r="WML22" s="64"/>
      <c r="WMM22" s="64"/>
      <c r="WMN22" s="64"/>
      <c r="WMO22" s="64"/>
      <c r="WMP22" s="64"/>
      <c r="WMQ22" s="64"/>
      <c r="WMR22" s="64"/>
      <c r="WMS22" s="64"/>
      <c r="WMT22" s="64"/>
      <c r="WMU22" s="64"/>
      <c r="WMV22" s="64"/>
      <c r="WMW22" s="64"/>
      <c r="WMX22" s="64"/>
      <c r="WMY22" s="64"/>
      <c r="WMZ22" s="64"/>
      <c r="WNA22" s="64"/>
      <c r="WNB22" s="64"/>
      <c r="WNC22" s="64"/>
      <c r="WND22" s="64"/>
      <c r="WNE22" s="64"/>
      <c r="WNF22" s="64"/>
      <c r="WNG22" s="64"/>
      <c r="WNH22" s="64"/>
      <c r="WNI22" s="64"/>
      <c r="WNJ22" s="64"/>
      <c r="WNK22" s="64"/>
      <c r="WNL22" s="64"/>
      <c r="WNM22" s="64"/>
      <c r="WNN22" s="64"/>
      <c r="WNO22" s="64"/>
      <c r="WNP22" s="64"/>
      <c r="WNQ22" s="64"/>
      <c r="WNR22" s="64"/>
      <c r="WNS22" s="64"/>
      <c r="WNT22" s="64"/>
      <c r="WNU22" s="64"/>
      <c r="WNV22" s="64"/>
      <c r="WNW22" s="64"/>
      <c r="WNX22" s="64"/>
      <c r="WNY22" s="64"/>
      <c r="WNZ22" s="64"/>
      <c r="WOA22" s="64"/>
      <c r="WOB22" s="64"/>
      <c r="WOC22" s="64"/>
      <c r="WOD22" s="64"/>
      <c r="WOE22" s="64"/>
      <c r="WOF22" s="64"/>
      <c r="WOG22" s="64"/>
      <c r="WOH22" s="64"/>
      <c r="WOI22" s="64"/>
      <c r="WOJ22" s="64"/>
      <c r="WOK22" s="64"/>
      <c r="WOL22" s="64"/>
      <c r="WOM22" s="64"/>
      <c r="WON22" s="64"/>
      <c r="WOO22" s="64"/>
      <c r="WOP22" s="64"/>
      <c r="WOQ22" s="64"/>
      <c r="WOR22" s="64"/>
      <c r="WOS22" s="64"/>
      <c r="WOT22" s="64"/>
      <c r="WOU22" s="64"/>
      <c r="WOV22" s="64"/>
      <c r="WOW22" s="64"/>
      <c r="WOX22" s="64"/>
      <c r="WOY22" s="64"/>
      <c r="WOZ22" s="64"/>
      <c r="WPA22" s="64"/>
      <c r="WPB22" s="64"/>
      <c r="WPC22" s="64"/>
      <c r="WPD22" s="64"/>
      <c r="WPE22" s="64"/>
      <c r="WPF22" s="64"/>
      <c r="WPG22" s="64"/>
      <c r="WPH22" s="64"/>
      <c r="WPI22" s="64"/>
      <c r="WPJ22" s="64"/>
      <c r="WPK22" s="64"/>
      <c r="WPL22" s="64"/>
      <c r="WPM22" s="64"/>
      <c r="WPN22" s="64"/>
      <c r="WPO22" s="64"/>
      <c r="WPP22" s="64"/>
      <c r="WPQ22" s="64"/>
      <c r="WPR22" s="64"/>
      <c r="WPS22" s="64"/>
      <c r="WPT22" s="64"/>
      <c r="WPU22" s="64"/>
      <c r="WPV22" s="64"/>
      <c r="WPW22" s="64"/>
      <c r="WPX22" s="64"/>
      <c r="WPY22" s="64"/>
      <c r="WPZ22" s="64"/>
      <c r="WQA22" s="64"/>
      <c r="WQB22" s="64"/>
      <c r="WQC22" s="64"/>
      <c r="WQD22" s="64"/>
      <c r="WQE22" s="64"/>
      <c r="WQF22" s="64"/>
      <c r="WQG22" s="64"/>
      <c r="WQH22" s="64"/>
      <c r="WQI22" s="64"/>
      <c r="WQJ22" s="64"/>
      <c r="WQK22" s="64"/>
      <c r="WQL22" s="64"/>
      <c r="WQM22" s="64"/>
      <c r="WQN22" s="64"/>
      <c r="WQO22" s="64"/>
      <c r="WQP22" s="64"/>
      <c r="WQQ22" s="64"/>
      <c r="WQR22" s="64"/>
      <c r="WQS22" s="64"/>
      <c r="WQT22" s="64"/>
      <c r="WQU22" s="64"/>
      <c r="WQV22" s="64"/>
      <c r="WQW22" s="64"/>
      <c r="WQX22" s="64"/>
      <c r="WQY22" s="64"/>
      <c r="WQZ22" s="64"/>
      <c r="WRA22" s="64"/>
      <c r="WRB22" s="64"/>
      <c r="WRC22" s="64"/>
      <c r="WRD22" s="64"/>
      <c r="WRE22" s="64"/>
      <c r="WRF22" s="64"/>
      <c r="WRG22" s="64"/>
      <c r="WRH22" s="64"/>
      <c r="WRI22" s="64"/>
      <c r="WRJ22" s="64"/>
      <c r="WRK22" s="64"/>
      <c r="WRL22" s="64"/>
      <c r="WRM22" s="64"/>
      <c r="WRN22" s="64"/>
      <c r="WRO22" s="64"/>
      <c r="WRP22" s="64"/>
      <c r="WRQ22" s="64"/>
      <c r="WRR22" s="64"/>
      <c r="WRS22" s="64"/>
      <c r="WRT22" s="64"/>
      <c r="WRU22" s="64"/>
      <c r="WRV22" s="64"/>
      <c r="WRW22" s="64"/>
      <c r="WRX22" s="64"/>
      <c r="WRY22" s="64"/>
      <c r="WRZ22" s="64"/>
      <c r="WSA22" s="64"/>
      <c r="WSB22" s="64"/>
      <c r="WSC22" s="64"/>
      <c r="WSD22" s="64"/>
      <c r="WSE22" s="64"/>
      <c r="WSF22" s="64"/>
      <c r="WSG22" s="64"/>
      <c r="WSH22" s="64"/>
      <c r="WSI22" s="64"/>
      <c r="WSJ22" s="64"/>
      <c r="WSK22" s="64"/>
      <c r="WSL22" s="64"/>
      <c r="WSM22" s="64"/>
      <c r="WSN22" s="64"/>
      <c r="WSO22" s="64"/>
      <c r="WSP22" s="64"/>
      <c r="WSQ22" s="64"/>
      <c r="WSR22" s="64"/>
      <c r="WSS22" s="64"/>
      <c r="WST22" s="64"/>
      <c r="WSU22" s="64"/>
      <c r="WSV22" s="64"/>
      <c r="WSW22" s="64"/>
      <c r="WSX22" s="64"/>
      <c r="WSY22" s="64"/>
      <c r="WSZ22" s="64"/>
      <c r="WTA22" s="64"/>
      <c r="WTB22" s="64"/>
      <c r="WTC22" s="64"/>
      <c r="WTD22" s="64"/>
      <c r="WTE22" s="64"/>
      <c r="WTF22" s="64"/>
      <c r="WTG22" s="64"/>
      <c r="WTH22" s="64"/>
      <c r="WTI22" s="64"/>
      <c r="WTJ22" s="64"/>
      <c r="WTK22" s="64"/>
      <c r="WTL22" s="64"/>
      <c r="WTM22" s="64"/>
      <c r="WTN22" s="64"/>
      <c r="WTO22" s="64"/>
      <c r="WTP22" s="64"/>
      <c r="WTQ22" s="64"/>
      <c r="WTR22" s="64"/>
      <c r="WTS22" s="64"/>
      <c r="WTT22" s="64"/>
      <c r="WTU22" s="64"/>
      <c r="WTV22" s="64"/>
      <c r="WTW22" s="64"/>
      <c r="WTX22" s="64"/>
      <c r="WTY22" s="64"/>
      <c r="WTZ22" s="64"/>
      <c r="WUA22" s="64"/>
      <c r="WUB22" s="64"/>
      <c r="WUC22" s="64"/>
      <c r="WUD22" s="64"/>
      <c r="WUE22" s="64"/>
      <c r="WUF22" s="64"/>
      <c r="WUG22" s="64"/>
      <c r="WUH22" s="64"/>
      <c r="WUI22" s="64"/>
      <c r="WUJ22" s="64"/>
      <c r="WUK22" s="64"/>
      <c r="WUL22" s="64"/>
      <c r="WUM22" s="64"/>
      <c r="WUN22" s="64"/>
      <c r="WUO22" s="64"/>
      <c r="WUP22" s="64"/>
      <c r="WUQ22" s="64"/>
      <c r="WUR22" s="64"/>
      <c r="WUS22" s="64"/>
      <c r="WUT22" s="64"/>
      <c r="WUU22" s="64"/>
      <c r="WUV22" s="64"/>
      <c r="WUW22" s="64"/>
      <c r="WUX22" s="64"/>
      <c r="WUY22" s="64"/>
      <c r="WUZ22" s="64"/>
      <c r="WVA22" s="64"/>
      <c r="WVB22" s="64"/>
      <c r="WVC22" s="64"/>
      <c r="WVD22" s="64"/>
      <c r="WVE22" s="64"/>
      <c r="WVF22" s="64"/>
      <c r="WVG22" s="64"/>
      <c r="WVH22" s="64"/>
      <c r="WVI22" s="64"/>
      <c r="WVJ22" s="64"/>
      <c r="WVK22" s="64"/>
      <c r="WVL22" s="64"/>
      <c r="WVM22" s="64"/>
      <c r="WVN22" s="64"/>
      <c r="WVO22" s="64"/>
      <c r="WVP22" s="64"/>
      <c r="WVQ22" s="64"/>
      <c r="WVR22" s="64"/>
      <c r="WVS22" s="64"/>
      <c r="WVT22" s="64"/>
      <c r="WVU22" s="64"/>
      <c r="WVV22" s="64"/>
      <c r="WVW22" s="64"/>
      <c r="WVX22" s="64"/>
      <c r="WVY22" s="64"/>
      <c r="WVZ22" s="64"/>
      <c r="WWA22" s="64"/>
      <c r="WWB22" s="64"/>
      <c r="WWC22" s="64"/>
      <c r="WWD22" s="64"/>
      <c r="WWE22" s="64"/>
      <c r="WWF22" s="64"/>
      <c r="WWG22" s="64"/>
      <c r="WWH22" s="64"/>
      <c r="WWI22" s="64"/>
      <c r="WWJ22" s="64"/>
      <c r="WWK22" s="64"/>
      <c r="WWL22" s="64"/>
      <c r="WWM22" s="64"/>
      <c r="WWN22" s="64"/>
      <c r="WWO22" s="64"/>
      <c r="WWP22" s="64"/>
      <c r="WWQ22" s="64"/>
      <c r="WWR22" s="64"/>
      <c r="WWS22" s="64"/>
      <c r="WWT22" s="64"/>
      <c r="WWU22" s="64"/>
      <c r="WWV22" s="64"/>
      <c r="WWW22" s="64"/>
      <c r="WWX22" s="64"/>
      <c r="WWY22" s="64"/>
      <c r="WWZ22" s="64"/>
      <c r="WXA22" s="64"/>
      <c r="WXB22" s="64"/>
      <c r="WXC22" s="64"/>
      <c r="WXD22" s="64"/>
      <c r="WXE22" s="64"/>
      <c r="WXF22" s="64"/>
      <c r="WXG22" s="64"/>
      <c r="WXH22" s="64"/>
      <c r="WXI22" s="64"/>
      <c r="WXJ22" s="64"/>
      <c r="WXK22" s="64"/>
      <c r="WXL22" s="64"/>
      <c r="WXM22" s="64"/>
      <c r="WXN22" s="64"/>
      <c r="WXO22" s="64"/>
      <c r="WXP22" s="64"/>
      <c r="WXQ22" s="64"/>
      <c r="WXR22" s="64"/>
      <c r="WXS22" s="64"/>
      <c r="WXT22" s="64"/>
      <c r="WXU22" s="64"/>
      <c r="WXV22" s="64"/>
      <c r="WXW22" s="64"/>
      <c r="WXX22" s="64"/>
      <c r="WXY22" s="64"/>
      <c r="WXZ22" s="64"/>
      <c r="WYA22" s="64"/>
      <c r="WYB22" s="64"/>
      <c r="WYC22" s="64"/>
      <c r="WYD22" s="64"/>
      <c r="WYE22" s="64"/>
      <c r="WYF22" s="64"/>
      <c r="WYG22" s="64"/>
      <c r="WYH22" s="64"/>
      <c r="WYI22" s="64"/>
      <c r="WYJ22" s="64"/>
      <c r="WYK22" s="64"/>
      <c r="WYL22" s="64"/>
      <c r="WYM22" s="64"/>
      <c r="WYN22" s="64"/>
      <c r="WYO22" s="64"/>
      <c r="WYP22" s="64"/>
      <c r="WYQ22" s="64"/>
      <c r="WYR22" s="64"/>
      <c r="WYS22" s="64"/>
      <c r="WYT22" s="64"/>
      <c r="WYU22" s="64"/>
      <c r="WYV22" s="64"/>
      <c r="WYW22" s="64"/>
      <c r="WYX22" s="64"/>
      <c r="WYY22" s="64"/>
      <c r="WYZ22" s="64"/>
      <c r="WZA22" s="64"/>
      <c r="WZB22" s="64"/>
      <c r="WZC22" s="64"/>
      <c r="WZD22" s="64"/>
      <c r="WZE22" s="64"/>
      <c r="WZF22" s="64"/>
      <c r="WZG22" s="64"/>
      <c r="WZH22" s="64"/>
      <c r="WZI22" s="64"/>
      <c r="WZJ22" s="64"/>
      <c r="WZK22" s="64"/>
      <c r="WZL22" s="64"/>
      <c r="WZM22" s="64"/>
      <c r="WZN22" s="64"/>
      <c r="WZO22" s="64"/>
      <c r="WZP22" s="64"/>
      <c r="WZQ22" s="64"/>
      <c r="WZR22" s="64"/>
      <c r="WZS22" s="64"/>
      <c r="WZT22" s="64"/>
      <c r="WZU22" s="64"/>
      <c r="WZV22" s="64"/>
      <c r="WZW22" s="64"/>
      <c r="WZX22" s="64"/>
      <c r="WZY22" s="64"/>
      <c r="WZZ22" s="64"/>
      <c r="XAA22" s="64"/>
      <c r="XAB22" s="64"/>
      <c r="XAC22" s="64"/>
      <c r="XAD22" s="64"/>
      <c r="XAE22" s="64"/>
      <c r="XAF22" s="64"/>
      <c r="XAG22" s="64"/>
      <c r="XAH22" s="64"/>
      <c r="XAI22" s="64"/>
      <c r="XAJ22" s="64"/>
      <c r="XAK22" s="64"/>
      <c r="XAL22" s="64"/>
      <c r="XAM22" s="64"/>
      <c r="XAN22" s="64"/>
      <c r="XAO22" s="64"/>
      <c r="XAP22" s="64"/>
      <c r="XAQ22" s="64"/>
      <c r="XAR22" s="64"/>
      <c r="XAS22" s="64"/>
      <c r="XAT22" s="64"/>
      <c r="XAU22" s="64"/>
      <c r="XAV22" s="64"/>
      <c r="XAW22" s="64"/>
      <c r="XAX22" s="64"/>
      <c r="XAY22" s="64"/>
      <c r="XAZ22" s="64"/>
      <c r="XBA22" s="64"/>
      <c r="XBB22" s="64"/>
      <c r="XBC22" s="64"/>
      <c r="XBD22" s="64"/>
      <c r="XBE22" s="64"/>
      <c r="XBF22" s="64"/>
      <c r="XBG22" s="64"/>
      <c r="XBH22" s="64"/>
      <c r="XBI22" s="64"/>
      <c r="XBJ22" s="64"/>
      <c r="XBK22" s="64"/>
      <c r="XBL22" s="64"/>
      <c r="XBM22" s="64"/>
      <c r="XBN22" s="64"/>
      <c r="XBO22" s="64"/>
      <c r="XBP22" s="64"/>
      <c r="XBQ22" s="64"/>
      <c r="XBR22" s="64"/>
      <c r="XBS22" s="64"/>
      <c r="XBT22" s="64"/>
      <c r="XBU22" s="64"/>
      <c r="XBV22" s="64"/>
      <c r="XBW22" s="64"/>
      <c r="XBX22" s="64"/>
      <c r="XBY22" s="64"/>
      <c r="XBZ22" s="64"/>
      <c r="XCA22" s="64"/>
      <c r="XCB22" s="64"/>
      <c r="XCC22" s="64"/>
      <c r="XCD22" s="64"/>
      <c r="XCE22" s="64"/>
      <c r="XCF22" s="64"/>
      <c r="XCG22" s="64"/>
      <c r="XCH22" s="64"/>
      <c r="XCI22" s="64"/>
      <c r="XCJ22" s="64"/>
      <c r="XCK22" s="64"/>
      <c r="XCL22" s="64"/>
      <c r="XCM22" s="64"/>
      <c r="XCN22" s="64"/>
      <c r="XCO22" s="64"/>
      <c r="XCP22" s="64"/>
      <c r="XCQ22" s="64"/>
      <c r="XCR22" s="64"/>
      <c r="XCS22" s="64"/>
      <c r="XCT22" s="64"/>
      <c r="XCU22" s="64"/>
      <c r="XCV22" s="64"/>
      <c r="XCW22" s="64"/>
      <c r="XCX22" s="64"/>
      <c r="XCY22" s="64"/>
      <c r="XCZ22" s="64"/>
      <c r="XDA22" s="64"/>
      <c r="XDB22" s="64"/>
      <c r="XDC22" s="64"/>
      <c r="XDD22" s="64"/>
      <c r="XDE22" s="64"/>
      <c r="XDF22" s="64"/>
      <c r="XDG22" s="64"/>
      <c r="XDH22" s="64"/>
      <c r="XDI22" s="64"/>
      <c r="XDJ22" s="64"/>
      <c r="XDK22" s="64"/>
      <c r="XDL22" s="64"/>
      <c r="XDM22" s="64"/>
      <c r="XDN22" s="64"/>
      <c r="XDO22" s="64"/>
      <c r="XDP22" s="64"/>
      <c r="XDQ22" s="64"/>
      <c r="XDR22" s="64"/>
      <c r="XDS22" s="64"/>
      <c r="XDT22" s="64"/>
      <c r="XDU22" s="64"/>
      <c r="XDV22" s="64"/>
      <c r="XDW22" s="64"/>
      <c r="XDX22" s="64"/>
      <c r="XDY22" s="64"/>
      <c r="XDZ22" s="64"/>
      <c r="XEA22" s="64"/>
      <c r="XEB22" s="64"/>
      <c r="XEC22" s="64"/>
      <c r="XED22" s="64"/>
      <c r="XEE22" s="64"/>
      <c r="XEF22" s="64"/>
      <c r="XEG22" s="64"/>
      <c r="XEH22" s="64"/>
      <c r="XEI22" s="64"/>
      <c r="XEJ22" s="64"/>
      <c r="XEK22" s="64"/>
      <c r="XEL22" s="64"/>
      <c r="XEM22" s="64"/>
      <c r="XEN22" s="64"/>
      <c r="XEO22" s="64"/>
      <c r="XEP22" s="64"/>
      <c r="XEQ22" s="64"/>
      <c r="XER22" s="64"/>
      <c r="XES22" s="64"/>
      <c r="XET22" s="64"/>
      <c r="XEU22" s="64"/>
      <c r="XEV22" s="64"/>
      <c r="XEW22" s="64"/>
      <c r="XEX22" s="64"/>
      <c r="XEY22" s="64"/>
      <c r="XEZ22" s="64"/>
      <c r="XFA22" s="64"/>
      <c r="XFB22" s="64"/>
      <c r="XFC22" s="64"/>
      <c r="XFD22" s="64"/>
    </row>
    <row r="23" spans="1:16384" ht="20">
      <c r="A23" s="22" t="s">
        <v>359</v>
      </c>
      <c r="B23">
        <v>135723</v>
      </c>
      <c r="C23">
        <v>29939.311262943331</v>
      </c>
      <c r="D23">
        <v>158130.94</v>
      </c>
      <c r="E23">
        <v>49771.198822178179</v>
      </c>
      <c r="F23">
        <v>69119.730363999988</v>
      </c>
      <c r="G23">
        <v>68247.022071599989</v>
      </c>
      <c r="H23">
        <v>54252.579915435999</v>
      </c>
      <c r="I23">
        <v>24367.859914799992</v>
      </c>
      <c r="J23">
        <v>95676.173114408361</v>
      </c>
      <c r="K23">
        <v>34438.442735299992</v>
      </c>
      <c r="L23">
        <v>36330.9762452</v>
      </c>
      <c r="M23">
        <v>34877.526970883991</v>
      </c>
      <c r="N23">
        <v>43023.425731643438</v>
      </c>
      <c r="O23">
        <v>106482.36972750002</v>
      </c>
      <c r="P23">
        <v>48788.652222659206</v>
      </c>
      <c r="Q23">
        <v>21258.008705200016</v>
      </c>
      <c r="R23">
        <v>77171.582599812537</v>
      </c>
      <c r="S23">
        <v>38690.074693599992</v>
      </c>
      <c r="T23">
        <v>29477.641097046377</v>
      </c>
      <c r="U23">
        <v>45234.649203698922</v>
      </c>
      <c r="V23">
        <v>22926.722844791992</v>
      </c>
      <c r="W23">
        <v>34784.530280400009</v>
      </c>
      <c r="X23">
        <v>76026.025390200011</v>
      </c>
      <c r="Y23">
        <v>51797.650118400008</v>
      </c>
      <c r="Z23">
        <v>35966.006251276005</v>
      </c>
      <c r="AA23">
        <v>33140.01978219999</v>
      </c>
      <c r="AB23">
        <v>42333.207657199993</v>
      </c>
      <c r="AC23">
        <v>79683.062341473022</v>
      </c>
      <c r="AD23">
        <v>43178.822576765815</v>
      </c>
      <c r="AE23">
        <v>81540.454696851069</v>
      </c>
      <c r="AF23">
        <v>40511.356236376916</v>
      </c>
      <c r="AG23">
        <v>29351.432995199997</v>
      </c>
      <c r="AH23">
        <v>114620.97797013371</v>
      </c>
      <c r="AI23">
        <v>37886.140883100001</v>
      </c>
      <c r="AJ23">
        <v>46021.041006288135</v>
      </c>
      <c r="AK23">
        <v>35462.486605965823</v>
      </c>
      <c r="AL23">
        <v>93752.978715999998</v>
      </c>
      <c r="AM23">
        <v>39788.684209224448</v>
      </c>
      <c r="AN23">
        <v>40343.931230400005</v>
      </c>
      <c r="AO23">
        <v>22308.188876364016</v>
      </c>
      <c r="AP23">
        <v>50119.454748923999</v>
      </c>
      <c r="AQ23">
        <v>48860.979476443274</v>
      </c>
      <c r="AR23">
        <v>23950.530103884026</v>
      </c>
      <c r="AS23">
        <v>25302.612284300005</v>
      </c>
      <c r="AT23">
        <v>45759.520120800007</v>
      </c>
      <c r="AU23">
        <v>45675.432321400018</v>
      </c>
      <c r="AV23">
        <v>65944.378641376985</v>
      </c>
      <c r="AW23">
        <v>37225.845961600018</v>
      </c>
      <c r="AX23" t="e">
        <v>#N/A</v>
      </c>
      <c r="AY23">
        <v>34501.585442999989</v>
      </c>
      <c r="AZ23">
        <v>87629.940488677137</v>
      </c>
      <c r="BA23">
        <v>50830.542311457219</v>
      </c>
      <c r="BB23">
        <v>27342.353721900014</v>
      </c>
      <c r="BC23">
        <v>45463.767613199991</v>
      </c>
      <c r="BD23">
        <v>45181.818703050405</v>
      </c>
      <c r="BE23">
        <v>39177.877022000015</v>
      </c>
      <c r="BF23">
        <v>97700.036785600008</v>
      </c>
      <c r="BG23">
        <v>33990.186858600006</v>
      </c>
      <c r="BH23">
        <v>100417.02197150001</v>
      </c>
      <c r="BI23">
        <v>10716.686767700012</v>
      </c>
      <c r="BJ23">
        <v>32208.905665900005</v>
      </c>
      <c r="BK23">
        <v>35705.004107038592</v>
      </c>
      <c r="BL23">
        <v>40881.280268077055</v>
      </c>
      <c r="BM23">
        <v>17979.795114500012</v>
      </c>
      <c r="BN23">
        <v>74747.087604</v>
      </c>
      <c r="BO23">
        <v>41126.915176600014</v>
      </c>
      <c r="BP23">
        <v>29299.312951785032</v>
      </c>
      <c r="BQ23">
        <v>27170.8152539</v>
      </c>
      <c r="BR23">
        <v>23226.916554699987</v>
      </c>
      <c r="BS23">
        <v>20777.771076299992</v>
      </c>
      <c r="BT23">
        <v>21234.264500818186</v>
      </c>
      <c r="BU23">
        <v>26215.931688090699</v>
      </c>
      <c r="BV23">
        <v>56104.114505633072</v>
      </c>
      <c r="BW23">
        <v>36416.208161300005</v>
      </c>
      <c r="BX23">
        <v>67624.838954400009</v>
      </c>
      <c r="BY23" t="e">
        <v>#N/A</v>
      </c>
      <c r="BZ23">
        <v>44297.775983999993</v>
      </c>
      <c r="CA23">
        <v>46987.995943900009</v>
      </c>
      <c r="CB23">
        <v>137470.20000000001</v>
      </c>
      <c r="CC23" t="e">
        <v>#N/A</v>
      </c>
      <c r="CD23" t="e">
        <v>#N/A</v>
      </c>
      <c r="CE23">
        <v>97365.877845600015</v>
      </c>
      <c r="CF23">
        <v>31220.015266000002</v>
      </c>
      <c r="CG23">
        <v>58196.915661299994</v>
      </c>
      <c r="CH23">
        <v>38213.391717000006</v>
      </c>
      <c r="CI23">
        <v>56217.599999999977</v>
      </c>
      <c r="CJ23">
        <v>67101.602921901067</v>
      </c>
      <c r="CK23">
        <v>92160.200000000012</v>
      </c>
      <c r="CL23">
        <v>47601.262339641347</v>
      </c>
      <c r="CM23">
        <v>76658.39999999998</v>
      </c>
      <c r="CN23">
        <v>75899.209585257689</v>
      </c>
      <c r="CO23">
        <v>47067.459749731832</v>
      </c>
      <c r="CP23">
        <v>41161.778680960007</v>
      </c>
      <c r="CQ23">
        <v>31475.400000000009</v>
      </c>
      <c r="CR23">
        <v>28584.272036224007</v>
      </c>
      <c r="CS23">
        <v>42529.2</v>
      </c>
      <c r="CT23">
        <v>27840.137587907506</v>
      </c>
      <c r="CU23">
        <v>47855.8</v>
      </c>
      <c r="CV23">
        <v>18231.124416000006</v>
      </c>
      <c r="CW23">
        <v>20561.600000000006</v>
      </c>
      <c r="CX23">
        <v>56662.842686131204</v>
      </c>
      <c r="CY23">
        <v>69646.188806368504</v>
      </c>
      <c r="CZ23">
        <v>94309.039470695992</v>
      </c>
      <c r="DA23" s="97">
        <v>0</v>
      </c>
      <c r="DB23">
        <v>84004.800000000017</v>
      </c>
      <c r="DC23">
        <v>45736.800000000003</v>
      </c>
      <c r="DD23">
        <v>123580.80000000002</v>
      </c>
      <c r="DE23">
        <v>135235.44</v>
      </c>
      <c r="DF23">
        <v>152519.5</v>
      </c>
      <c r="DG23">
        <v>135961.46</v>
      </c>
      <c r="DH23">
        <v>32279.199999999997</v>
      </c>
      <c r="DI23">
        <v>132396.46</v>
      </c>
      <c r="DJ23">
        <v>137068.92000000001</v>
      </c>
      <c r="DK23">
        <v>44143.887320461305</v>
      </c>
      <c r="DL23">
        <v>119214.34116608</v>
      </c>
      <c r="DM23">
        <v>148777.74</v>
      </c>
      <c r="DN23">
        <v>49568.644826079224</v>
      </c>
      <c r="DO23">
        <v>67554.065268162551</v>
      </c>
      <c r="DP23">
        <v>41955.086813865579</v>
      </c>
      <c r="DQ23">
        <v>141731.28</v>
      </c>
      <c r="DR23">
        <v>27207.60000000002</v>
      </c>
      <c r="DS23">
        <v>63722.151084369296</v>
      </c>
      <c r="DT23" t="e">
        <v>#N/A</v>
      </c>
      <c r="DU23">
        <v>186455.7405935362</v>
      </c>
      <c r="DV23">
        <v>125990.27999999998</v>
      </c>
      <c r="DW23">
        <v>82992</v>
      </c>
      <c r="DX23">
        <v>103155.42294339584</v>
      </c>
      <c r="DY23">
        <v>119201.35</v>
      </c>
      <c r="DZ23">
        <v>61555.199999999997</v>
      </c>
      <c r="EA23">
        <v>106445.59999999999</v>
      </c>
      <c r="EB23">
        <v>127693.85</v>
      </c>
      <c r="EC23">
        <v>41315.999999999985</v>
      </c>
      <c r="ED23">
        <v>110685.12000000001</v>
      </c>
      <c r="EE23">
        <v>110728.8</v>
      </c>
      <c r="EF23">
        <v>32893.348928000007</v>
      </c>
      <c r="EG23">
        <v>55026.400000000009</v>
      </c>
      <c r="EH23">
        <v>20522.400000000009</v>
      </c>
      <c r="EI23">
        <v>110964</v>
      </c>
      <c r="EJ23">
        <v>52088.400000000009</v>
      </c>
      <c r="EK23">
        <v>37361.400000000009</v>
      </c>
      <c r="EL23">
        <v>114499.51999999999</v>
      </c>
      <c r="EM23">
        <v>45181.358559232001</v>
      </c>
      <c r="EN23">
        <v>114576.8</v>
      </c>
      <c r="EO23">
        <v>91938.3</v>
      </c>
      <c r="EP23">
        <v>92521.371199999994</v>
      </c>
      <c r="EQ23">
        <v>155883</v>
      </c>
      <c r="ER23">
        <v>98533.121686694416</v>
      </c>
      <c r="ES23">
        <v>37499.600000000006</v>
      </c>
      <c r="ET23">
        <v>34788.600000000006</v>
      </c>
      <c r="EU23">
        <v>72707.349927954521</v>
      </c>
      <c r="EV23">
        <v>126211.45000000001</v>
      </c>
      <c r="EW23">
        <v>125020.41640781055</v>
      </c>
      <c r="EX23">
        <v>143669.36865209791</v>
      </c>
      <c r="EY23">
        <v>46261.694963691509</v>
      </c>
      <c r="EZ23">
        <v>115763.2</v>
      </c>
      <c r="FA23">
        <v>148543.44</v>
      </c>
      <c r="FB23">
        <v>14852.88956006401</v>
      </c>
      <c r="FC23">
        <v>98895.400000000009</v>
      </c>
      <c r="FD23">
        <v>70261.958383992838</v>
      </c>
      <c r="FE23">
        <v>21318.800000000003</v>
      </c>
      <c r="FF23">
        <v>136539.19999999998</v>
      </c>
      <c r="FG23">
        <v>26913.199999999997</v>
      </c>
      <c r="FH23">
        <v>112110.92</v>
      </c>
      <c r="FI23">
        <v>19954.705023999995</v>
      </c>
      <c r="FJ23">
        <v>71363.599999999991</v>
      </c>
      <c r="FK23">
        <v>127365.6</v>
      </c>
      <c r="FL23">
        <v>105034.688885568</v>
      </c>
      <c r="FM23">
        <v>95438.028488557582</v>
      </c>
      <c r="FN23">
        <v>115480.89</v>
      </c>
      <c r="FO23">
        <v>42176.2</v>
      </c>
      <c r="FP23" t="e">
        <v>#N/A</v>
      </c>
      <c r="FQ23">
        <v>146639.16</v>
      </c>
      <c r="FR23" s="1">
        <v>129736.66184</v>
      </c>
      <c r="FS23">
        <v>38833.199999999997</v>
      </c>
      <c r="FT23">
        <v>107705.69372832256</v>
      </c>
      <c r="FU23">
        <v>92251.191622157276</v>
      </c>
      <c r="FV23">
        <v>136078.22</v>
      </c>
      <c r="FW23">
        <v>93172.366183321603</v>
      </c>
      <c r="FX23">
        <v>118828.08</v>
      </c>
      <c r="FY23">
        <v>123956.99999999999</v>
      </c>
      <c r="FZ23">
        <v>111576.18618567679</v>
      </c>
      <c r="GA23">
        <v>75399.199999999983</v>
      </c>
      <c r="GB23">
        <v>137934.94</v>
      </c>
      <c r="GC23">
        <v>98792.438366720016</v>
      </c>
      <c r="GD23">
        <v>85426.009465921481</v>
      </c>
      <c r="GE23">
        <v>134559.63</v>
      </c>
      <c r="GF23">
        <v>106978.72010213599</v>
      </c>
      <c r="GG23" t="e">
        <v>#N/A</v>
      </c>
      <c r="GH23">
        <v>68311.10000000002</v>
      </c>
      <c r="GI23">
        <v>138375.36000000002</v>
      </c>
      <c r="GJ23">
        <v>146561.4</v>
      </c>
      <c r="GK23">
        <v>44923.223366913138</v>
      </c>
      <c r="GL23" t="e">
        <v>#N/A</v>
      </c>
      <c r="GM23">
        <v>82941.316869455855</v>
      </c>
      <c r="GN23">
        <v>47422.999999999985</v>
      </c>
      <c r="GO23">
        <v>120668.79</v>
      </c>
      <c r="GP23">
        <v>118664.90000000001</v>
      </c>
      <c r="GQ23">
        <v>158130.94</v>
      </c>
      <c r="GR23">
        <v>29425.199999999997</v>
      </c>
      <c r="GS23">
        <v>101446.38</v>
      </c>
      <c r="GT23">
        <v>134337.41</v>
      </c>
      <c r="GU23">
        <v>113723.99999999999</v>
      </c>
      <c r="GV23">
        <v>103465.34999999999</v>
      </c>
      <c r="GW23">
        <v>142745.79</v>
      </c>
      <c r="GX23">
        <v>95477</v>
      </c>
      <c r="GY23">
        <v>50687.582369791999</v>
      </c>
      <c r="GZ23">
        <v>74360.301229938326</v>
      </c>
      <c r="HA23">
        <v>59178.60000000002</v>
      </c>
      <c r="HB23" t="e">
        <v>#N/A</v>
      </c>
      <c r="HC23">
        <v>39510.000000000015</v>
      </c>
      <c r="HD23">
        <v>77848.799999999988</v>
      </c>
      <c r="HE23">
        <v>71033.599999999977</v>
      </c>
      <c r="HF23">
        <v>127831.585536</v>
      </c>
      <c r="HG23">
        <v>79301.057666560009</v>
      </c>
      <c r="HH23">
        <v>111163</v>
      </c>
      <c r="HI23">
        <v>151765.98000000001</v>
      </c>
      <c r="HJ23" t="e">
        <v>#N/A</v>
      </c>
      <c r="HK23">
        <v>134585.60000000001</v>
      </c>
      <c r="HL23">
        <v>103767.72</v>
      </c>
      <c r="HM23">
        <v>107410.59</v>
      </c>
      <c r="HN23">
        <v>128173.19999999998</v>
      </c>
      <c r="HO23">
        <v>125854.56000000001</v>
      </c>
      <c r="HP23">
        <v>108945.21</v>
      </c>
      <c r="HQ23">
        <v>108587.08</v>
      </c>
      <c r="HR23">
        <v>78915.157672319998</v>
      </c>
      <c r="HS23">
        <v>59626.35</v>
      </c>
      <c r="HT23">
        <v>107696.07696000001</v>
      </c>
      <c r="HU23">
        <v>102658.15</v>
      </c>
      <c r="HV23">
        <v>33948.000000000015</v>
      </c>
      <c r="HW23">
        <v>114922.00000000001</v>
      </c>
      <c r="HX23">
        <v>68026.000000000015</v>
      </c>
      <c r="HY23">
        <v>58476.600000000006</v>
      </c>
      <c r="HZ23">
        <v>128431.45000000001</v>
      </c>
      <c r="IA23">
        <v>134437.68</v>
      </c>
      <c r="IB23">
        <v>114836.4</v>
      </c>
      <c r="IC23">
        <v>135723</v>
      </c>
      <c r="ID23">
        <v>114855</v>
      </c>
      <c r="IE23">
        <v>133053.85</v>
      </c>
      <c r="IF23">
        <v>57347.162986709547</v>
      </c>
      <c r="IG23">
        <v>143249.31</v>
      </c>
      <c r="IH23">
        <v>43657.425960337423</v>
      </c>
      <c r="II23">
        <v>143881.92000000001</v>
      </c>
      <c r="IJ23">
        <v>113830.9</v>
      </c>
      <c r="IK23">
        <v>118066.00000000001</v>
      </c>
      <c r="IL23">
        <v>36952.743768824934</v>
      </c>
      <c r="IM23">
        <v>146883.75</v>
      </c>
      <c r="IN23">
        <v>91012.799999999988</v>
      </c>
      <c r="IO23">
        <v>73586.580608685064</v>
      </c>
      <c r="IP23">
        <v>67457.600000000006</v>
      </c>
      <c r="IQ23">
        <v>149903</v>
      </c>
      <c r="IR23" t="e">
        <v>#N/A</v>
      </c>
      <c r="IS23">
        <v>144892.32</v>
      </c>
      <c r="IT23">
        <v>38321.420778426153</v>
      </c>
      <c r="IU23">
        <v>106780.66</v>
      </c>
      <c r="IV23">
        <v>153561.66</v>
      </c>
      <c r="IW23">
        <v>152149.07999999999</v>
      </c>
      <c r="IX23">
        <v>148890.51999999999</v>
      </c>
      <c r="IY23">
        <v>114818.9664705199</v>
      </c>
      <c r="IZ23">
        <v>39175.500000000015</v>
      </c>
      <c r="JA23" s="64"/>
      <c r="JB23" s="64"/>
      <c r="JC23" s="64"/>
      <c r="JD23" s="64"/>
      <c r="JE23" s="64"/>
      <c r="JF23" s="64"/>
      <c r="JG23" s="64"/>
      <c r="JH23" s="64"/>
      <c r="JI23" s="64"/>
      <c r="JJ23" s="64"/>
      <c r="JK23" s="64"/>
      <c r="JL23" s="64"/>
      <c r="JM23" s="64"/>
      <c r="JN23" s="64"/>
      <c r="JO23" s="64"/>
      <c r="JP23" s="64"/>
      <c r="JQ23" s="64"/>
      <c r="JR23" s="64"/>
      <c r="JS23" s="64"/>
      <c r="JT23" s="64"/>
      <c r="JU23" s="64"/>
      <c r="JV23" s="64"/>
      <c r="JW23" s="64"/>
      <c r="JX23" s="64"/>
      <c r="JY23" s="64"/>
      <c r="JZ23" s="64"/>
      <c r="KA23" s="64"/>
      <c r="KB23" s="64"/>
      <c r="KC23" s="64"/>
      <c r="KD23" s="64"/>
      <c r="KE23" s="64"/>
      <c r="KF23" s="64"/>
      <c r="KG23" s="64"/>
      <c r="KH23" s="64"/>
      <c r="KI23" s="64"/>
      <c r="KJ23" s="64"/>
      <c r="KK23" s="64"/>
      <c r="KL23" s="64"/>
      <c r="KM23" s="64"/>
      <c r="KN23" s="64"/>
      <c r="KO23" s="64"/>
      <c r="KP23" s="64"/>
      <c r="KQ23" s="64"/>
      <c r="KR23" s="64"/>
      <c r="KS23" s="64"/>
      <c r="KT23" s="64"/>
      <c r="KU23" s="64"/>
      <c r="KV23" s="64"/>
      <c r="KW23" s="64"/>
      <c r="KX23" s="64"/>
      <c r="KY23" s="64"/>
      <c r="KZ23" s="64"/>
      <c r="LA23" s="64"/>
      <c r="LB23" s="64"/>
      <c r="LC23" s="64"/>
      <c r="LD23" s="64"/>
      <c r="LE23" s="64"/>
      <c r="LF23" s="64"/>
      <c r="LG23" s="64"/>
      <c r="LH23" s="64"/>
      <c r="LI23" s="64"/>
      <c r="LJ23" s="64"/>
      <c r="LK23" s="64"/>
      <c r="LL23" s="64"/>
      <c r="LM23" s="64"/>
      <c r="LN23" s="64"/>
      <c r="LO23" s="64"/>
      <c r="LP23" s="64"/>
      <c r="LQ23" s="64"/>
      <c r="LR23" s="64"/>
      <c r="LS23" s="64"/>
      <c r="LT23" s="64"/>
      <c r="LU23" s="64"/>
      <c r="LV23" s="64"/>
      <c r="LW23" s="64"/>
      <c r="LX23" s="64"/>
      <c r="LY23" s="64"/>
      <c r="LZ23" s="64"/>
      <c r="MA23" s="64"/>
      <c r="MB23" s="64"/>
      <c r="MC23" s="64"/>
      <c r="MD23" s="64"/>
      <c r="ME23" s="64"/>
      <c r="MF23" s="64"/>
      <c r="MG23" s="64"/>
      <c r="MH23" s="64"/>
      <c r="MI23" s="64"/>
      <c r="MJ23" s="64"/>
      <c r="MK23" s="64"/>
      <c r="ML23" s="64"/>
      <c r="MM23" s="64"/>
      <c r="MN23" s="64"/>
      <c r="MO23" s="64"/>
      <c r="MP23" s="64"/>
      <c r="MQ23" s="64"/>
      <c r="MR23" s="64"/>
      <c r="MS23" s="64"/>
      <c r="MT23" s="64"/>
      <c r="MU23" s="64"/>
      <c r="MV23" s="64"/>
      <c r="MW23" s="64"/>
      <c r="MX23" s="64"/>
      <c r="MY23" s="64"/>
      <c r="MZ23" s="64"/>
      <c r="NA23" s="64"/>
      <c r="NB23" s="64"/>
      <c r="NC23" s="64"/>
      <c r="ND23" s="64"/>
      <c r="NE23" s="64"/>
      <c r="NF23" s="64"/>
      <c r="NG23" s="64"/>
      <c r="NH23" s="64"/>
      <c r="NI23" s="64"/>
      <c r="NJ23" s="64"/>
      <c r="NK23" s="64"/>
      <c r="NL23" s="64"/>
      <c r="NM23" s="64"/>
      <c r="NN23" s="64"/>
      <c r="NO23" s="64"/>
      <c r="NP23" s="64"/>
      <c r="NQ23" s="64"/>
      <c r="NR23" s="64"/>
      <c r="NS23" s="64"/>
      <c r="NT23" s="64"/>
      <c r="NU23" s="64"/>
      <c r="NV23" s="64"/>
      <c r="NW23" s="64"/>
      <c r="NX23" s="64"/>
      <c r="NY23" s="64"/>
      <c r="NZ23" s="64"/>
      <c r="OA23" s="64"/>
      <c r="OB23" s="64"/>
      <c r="OC23" s="64"/>
      <c r="OD23" s="64"/>
      <c r="OE23" s="64"/>
      <c r="OF23" s="64"/>
      <c r="OG23" s="64"/>
      <c r="OH23" s="64"/>
      <c r="OI23" s="64"/>
      <c r="OJ23" s="64"/>
      <c r="OK23" s="64"/>
      <c r="OL23" s="64"/>
      <c r="OM23" s="64"/>
      <c r="ON23" s="64"/>
      <c r="OO23" s="64"/>
      <c r="OP23" s="64"/>
      <c r="OQ23" s="64"/>
      <c r="OR23" s="64"/>
      <c r="OS23" s="64"/>
      <c r="OT23" s="64"/>
      <c r="OU23" s="64"/>
      <c r="OV23" s="64"/>
      <c r="OW23" s="64"/>
      <c r="OX23" s="64"/>
      <c r="OY23" s="64"/>
      <c r="OZ23" s="64"/>
      <c r="PA23" s="64"/>
      <c r="PB23" s="64"/>
      <c r="PC23" s="64"/>
      <c r="PD23" s="64"/>
      <c r="PE23" s="64"/>
      <c r="PF23" s="64"/>
      <c r="PG23" s="64"/>
      <c r="PH23" s="64"/>
      <c r="PI23" s="64"/>
      <c r="PJ23" s="64"/>
      <c r="PK23" s="64"/>
      <c r="PL23" s="64"/>
      <c r="PM23" s="64"/>
      <c r="PN23" s="64"/>
      <c r="PO23" s="64"/>
      <c r="PP23" s="64"/>
      <c r="PQ23" s="64"/>
      <c r="PR23" s="64"/>
      <c r="PS23" s="64"/>
      <c r="PT23" s="64"/>
      <c r="PU23" s="64"/>
      <c r="PV23" s="64"/>
      <c r="PW23" s="64"/>
      <c r="PX23" s="64"/>
      <c r="PY23" s="64"/>
      <c r="PZ23" s="64"/>
      <c r="QA23" s="64"/>
      <c r="QB23" s="64"/>
      <c r="QC23" s="64"/>
      <c r="QD23" s="64"/>
      <c r="QE23" s="64"/>
      <c r="QF23" s="64"/>
      <c r="QG23" s="64"/>
      <c r="QH23" s="64"/>
      <c r="QI23" s="64"/>
      <c r="QJ23" s="64"/>
      <c r="QK23" s="64"/>
      <c r="QL23" s="64"/>
      <c r="QM23" s="64"/>
      <c r="QN23" s="64"/>
      <c r="QO23" s="64"/>
      <c r="QP23" s="64"/>
      <c r="QQ23" s="64"/>
      <c r="QR23" s="64"/>
      <c r="QS23" s="64"/>
      <c r="QT23" s="64"/>
      <c r="QU23" s="64"/>
      <c r="QV23" s="64"/>
      <c r="QW23" s="64"/>
      <c r="QX23" s="64"/>
      <c r="QY23" s="64"/>
      <c r="QZ23" s="64"/>
      <c r="RA23" s="64"/>
      <c r="RB23" s="64"/>
      <c r="RC23" s="64"/>
      <c r="RD23" s="64"/>
      <c r="RE23" s="64"/>
      <c r="RF23" s="64"/>
      <c r="RG23" s="64"/>
      <c r="RH23" s="64"/>
      <c r="RI23" s="64"/>
      <c r="RJ23" s="64"/>
      <c r="RK23" s="64"/>
      <c r="RL23" s="64"/>
      <c r="RM23" s="64"/>
      <c r="RN23" s="64"/>
      <c r="RO23" s="64"/>
      <c r="RP23" s="64"/>
      <c r="RQ23" s="64"/>
      <c r="RR23" s="64"/>
      <c r="RS23" s="64"/>
      <c r="RT23" s="64"/>
      <c r="RU23" s="64"/>
      <c r="RV23" s="64"/>
      <c r="RW23" s="64"/>
      <c r="RX23" s="64"/>
      <c r="RY23" s="64"/>
      <c r="RZ23" s="64"/>
      <c r="SA23" s="64"/>
      <c r="SB23" s="64"/>
      <c r="SC23" s="64"/>
      <c r="SD23" s="64"/>
      <c r="SE23" s="64"/>
      <c r="SF23" s="64"/>
      <c r="SG23" s="64"/>
      <c r="SH23" s="64"/>
      <c r="SI23" s="64"/>
      <c r="SJ23" s="64"/>
      <c r="SK23" s="64"/>
      <c r="SL23" s="64"/>
      <c r="SM23" s="64"/>
      <c r="SN23" s="64"/>
      <c r="SO23" s="64"/>
      <c r="SP23" s="64"/>
      <c r="SQ23" s="64"/>
      <c r="SR23" s="64"/>
      <c r="SS23" s="64"/>
      <c r="ST23" s="64"/>
      <c r="SU23" s="64"/>
      <c r="SV23" s="64"/>
      <c r="SW23" s="64"/>
      <c r="SX23" s="64"/>
      <c r="SY23" s="64"/>
      <c r="SZ23" s="64"/>
      <c r="TA23" s="64"/>
      <c r="TB23" s="64"/>
      <c r="TC23" s="64"/>
      <c r="TD23" s="64"/>
      <c r="TE23" s="64"/>
      <c r="TF23" s="64"/>
      <c r="TG23" s="64"/>
      <c r="TH23" s="64"/>
      <c r="TI23" s="64"/>
      <c r="TJ23" s="64"/>
      <c r="TK23" s="64"/>
      <c r="TL23" s="64"/>
      <c r="TM23" s="64"/>
      <c r="TN23" s="64"/>
      <c r="TO23" s="64"/>
      <c r="TP23" s="64"/>
      <c r="TQ23" s="64"/>
      <c r="TR23" s="64"/>
      <c r="TS23" s="64"/>
      <c r="TT23" s="64"/>
      <c r="TU23" s="64"/>
      <c r="TV23" s="64"/>
      <c r="TW23" s="64"/>
      <c r="TX23" s="64"/>
      <c r="TY23" s="64"/>
      <c r="TZ23" s="64"/>
      <c r="UA23" s="64"/>
      <c r="UB23" s="64"/>
      <c r="UC23" s="64"/>
      <c r="UD23" s="64"/>
      <c r="UE23" s="64"/>
      <c r="UF23" s="64"/>
      <c r="UG23" s="64"/>
      <c r="UH23" s="64"/>
      <c r="UI23" s="64"/>
      <c r="UJ23" s="64"/>
      <c r="UK23" s="64"/>
      <c r="UL23" s="64"/>
      <c r="UM23" s="64"/>
      <c r="UN23" s="64"/>
      <c r="UO23" s="64"/>
      <c r="UP23" s="64"/>
      <c r="UQ23" s="64"/>
      <c r="UR23" s="64"/>
      <c r="US23" s="64"/>
      <c r="UT23" s="64"/>
      <c r="UU23" s="64"/>
      <c r="UV23" s="64"/>
      <c r="UW23" s="64"/>
      <c r="UX23" s="64"/>
      <c r="UY23" s="64"/>
      <c r="UZ23" s="64"/>
      <c r="VA23" s="64"/>
      <c r="VB23" s="64"/>
      <c r="VC23" s="64"/>
      <c r="VD23" s="64"/>
      <c r="VE23" s="64"/>
      <c r="VF23" s="64"/>
      <c r="VG23" s="64"/>
      <c r="VH23" s="64"/>
      <c r="VI23" s="64"/>
      <c r="VJ23" s="64"/>
      <c r="VK23" s="64"/>
      <c r="VL23" s="64"/>
      <c r="VM23" s="64"/>
      <c r="VN23" s="64"/>
      <c r="VO23" s="64"/>
      <c r="VP23" s="64"/>
      <c r="VQ23" s="64"/>
      <c r="VR23" s="64"/>
      <c r="VS23" s="64"/>
      <c r="VT23" s="64"/>
      <c r="VU23" s="64"/>
      <c r="VV23" s="64"/>
      <c r="VW23" s="64"/>
      <c r="VX23" s="64"/>
      <c r="VY23" s="64"/>
      <c r="VZ23" s="64"/>
      <c r="WA23" s="64"/>
      <c r="WB23" s="64"/>
      <c r="WC23" s="64"/>
      <c r="WD23" s="64"/>
      <c r="WE23" s="64"/>
      <c r="WF23" s="64"/>
      <c r="WG23" s="64"/>
      <c r="WH23" s="64"/>
      <c r="WI23" s="64"/>
      <c r="WJ23" s="64"/>
      <c r="WK23" s="64"/>
      <c r="WL23" s="64"/>
      <c r="WM23" s="64"/>
      <c r="WN23" s="64"/>
      <c r="WO23" s="64"/>
      <c r="WP23" s="64"/>
      <c r="WQ23" s="64"/>
      <c r="WR23" s="64"/>
      <c r="WS23" s="64"/>
      <c r="WT23" s="64"/>
      <c r="WU23" s="64"/>
      <c r="WV23" s="64"/>
      <c r="WW23" s="64"/>
      <c r="WX23" s="64"/>
      <c r="WY23" s="64"/>
      <c r="WZ23" s="64"/>
      <c r="XA23" s="64"/>
      <c r="XB23" s="64"/>
      <c r="XC23" s="64"/>
      <c r="XD23" s="64"/>
      <c r="XE23" s="64"/>
      <c r="XF23" s="64"/>
      <c r="XG23" s="64"/>
      <c r="XH23" s="64"/>
      <c r="XI23" s="64"/>
      <c r="XJ23" s="64"/>
      <c r="XK23" s="64"/>
      <c r="XL23" s="64"/>
      <c r="XM23" s="64"/>
      <c r="XN23" s="64"/>
      <c r="XO23" s="64"/>
      <c r="XP23" s="64"/>
      <c r="XQ23" s="64"/>
      <c r="XR23" s="64"/>
      <c r="XS23" s="64"/>
      <c r="XT23" s="64"/>
      <c r="XU23" s="64"/>
      <c r="XV23" s="64"/>
      <c r="XW23" s="64"/>
      <c r="XX23" s="64"/>
      <c r="XY23" s="64"/>
      <c r="XZ23" s="64"/>
      <c r="YA23" s="64"/>
      <c r="YB23" s="64"/>
      <c r="YC23" s="64"/>
      <c r="YD23" s="64"/>
      <c r="YE23" s="64"/>
      <c r="YF23" s="64"/>
      <c r="YG23" s="64"/>
      <c r="YH23" s="64"/>
      <c r="YI23" s="64"/>
      <c r="YJ23" s="64"/>
      <c r="YK23" s="64"/>
      <c r="YL23" s="64"/>
      <c r="YM23" s="64"/>
      <c r="YN23" s="64"/>
      <c r="YO23" s="64"/>
      <c r="YP23" s="64"/>
      <c r="YQ23" s="64"/>
      <c r="YR23" s="64"/>
      <c r="YS23" s="64"/>
      <c r="YT23" s="64"/>
      <c r="YU23" s="64"/>
      <c r="YV23" s="64"/>
      <c r="YW23" s="64"/>
      <c r="YX23" s="64"/>
      <c r="YY23" s="64"/>
      <c r="YZ23" s="64"/>
      <c r="ZA23" s="64"/>
      <c r="ZB23" s="64"/>
      <c r="ZC23" s="64"/>
      <c r="ZD23" s="64"/>
      <c r="ZE23" s="64"/>
      <c r="ZF23" s="64"/>
      <c r="ZG23" s="64"/>
      <c r="ZH23" s="64"/>
      <c r="ZI23" s="64"/>
      <c r="ZJ23" s="64"/>
      <c r="ZK23" s="64"/>
      <c r="ZL23" s="64"/>
      <c r="ZM23" s="64"/>
      <c r="ZN23" s="64"/>
      <c r="ZO23" s="64"/>
      <c r="ZP23" s="64"/>
      <c r="ZQ23" s="64"/>
      <c r="ZR23" s="64"/>
      <c r="ZS23" s="64"/>
      <c r="ZT23" s="64"/>
      <c r="ZU23" s="64"/>
      <c r="ZV23" s="64"/>
      <c r="ZW23" s="64"/>
      <c r="ZX23" s="64"/>
      <c r="ZY23" s="64"/>
      <c r="ZZ23" s="64"/>
      <c r="AAA23" s="64"/>
      <c r="AAB23" s="64"/>
      <c r="AAC23" s="64"/>
      <c r="AAD23" s="64"/>
      <c r="AAE23" s="64"/>
      <c r="AAF23" s="64"/>
      <c r="AAG23" s="64"/>
      <c r="AAH23" s="64"/>
      <c r="AAI23" s="64"/>
      <c r="AAJ23" s="64"/>
      <c r="AAK23" s="64"/>
      <c r="AAL23" s="64"/>
      <c r="AAM23" s="64"/>
      <c r="AAN23" s="64"/>
      <c r="AAO23" s="64"/>
      <c r="AAP23" s="64"/>
      <c r="AAQ23" s="64"/>
      <c r="AAR23" s="64"/>
      <c r="AAS23" s="64"/>
      <c r="AAT23" s="64"/>
      <c r="AAU23" s="64"/>
      <c r="AAV23" s="64"/>
      <c r="AAW23" s="64"/>
      <c r="AAX23" s="64"/>
      <c r="AAY23" s="64"/>
      <c r="AAZ23" s="64"/>
      <c r="ABA23" s="64"/>
      <c r="ABB23" s="64"/>
      <c r="ABC23" s="64"/>
      <c r="ABD23" s="64"/>
      <c r="ABE23" s="64"/>
      <c r="ABF23" s="64"/>
      <c r="ABG23" s="64"/>
      <c r="ABH23" s="64"/>
      <c r="ABI23" s="64"/>
      <c r="ABJ23" s="64"/>
      <c r="ABK23" s="64"/>
      <c r="ABL23" s="64"/>
      <c r="ABM23" s="64"/>
      <c r="ABN23" s="64"/>
      <c r="ABO23" s="64"/>
      <c r="ABP23" s="64"/>
      <c r="ABQ23" s="64"/>
      <c r="ABR23" s="64"/>
      <c r="ABS23" s="64"/>
      <c r="ABT23" s="64"/>
      <c r="ABU23" s="64"/>
      <c r="ABV23" s="64"/>
      <c r="ABW23" s="64"/>
      <c r="ABX23" s="64"/>
      <c r="ABY23" s="64"/>
      <c r="ABZ23" s="64"/>
      <c r="ACA23" s="64"/>
      <c r="ACB23" s="64"/>
      <c r="ACC23" s="64"/>
      <c r="ACD23" s="64"/>
      <c r="ACE23" s="64"/>
      <c r="ACF23" s="64"/>
      <c r="ACG23" s="64"/>
      <c r="ACH23" s="64"/>
      <c r="ACI23" s="64"/>
      <c r="ACJ23" s="64"/>
      <c r="ACK23" s="64"/>
      <c r="ACL23" s="64"/>
      <c r="ACM23" s="64"/>
      <c r="ACN23" s="64"/>
      <c r="ACO23" s="64"/>
      <c r="ACP23" s="64"/>
      <c r="ACQ23" s="64"/>
      <c r="ACR23" s="64"/>
      <c r="ACS23" s="64"/>
      <c r="ACT23" s="64"/>
      <c r="ACU23" s="64"/>
      <c r="ACV23" s="64"/>
      <c r="ACW23" s="64"/>
      <c r="ACX23" s="64"/>
      <c r="ACY23" s="64"/>
      <c r="ACZ23" s="64"/>
      <c r="ADA23" s="64"/>
      <c r="ADB23" s="64"/>
      <c r="ADC23" s="64"/>
      <c r="ADD23" s="64"/>
      <c r="ADE23" s="64"/>
      <c r="ADF23" s="64"/>
      <c r="ADG23" s="64"/>
      <c r="ADH23" s="64"/>
      <c r="ADI23" s="64"/>
      <c r="ADJ23" s="64"/>
      <c r="ADK23" s="64"/>
      <c r="ADL23" s="64"/>
      <c r="ADM23" s="64"/>
      <c r="ADN23" s="64"/>
      <c r="ADO23" s="64"/>
      <c r="ADP23" s="64"/>
      <c r="ADQ23" s="64"/>
      <c r="ADR23" s="64"/>
      <c r="ADS23" s="64"/>
      <c r="ADT23" s="64"/>
      <c r="ADU23" s="64"/>
      <c r="ADV23" s="64"/>
      <c r="ADW23" s="64"/>
      <c r="ADX23" s="64"/>
      <c r="ADY23" s="64"/>
      <c r="ADZ23" s="64"/>
      <c r="AEA23" s="64"/>
      <c r="AEB23" s="64"/>
      <c r="AEC23" s="64"/>
      <c r="AED23" s="64"/>
      <c r="AEE23" s="64"/>
      <c r="AEF23" s="64"/>
      <c r="AEG23" s="64"/>
      <c r="AEH23" s="64"/>
      <c r="AEI23" s="64"/>
      <c r="AEJ23" s="64"/>
      <c r="AEK23" s="64"/>
      <c r="AEL23" s="64"/>
      <c r="AEM23" s="64"/>
      <c r="AEN23" s="64"/>
      <c r="AEO23" s="64"/>
      <c r="AEP23" s="64"/>
      <c r="AEQ23" s="64"/>
      <c r="AER23" s="64"/>
      <c r="AES23" s="64"/>
      <c r="AET23" s="64"/>
      <c r="AEU23" s="64"/>
      <c r="AEV23" s="64"/>
      <c r="AEW23" s="64"/>
      <c r="AEX23" s="64"/>
      <c r="AEY23" s="64"/>
      <c r="AEZ23" s="64"/>
      <c r="AFA23" s="64"/>
      <c r="AFB23" s="64"/>
      <c r="AFC23" s="64"/>
      <c r="AFD23" s="64"/>
      <c r="AFE23" s="64"/>
      <c r="AFF23" s="64"/>
      <c r="AFG23" s="64"/>
      <c r="AFH23" s="64"/>
      <c r="AFI23" s="64"/>
      <c r="AFJ23" s="64"/>
      <c r="AFK23" s="64"/>
      <c r="AFL23" s="64"/>
      <c r="AFM23" s="64"/>
      <c r="AFN23" s="64"/>
      <c r="AFO23" s="64"/>
      <c r="AFP23" s="64"/>
      <c r="AFQ23" s="64"/>
      <c r="AFR23" s="64"/>
      <c r="AFS23" s="64"/>
      <c r="AFT23" s="64"/>
      <c r="AFU23" s="64"/>
      <c r="AFV23" s="64"/>
      <c r="AFW23" s="64"/>
      <c r="AFX23" s="64"/>
      <c r="AFY23" s="64"/>
      <c r="AFZ23" s="64"/>
      <c r="AGA23" s="64"/>
      <c r="AGB23" s="64"/>
      <c r="AGC23" s="64"/>
      <c r="AGD23" s="64"/>
      <c r="AGE23" s="64"/>
      <c r="AGF23" s="64"/>
      <c r="AGG23" s="64"/>
      <c r="AGH23" s="64"/>
      <c r="AGI23" s="64"/>
      <c r="AGJ23" s="64"/>
      <c r="AGK23" s="64"/>
      <c r="AGL23" s="64"/>
      <c r="AGM23" s="64"/>
      <c r="AGN23" s="64"/>
      <c r="AGO23" s="64"/>
      <c r="AGP23" s="64"/>
      <c r="AGQ23" s="64"/>
      <c r="AGR23" s="64"/>
      <c r="AGS23" s="64"/>
      <c r="AGT23" s="64"/>
      <c r="AGU23" s="64"/>
      <c r="AGV23" s="64"/>
      <c r="AGW23" s="64"/>
      <c r="AGX23" s="64"/>
      <c r="AGY23" s="64"/>
      <c r="AGZ23" s="64"/>
      <c r="AHA23" s="64"/>
      <c r="AHB23" s="64"/>
      <c r="AHC23" s="64"/>
      <c r="AHD23" s="64"/>
      <c r="AHE23" s="64"/>
      <c r="AHF23" s="64"/>
      <c r="AHG23" s="64"/>
      <c r="AHH23" s="64"/>
      <c r="AHI23" s="64"/>
      <c r="AHJ23" s="64"/>
      <c r="AHK23" s="64"/>
      <c r="AHL23" s="64"/>
      <c r="AHM23" s="64"/>
      <c r="AHN23" s="64"/>
      <c r="AHO23" s="64"/>
      <c r="AHP23" s="64"/>
      <c r="AHQ23" s="64"/>
      <c r="AHR23" s="64"/>
      <c r="AHS23" s="64"/>
      <c r="AHT23" s="64"/>
      <c r="AHU23" s="64"/>
      <c r="AHV23" s="64"/>
      <c r="AHW23" s="64"/>
      <c r="AHX23" s="64"/>
      <c r="AHY23" s="64"/>
      <c r="AHZ23" s="64"/>
      <c r="AIA23" s="64"/>
      <c r="AIB23" s="64"/>
      <c r="AIC23" s="64"/>
      <c r="AID23" s="64"/>
      <c r="AIE23" s="64"/>
      <c r="AIF23" s="64"/>
      <c r="AIG23" s="64"/>
      <c r="AIH23" s="64"/>
      <c r="AII23" s="64"/>
      <c r="AIJ23" s="64"/>
      <c r="AIK23" s="64"/>
      <c r="AIL23" s="64"/>
      <c r="AIM23" s="64"/>
      <c r="AIN23" s="64"/>
      <c r="AIO23" s="64"/>
      <c r="AIP23" s="64"/>
      <c r="AIQ23" s="64"/>
      <c r="AIR23" s="64"/>
      <c r="AIS23" s="64"/>
      <c r="AIT23" s="64"/>
      <c r="AIU23" s="64"/>
      <c r="AIV23" s="64"/>
      <c r="AIW23" s="64"/>
      <c r="AIX23" s="64"/>
      <c r="AIY23" s="64"/>
      <c r="AIZ23" s="64"/>
      <c r="AJA23" s="64"/>
      <c r="AJB23" s="64"/>
      <c r="AJC23" s="64"/>
      <c r="AJD23" s="64"/>
      <c r="AJE23" s="64"/>
      <c r="AJF23" s="64"/>
      <c r="AJG23" s="64"/>
      <c r="AJH23" s="64"/>
      <c r="AJI23" s="64"/>
      <c r="AJJ23" s="64"/>
      <c r="AJK23" s="64"/>
      <c r="AJL23" s="64"/>
      <c r="AJM23" s="64"/>
      <c r="AJN23" s="64"/>
      <c r="AJO23" s="64"/>
      <c r="AJP23" s="64"/>
      <c r="AJQ23" s="64"/>
      <c r="AJR23" s="64"/>
      <c r="AJS23" s="64"/>
      <c r="AJT23" s="64"/>
      <c r="AJU23" s="64"/>
      <c r="AJV23" s="64"/>
      <c r="AJW23" s="64"/>
      <c r="AJX23" s="64"/>
      <c r="AJY23" s="64"/>
      <c r="AJZ23" s="64"/>
      <c r="AKA23" s="64"/>
      <c r="AKB23" s="64"/>
      <c r="AKC23" s="64"/>
      <c r="AKD23" s="64"/>
      <c r="AKE23" s="64"/>
      <c r="AKF23" s="64"/>
      <c r="AKG23" s="64"/>
      <c r="AKH23" s="64"/>
      <c r="AKI23" s="64"/>
      <c r="AKJ23" s="64"/>
      <c r="AKK23" s="64"/>
      <c r="AKL23" s="64"/>
      <c r="AKM23" s="64"/>
      <c r="AKN23" s="64"/>
      <c r="AKO23" s="64"/>
      <c r="AKP23" s="64"/>
      <c r="AKQ23" s="64"/>
      <c r="AKR23" s="64"/>
      <c r="AKS23" s="64"/>
      <c r="AKT23" s="64"/>
      <c r="AKU23" s="64"/>
      <c r="AKV23" s="64"/>
      <c r="AKW23" s="64"/>
      <c r="AKX23" s="64"/>
      <c r="AKY23" s="64"/>
      <c r="AKZ23" s="64"/>
      <c r="ALA23" s="64"/>
      <c r="ALB23" s="64"/>
      <c r="ALC23" s="64"/>
      <c r="ALD23" s="64"/>
      <c r="ALE23" s="64"/>
      <c r="ALF23" s="64"/>
      <c r="ALG23" s="64"/>
      <c r="ALH23" s="64"/>
      <c r="ALI23" s="64"/>
      <c r="ALJ23" s="64"/>
      <c r="ALK23" s="64"/>
      <c r="ALL23" s="64"/>
      <c r="ALM23" s="64"/>
      <c r="ALN23" s="64"/>
      <c r="ALO23" s="64"/>
      <c r="ALP23" s="64"/>
      <c r="ALQ23" s="64"/>
      <c r="ALR23" s="64"/>
      <c r="ALS23" s="64"/>
      <c r="ALT23" s="64"/>
      <c r="ALU23" s="64"/>
      <c r="ALV23" s="64"/>
      <c r="ALW23" s="64"/>
      <c r="ALX23" s="64"/>
      <c r="ALY23" s="64"/>
      <c r="ALZ23" s="64"/>
      <c r="AMA23" s="64"/>
      <c r="AMB23" s="64"/>
      <c r="AMC23" s="64"/>
      <c r="AMD23" s="64"/>
      <c r="AME23" s="64"/>
      <c r="AMF23" s="64"/>
      <c r="AMG23" s="64"/>
      <c r="AMH23" s="64"/>
      <c r="AMI23" s="64"/>
      <c r="AMJ23" s="64"/>
      <c r="AMK23" s="64"/>
      <c r="AML23" s="64"/>
      <c r="AMM23" s="64"/>
      <c r="AMN23" s="64"/>
      <c r="AMO23" s="64"/>
      <c r="AMP23" s="64"/>
      <c r="AMQ23" s="64"/>
      <c r="AMR23" s="64"/>
      <c r="AMS23" s="64"/>
      <c r="AMT23" s="64"/>
      <c r="AMU23" s="64"/>
      <c r="AMV23" s="64"/>
      <c r="AMW23" s="64"/>
      <c r="AMX23" s="64"/>
      <c r="AMY23" s="64"/>
      <c r="AMZ23" s="64"/>
      <c r="ANA23" s="64"/>
      <c r="ANB23" s="64"/>
      <c r="ANC23" s="64"/>
      <c r="AND23" s="64"/>
      <c r="ANE23" s="64"/>
      <c r="ANF23" s="64"/>
      <c r="ANG23" s="64"/>
      <c r="ANH23" s="64"/>
      <c r="ANI23" s="64"/>
      <c r="ANJ23" s="64"/>
      <c r="ANK23" s="64"/>
      <c r="ANL23" s="64"/>
      <c r="ANM23" s="64"/>
      <c r="ANN23" s="64"/>
      <c r="ANO23" s="64"/>
      <c r="ANP23" s="64"/>
      <c r="ANQ23" s="64"/>
      <c r="ANR23" s="64"/>
      <c r="ANS23" s="64"/>
      <c r="ANT23" s="64"/>
      <c r="ANU23" s="64"/>
      <c r="ANV23" s="64"/>
      <c r="ANW23" s="64"/>
      <c r="ANX23" s="64"/>
      <c r="ANY23" s="64"/>
      <c r="ANZ23" s="64"/>
      <c r="AOA23" s="64"/>
      <c r="AOB23" s="64"/>
      <c r="AOC23" s="64"/>
      <c r="AOD23" s="64"/>
      <c r="AOE23" s="64"/>
      <c r="AOF23" s="64"/>
      <c r="AOG23" s="64"/>
      <c r="AOH23" s="64"/>
      <c r="AOI23" s="64"/>
      <c r="AOJ23" s="64"/>
      <c r="AOK23" s="64"/>
      <c r="AOL23" s="64"/>
      <c r="AOM23" s="64"/>
      <c r="AON23" s="64"/>
      <c r="AOO23" s="64"/>
      <c r="AOP23" s="64"/>
      <c r="AOQ23" s="64"/>
      <c r="AOR23" s="64"/>
      <c r="AOS23" s="64"/>
      <c r="AOT23" s="64"/>
      <c r="AOU23" s="64"/>
      <c r="AOV23" s="64"/>
      <c r="AOW23" s="64"/>
      <c r="AOX23" s="64"/>
      <c r="AOY23" s="64"/>
      <c r="AOZ23" s="64"/>
      <c r="APA23" s="64"/>
      <c r="APB23" s="64"/>
      <c r="APC23" s="64"/>
      <c r="APD23" s="64"/>
      <c r="APE23" s="64"/>
      <c r="APF23" s="64"/>
      <c r="APG23" s="64"/>
      <c r="APH23" s="64"/>
      <c r="API23" s="64"/>
      <c r="APJ23" s="64"/>
      <c r="APK23" s="64"/>
      <c r="APL23" s="64"/>
      <c r="APM23" s="64"/>
      <c r="APN23" s="64"/>
      <c r="APO23" s="64"/>
      <c r="APP23" s="64"/>
      <c r="APQ23" s="64"/>
      <c r="APR23" s="64"/>
      <c r="APS23" s="64"/>
      <c r="APT23" s="64"/>
      <c r="APU23" s="64"/>
      <c r="APV23" s="64"/>
      <c r="APW23" s="64"/>
      <c r="APX23" s="64"/>
      <c r="APY23" s="64"/>
      <c r="APZ23" s="64"/>
      <c r="AQA23" s="64"/>
      <c r="AQB23" s="64"/>
      <c r="AQC23" s="64"/>
      <c r="AQD23" s="64"/>
      <c r="AQE23" s="64"/>
      <c r="AQF23" s="64"/>
      <c r="AQG23" s="64"/>
      <c r="AQH23" s="64"/>
      <c r="AQI23" s="64"/>
      <c r="AQJ23" s="64"/>
      <c r="AQK23" s="64"/>
      <c r="AQL23" s="64"/>
      <c r="AQM23" s="64"/>
      <c r="AQN23" s="64"/>
      <c r="AQO23" s="64"/>
      <c r="AQP23" s="64"/>
      <c r="AQQ23" s="64"/>
      <c r="AQR23" s="64"/>
      <c r="AQS23" s="64"/>
      <c r="AQT23" s="64"/>
      <c r="AQU23" s="64"/>
      <c r="AQV23" s="64"/>
      <c r="AQW23" s="64"/>
      <c r="AQX23" s="64"/>
      <c r="AQY23" s="64"/>
      <c r="AQZ23" s="64"/>
      <c r="ARA23" s="64"/>
      <c r="ARB23" s="64"/>
      <c r="ARC23" s="64"/>
      <c r="ARD23" s="64"/>
      <c r="ARE23" s="64"/>
      <c r="ARF23" s="64"/>
      <c r="ARG23" s="64"/>
      <c r="ARH23" s="64"/>
      <c r="ARI23" s="64"/>
      <c r="ARJ23" s="64"/>
      <c r="ARK23" s="64"/>
      <c r="ARL23" s="64"/>
      <c r="ARM23" s="64"/>
      <c r="ARN23" s="64"/>
      <c r="ARO23" s="64"/>
      <c r="ARP23" s="64"/>
      <c r="ARQ23" s="64"/>
      <c r="ARR23" s="64"/>
      <c r="ARS23" s="64"/>
      <c r="ART23" s="64"/>
      <c r="ARU23" s="64"/>
      <c r="ARV23" s="64"/>
      <c r="ARW23" s="64"/>
      <c r="ARX23" s="64"/>
      <c r="ARY23" s="64"/>
      <c r="ARZ23" s="64"/>
      <c r="ASA23" s="64"/>
      <c r="ASB23" s="64"/>
      <c r="ASC23" s="64"/>
      <c r="ASD23" s="64"/>
      <c r="ASE23" s="64"/>
      <c r="ASF23" s="64"/>
      <c r="ASG23" s="64"/>
      <c r="ASH23" s="64"/>
      <c r="ASI23" s="64"/>
      <c r="ASJ23" s="64"/>
      <c r="ASK23" s="64"/>
      <c r="ASL23" s="64"/>
      <c r="ASM23" s="64"/>
      <c r="ASN23" s="64"/>
      <c r="ASO23" s="64"/>
      <c r="ASP23" s="64"/>
      <c r="ASQ23" s="64"/>
      <c r="ASR23" s="64"/>
      <c r="ASS23" s="64"/>
      <c r="AST23" s="64"/>
      <c r="ASU23" s="64"/>
      <c r="ASV23" s="64"/>
      <c r="ASW23" s="64"/>
      <c r="ASX23" s="64"/>
      <c r="ASY23" s="64"/>
      <c r="ASZ23" s="64"/>
      <c r="ATA23" s="64"/>
      <c r="ATB23" s="64"/>
      <c r="ATC23" s="64"/>
      <c r="ATD23" s="64"/>
      <c r="ATE23" s="64"/>
      <c r="ATF23" s="64"/>
      <c r="ATG23" s="64"/>
      <c r="ATH23" s="64"/>
      <c r="ATI23" s="64"/>
      <c r="ATJ23" s="64"/>
      <c r="ATK23" s="64"/>
      <c r="ATL23" s="64"/>
      <c r="ATM23" s="64"/>
      <c r="ATN23" s="64"/>
      <c r="ATO23" s="64"/>
      <c r="ATP23" s="64"/>
      <c r="ATQ23" s="64"/>
      <c r="ATR23" s="64"/>
      <c r="ATS23" s="64"/>
      <c r="ATT23" s="64"/>
      <c r="ATU23" s="64"/>
      <c r="ATV23" s="64"/>
      <c r="ATW23" s="64"/>
      <c r="ATX23" s="64"/>
      <c r="ATY23" s="64"/>
      <c r="ATZ23" s="64"/>
      <c r="AUA23" s="64"/>
      <c r="AUB23" s="64"/>
      <c r="AUC23" s="64"/>
      <c r="AUD23" s="64"/>
      <c r="AUE23" s="64"/>
      <c r="AUF23" s="64"/>
      <c r="AUG23" s="64"/>
      <c r="AUH23" s="64"/>
      <c r="AUI23" s="64"/>
      <c r="AUJ23" s="64"/>
      <c r="AUK23" s="64"/>
      <c r="AUL23" s="64"/>
      <c r="AUM23" s="64"/>
      <c r="AUN23" s="64"/>
      <c r="AUO23" s="64"/>
      <c r="AUP23" s="64"/>
      <c r="AUQ23" s="64"/>
      <c r="AUR23" s="64"/>
      <c r="AUS23" s="64"/>
      <c r="AUT23" s="64"/>
      <c r="AUU23" s="64"/>
      <c r="AUV23" s="64"/>
      <c r="AUW23" s="64"/>
      <c r="AUX23" s="64"/>
      <c r="AUY23" s="64"/>
      <c r="AUZ23" s="64"/>
      <c r="AVA23" s="64"/>
      <c r="AVB23" s="64"/>
      <c r="AVC23" s="64"/>
      <c r="AVD23" s="64"/>
      <c r="AVE23" s="64"/>
      <c r="AVF23" s="64"/>
      <c r="AVG23" s="64"/>
      <c r="AVH23" s="64"/>
      <c r="AVI23" s="64"/>
      <c r="AVJ23" s="64"/>
      <c r="AVK23" s="64"/>
      <c r="AVL23" s="64"/>
      <c r="AVM23" s="64"/>
      <c r="AVN23" s="64"/>
      <c r="AVO23" s="64"/>
      <c r="AVP23" s="64"/>
      <c r="AVQ23" s="64"/>
      <c r="AVR23" s="64"/>
      <c r="AVS23" s="64"/>
      <c r="AVT23" s="64"/>
      <c r="AVU23" s="64"/>
      <c r="AVV23" s="64"/>
      <c r="AVW23" s="64"/>
      <c r="AVX23" s="64"/>
      <c r="AVY23" s="64"/>
      <c r="AVZ23" s="64"/>
      <c r="AWA23" s="64"/>
      <c r="AWB23" s="64"/>
      <c r="AWC23" s="64"/>
      <c r="AWD23" s="64"/>
      <c r="AWE23" s="64"/>
      <c r="AWF23" s="64"/>
      <c r="AWG23" s="64"/>
      <c r="AWH23" s="64"/>
      <c r="AWI23" s="64"/>
      <c r="AWJ23" s="64"/>
      <c r="AWK23" s="64"/>
      <c r="AWL23" s="64"/>
      <c r="AWM23" s="64"/>
      <c r="AWN23" s="64"/>
      <c r="AWO23" s="64"/>
      <c r="AWP23" s="64"/>
      <c r="AWQ23" s="64"/>
      <c r="AWR23" s="64"/>
      <c r="AWS23" s="64"/>
      <c r="AWT23" s="64"/>
      <c r="AWU23" s="64"/>
      <c r="AWV23" s="64"/>
      <c r="AWW23" s="64"/>
      <c r="AWX23" s="64"/>
      <c r="AWY23" s="64"/>
      <c r="AWZ23" s="64"/>
      <c r="AXA23" s="64"/>
      <c r="AXB23" s="64"/>
      <c r="AXC23" s="64"/>
      <c r="AXD23" s="64"/>
      <c r="AXE23" s="64"/>
      <c r="AXF23" s="64"/>
      <c r="AXG23" s="64"/>
      <c r="AXH23" s="64"/>
      <c r="AXI23" s="64"/>
      <c r="AXJ23" s="64"/>
      <c r="AXK23" s="64"/>
      <c r="AXL23" s="64"/>
      <c r="AXM23" s="64"/>
      <c r="AXN23" s="64"/>
      <c r="AXO23" s="64"/>
      <c r="AXP23" s="64"/>
      <c r="AXQ23" s="64"/>
      <c r="AXR23" s="64"/>
      <c r="AXS23" s="64"/>
      <c r="AXT23" s="64"/>
      <c r="AXU23" s="64"/>
      <c r="AXV23" s="64"/>
      <c r="AXW23" s="64"/>
      <c r="AXX23" s="64"/>
      <c r="AXY23" s="64"/>
      <c r="AXZ23" s="64"/>
      <c r="AYA23" s="64"/>
      <c r="AYB23" s="64"/>
      <c r="AYC23" s="64"/>
      <c r="AYD23" s="64"/>
      <c r="AYE23" s="64"/>
      <c r="AYF23" s="64"/>
      <c r="AYG23" s="64"/>
      <c r="AYH23" s="64"/>
      <c r="AYI23" s="64"/>
      <c r="AYJ23" s="64"/>
      <c r="AYK23" s="64"/>
      <c r="AYL23" s="64"/>
      <c r="AYM23" s="64"/>
      <c r="AYN23" s="64"/>
      <c r="AYO23" s="64"/>
      <c r="AYP23" s="64"/>
      <c r="AYQ23" s="64"/>
      <c r="AYR23" s="64"/>
      <c r="AYS23" s="64"/>
      <c r="AYT23" s="64"/>
      <c r="AYU23" s="64"/>
      <c r="AYV23" s="64"/>
      <c r="AYW23" s="64"/>
      <c r="AYX23" s="64"/>
      <c r="AYY23" s="64"/>
      <c r="AYZ23" s="64"/>
      <c r="AZA23" s="64"/>
      <c r="AZB23" s="64"/>
      <c r="AZC23" s="64"/>
      <c r="AZD23" s="64"/>
      <c r="AZE23" s="64"/>
      <c r="AZF23" s="64"/>
      <c r="AZG23" s="64"/>
      <c r="AZH23" s="64"/>
      <c r="AZI23" s="64"/>
      <c r="AZJ23" s="64"/>
      <c r="AZK23" s="64"/>
      <c r="AZL23" s="64"/>
      <c r="AZM23" s="64"/>
      <c r="AZN23" s="64"/>
      <c r="AZO23" s="64"/>
      <c r="AZP23" s="64"/>
      <c r="AZQ23" s="64"/>
      <c r="AZR23" s="64"/>
      <c r="AZS23" s="64"/>
      <c r="AZT23" s="64"/>
      <c r="AZU23" s="64"/>
      <c r="AZV23" s="64"/>
      <c r="AZW23" s="64"/>
      <c r="AZX23" s="64"/>
      <c r="AZY23" s="64"/>
      <c r="AZZ23" s="64"/>
      <c r="BAA23" s="64"/>
      <c r="BAB23" s="64"/>
      <c r="BAC23" s="64"/>
      <c r="BAD23" s="64"/>
      <c r="BAE23" s="64"/>
      <c r="BAF23" s="64"/>
      <c r="BAG23" s="64"/>
      <c r="BAH23" s="64"/>
      <c r="BAI23" s="64"/>
      <c r="BAJ23" s="64"/>
      <c r="BAK23" s="64"/>
      <c r="BAL23" s="64"/>
      <c r="BAM23" s="64"/>
      <c r="BAN23" s="64"/>
      <c r="BAO23" s="64"/>
      <c r="BAP23" s="64"/>
      <c r="BAQ23" s="64"/>
      <c r="BAR23" s="64"/>
      <c r="BAS23" s="64"/>
      <c r="BAT23" s="64"/>
      <c r="BAU23" s="64"/>
      <c r="BAV23" s="64"/>
      <c r="BAW23" s="64"/>
      <c r="BAX23" s="64"/>
      <c r="BAY23" s="64"/>
      <c r="BAZ23" s="64"/>
      <c r="BBA23" s="64"/>
      <c r="BBB23" s="64"/>
      <c r="BBC23" s="64"/>
      <c r="BBD23" s="64"/>
      <c r="BBE23" s="64"/>
      <c r="BBF23" s="64"/>
      <c r="BBG23" s="64"/>
      <c r="BBH23" s="64"/>
      <c r="BBI23" s="64"/>
      <c r="BBJ23" s="64"/>
      <c r="BBK23" s="64"/>
      <c r="BBL23" s="64"/>
      <c r="BBM23" s="64"/>
      <c r="BBN23" s="64"/>
      <c r="BBO23" s="64"/>
      <c r="BBP23" s="64"/>
      <c r="BBQ23" s="64"/>
      <c r="BBR23" s="64"/>
      <c r="BBS23" s="64"/>
      <c r="BBT23" s="64"/>
      <c r="BBU23" s="64"/>
      <c r="BBV23" s="64"/>
      <c r="BBW23" s="64"/>
      <c r="BBX23" s="64"/>
      <c r="BBY23" s="64"/>
      <c r="BBZ23" s="64"/>
      <c r="BCA23" s="64"/>
      <c r="BCB23" s="64"/>
      <c r="BCC23" s="64"/>
      <c r="BCD23" s="64"/>
      <c r="BCE23" s="64"/>
      <c r="BCF23" s="64"/>
      <c r="BCG23" s="64"/>
      <c r="BCH23" s="64"/>
      <c r="BCI23" s="64"/>
      <c r="BCJ23" s="64"/>
      <c r="BCK23" s="64"/>
      <c r="BCL23" s="64"/>
      <c r="BCM23" s="64"/>
      <c r="BCN23" s="64"/>
      <c r="BCO23" s="64"/>
      <c r="BCP23" s="64"/>
      <c r="BCQ23" s="64"/>
      <c r="BCR23" s="64"/>
      <c r="BCS23" s="64"/>
      <c r="BCT23" s="64"/>
      <c r="BCU23" s="64"/>
      <c r="BCV23" s="64"/>
      <c r="BCW23" s="64"/>
      <c r="BCX23" s="64"/>
      <c r="BCY23" s="64"/>
      <c r="BCZ23" s="64"/>
      <c r="BDA23" s="64"/>
      <c r="BDB23" s="64"/>
      <c r="BDC23" s="64"/>
      <c r="BDD23" s="64"/>
      <c r="BDE23" s="64"/>
      <c r="BDF23" s="64"/>
      <c r="BDG23" s="64"/>
      <c r="BDH23" s="64"/>
      <c r="BDI23" s="64"/>
      <c r="BDJ23" s="64"/>
      <c r="BDK23" s="64"/>
      <c r="BDL23" s="64"/>
      <c r="BDM23" s="64"/>
      <c r="BDN23" s="64"/>
      <c r="BDO23" s="64"/>
      <c r="BDP23" s="64"/>
      <c r="BDQ23" s="64"/>
      <c r="BDR23" s="64"/>
      <c r="BDS23" s="64"/>
      <c r="BDT23" s="64"/>
      <c r="BDU23" s="64"/>
      <c r="BDV23" s="64"/>
      <c r="BDW23" s="64"/>
      <c r="BDX23" s="64"/>
      <c r="BDY23" s="64"/>
      <c r="BDZ23" s="64"/>
      <c r="BEA23" s="64"/>
      <c r="BEB23" s="64"/>
      <c r="BEC23" s="64"/>
      <c r="BED23" s="64"/>
      <c r="BEE23" s="64"/>
      <c r="BEF23" s="64"/>
      <c r="BEG23" s="64"/>
      <c r="BEH23" s="64"/>
      <c r="BEI23" s="64"/>
      <c r="BEJ23" s="64"/>
      <c r="BEK23" s="64"/>
      <c r="BEL23" s="64"/>
      <c r="BEM23" s="64"/>
      <c r="BEN23" s="64"/>
      <c r="BEO23" s="64"/>
      <c r="BEP23" s="64"/>
      <c r="BEQ23" s="64"/>
      <c r="BER23" s="64"/>
      <c r="BES23" s="64"/>
      <c r="BET23" s="64"/>
      <c r="BEU23" s="64"/>
      <c r="BEV23" s="64"/>
      <c r="BEW23" s="64"/>
      <c r="BEX23" s="64"/>
      <c r="BEY23" s="64"/>
      <c r="BEZ23" s="64"/>
      <c r="BFA23" s="64"/>
      <c r="BFB23" s="64"/>
      <c r="BFC23" s="64"/>
      <c r="BFD23" s="64"/>
      <c r="BFE23" s="64"/>
      <c r="BFF23" s="64"/>
      <c r="BFG23" s="64"/>
      <c r="BFH23" s="64"/>
      <c r="BFI23" s="64"/>
      <c r="BFJ23" s="64"/>
      <c r="BFK23" s="64"/>
      <c r="BFL23" s="64"/>
      <c r="BFM23" s="64"/>
      <c r="BFN23" s="64"/>
      <c r="BFO23" s="64"/>
      <c r="BFP23" s="64"/>
      <c r="BFQ23" s="64"/>
      <c r="BFR23" s="64"/>
      <c r="BFS23" s="64"/>
      <c r="BFT23" s="64"/>
      <c r="BFU23" s="64"/>
      <c r="BFV23" s="64"/>
      <c r="BFW23" s="64"/>
      <c r="BFX23" s="64"/>
      <c r="BFY23" s="64"/>
      <c r="BFZ23" s="64"/>
      <c r="BGA23" s="64"/>
      <c r="BGB23" s="64"/>
      <c r="BGC23" s="64"/>
      <c r="BGD23" s="64"/>
      <c r="BGE23" s="64"/>
      <c r="BGF23" s="64"/>
      <c r="BGG23" s="64"/>
      <c r="BGH23" s="64"/>
      <c r="BGI23" s="64"/>
      <c r="BGJ23" s="64"/>
      <c r="BGK23" s="64"/>
      <c r="BGL23" s="64"/>
      <c r="BGM23" s="64"/>
      <c r="BGN23" s="64"/>
      <c r="BGO23" s="64"/>
      <c r="BGP23" s="64"/>
      <c r="BGQ23" s="64"/>
      <c r="BGR23" s="64"/>
      <c r="BGS23" s="64"/>
      <c r="BGT23" s="64"/>
      <c r="BGU23" s="64"/>
      <c r="BGV23" s="64"/>
      <c r="BGW23" s="64"/>
      <c r="BGX23" s="64"/>
      <c r="BGY23" s="64"/>
      <c r="BGZ23" s="64"/>
      <c r="BHA23" s="64"/>
      <c r="BHB23" s="64"/>
      <c r="BHC23" s="64"/>
      <c r="BHD23" s="64"/>
      <c r="BHE23" s="64"/>
      <c r="BHF23" s="64"/>
      <c r="BHG23" s="64"/>
      <c r="BHH23" s="64"/>
      <c r="BHI23" s="64"/>
      <c r="BHJ23" s="64"/>
      <c r="BHK23" s="64"/>
      <c r="BHL23" s="64"/>
      <c r="BHM23" s="64"/>
      <c r="BHN23" s="64"/>
      <c r="BHO23" s="64"/>
      <c r="BHP23" s="64"/>
      <c r="BHQ23" s="64"/>
      <c r="BHR23" s="64"/>
      <c r="BHS23" s="64"/>
      <c r="BHT23" s="64"/>
      <c r="BHU23" s="64"/>
      <c r="BHV23" s="64"/>
      <c r="BHW23" s="64"/>
      <c r="BHX23" s="64"/>
      <c r="BHY23" s="64"/>
      <c r="BHZ23" s="64"/>
      <c r="BIA23" s="64"/>
      <c r="BIB23" s="64"/>
      <c r="BIC23" s="64"/>
      <c r="BID23" s="64"/>
      <c r="BIE23" s="64"/>
      <c r="BIF23" s="64"/>
      <c r="BIG23" s="64"/>
      <c r="BIH23" s="64"/>
      <c r="BII23" s="64"/>
      <c r="BIJ23" s="64"/>
      <c r="BIK23" s="64"/>
      <c r="BIL23" s="64"/>
      <c r="BIM23" s="64"/>
      <c r="BIN23" s="64"/>
      <c r="BIO23" s="64"/>
      <c r="BIP23" s="64"/>
      <c r="BIQ23" s="64"/>
      <c r="BIR23" s="64"/>
      <c r="BIS23" s="64"/>
      <c r="BIT23" s="64"/>
      <c r="BIU23" s="64"/>
      <c r="BIV23" s="64"/>
      <c r="BIW23" s="64"/>
      <c r="BIX23" s="64"/>
      <c r="BIY23" s="64"/>
      <c r="BIZ23" s="64"/>
      <c r="BJA23" s="64"/>
      <c r="BJB23" s="64"/>
      <c r="BJC23" s="64"/>
      <c r="BJD23" s="64"/>
      <c r="BJE23" s="64"/>
      <c r="BJF23" s="64"/>
      <c r="BJG23" s="64"/>
      <c r="BJH23" s="64"/>
      <c r="BJI23" s="64"/>
      <c r="BJJ23" s="64"/>
      <c r="BJK23" s="64"/>
      <c r="BJL23" s="64"/>
      <c r="BJM23" s="64"/>
      <c r="BJN23" s="64"/>
      <c r="BJO23" s="64"/>
      <c r="BJP23" s="64"/>
      <c r="BJQ23" s="64"/>
      <c r="BJR23" s="64"/>
      <c r="BJS23" s="64"/>
      <c r="BJT23" s="64"/>
      <c r="BJU23" s="64"/>
      <c r="BJV23" s="64"/>
      <c r="BJW23" s="64"/>
      <c r="BJX23" s="64"/>
      <c r="BJY23" s="64"/>
      <c r="BJZ23" s="64"/>
      <c r="BKA23" s="64"/>
      <c r="BKB23" s="64"/>
      <c r="BKC23" s="64"/>
      <c r="BKD23" s="64"/>
      <c r="BKE23" s="64"/>
      <c r="BKF23" s="64"/>
      <c r="BKG23" s="64"/>
      <c r="BKH23" s="64"/>
      <c r="BKI23" s="64"/>
      <c r="BKJ23" s="64"/>
      <c r="BKK23" s="64"/>
      <c r="BKL23" s="64"/>
      <c r="BKM23" s="64"/>
      <c r="BKN23" s="64"/>
      <c r="BKO23" s="64"/>
      <c r="BKP23" s="64"/>
      <c r="BKQ23" s="64"/>
      <c r="BKR23" s="64"/>
      <c r="BKS23" s="64"/>
      <c r="BKT23" s="64"/>
      <c r="BKU23" s="64"/>
      <c r="BKV23" s="64"/>
      <c r="BKW23" s="64"/>
      <c r="BKX23" s="64"/>
      <c r="BKY23" s="64"/>
      <c r="BKZ23" s="64"/>
      <c r="BLA23" s="64"/>
      <c r="BLB23" s="64"/>
      <c r="BLC23" s="64"/>
      <c r="BLD23" s="64"/>
      <c r="BLE23" s="64"/>
      <c r="BLF23" s="64"/>
      <c r="BLG23" s="64"/>
      <c r="BLH23" s="64"/>
      <c r="BLI23" s="64"/>
      <c r="BLJ23" s="64"/>
      <c r="BLK23" s="64"/>
      <c r="BLL23" s="64"/>
      <c r="BLM23" s="64"/>
      <c r="BLN23" s="64"/>
      <c r="BLO23" s="64"/>
      <c r="BLP23" s="64"/>
      <c r="BLQ23" s="64"/>
      <c r="BLR23" s="64"/>
      <c r="BLS23" s="64"/>
      <c r="BLT23" s="64"/>
      <c r="BLU23" s="64"/>
      <c r="BLV23" s="64"/>
      <c r="BLW23" s="64"/>
      <c r="BLX23" s="64"/>
      <c r="BLY23" s="64"/>
      <c r="BLZ23" s="64"/>
      <c r="BMA23" s="64"/>
      <c r="BMB23" s="64"/>
      <c r="BMC23" s="64"/>
      <c r="BMD23" s="64"/>
      <c r="BME23" s="64"/>
      <c r="BMF23" s="64"/>
      <c r="BMG23" s="64"/>
      <c r="BMH23" s="64"/>
      <c r="BMI23" s="64"/>
      <c r="BMJ23" s="64"/>
      <c r="BMK23" s="64"/>
      <c r="BML23" s="64"/>
      <c r="BMM23" s="64"/>
      <c r="BMN23" s="64"/>
      <c r="BMO23" s="64"/>
      <c r="BMP23" s="64"/>
      <c r="BMQ23" s="64"/>
      <c r="BMR23" s="64"/>
      <c r="BMS23" s="64"/>
      <c r="BMT23" s="64"/>
      <c r="BMU23" s="64"/>
      <c r="BMV23" s="64"/>
      <c r="BMW23" s="64"/>
      <c r="BMX23" s="64"/>
      <c r="BMY23" s="64"/>
      <c r="BMZ23" s="64"/>
      <c r="BNA23" s="64"/>
      <c r="BNB23" s="64"/>
      <c r="BNC23" s="64"/>
      <c r="BND23" s="64"/>
      <c r="BNE23" s="64"/>
      <c r="BNF23" s="64"/>
      <c r="BNG23" s="64"/>
      <c r="BNH23" s="64"/>
      <c r="BNI23" s="64"/>
      <c r="BNJ23" s="64"/>
      <c r="BNK23" s="64"/>
      <c r="BNL23" s="64"/>
      <c r="BNM23" s="64"/>
      <c r="BNN23" s="64"/>
      <c r="BNO23" s="64"/>
      <c r="BNP23" s="64"/>
      <c r="BNQ23" s="64"/>
      <c r="BNR23" s="64"/>
      <c r="BNS23" s="64"/>
      <c r="BNT23" s="64"/>
      <c r="BNU23" s="64"/>
      <c r="BNV23" s="64"/>
      <c r="BNW23" s="64"/>
      <c r="BNX23" s="64"/>
      <c r="BNY23" s="64"/>
      <c r="BNZ23" s="64"/>
      <c r="BOA23" s="64"/>
      <c r="BOB23" s="64"/>
      <c r="BOC23" s="64"/>
      <c r="BOD23" s="64"/>
      <c r="BOE23" s="64"/>
      <c r="BOF23" s="64"/>
      <c r="BOG23" s="64"/>
      <c r="BOH23" s="64"/>
      <c r="BOI23" s="64"/>
      <c r="BOJ23" s="64"/>
      <c r="BOK23" s="64"/>
      <c r="BOL23" s="64"/>
      <c r="BOM23" s="64"/>
      <c r="BON23" s="64"/>
      <c r="BOO23" s="64"/>
      <c r="BOP23" s="64"/>
      <c r="BOQ23" s="64"/>
      <c r="BOR23" s="64"/>
      <c r="BOS23" s="64"/>
      <c r="BOT23" s="64"/>
      <c r="BOU23" s="64"/>
      <c r="BOV23" s="64"/>
      <c r="BOW23" s="64"/>
      <c r="BOX23" s="64"/>
      <c r="BOY23" s="64"/>
      <c r="BOZ23" s="64"/>
      <c r="BPA23" s="64"/>
      <c r="BPB23" s="64"/>
      <c r="BPC23" s="64"/>
      <c r="BPD23" s="64"/>
      <c r="BPE23" s="64"/>
      <c r="BPF23" s="64"/>
      <c r="BPG23" s="64"/>
      <c r="BPH23" s="64"/>
      <c r="BPI23" s="64"/>
      <c r="BPJ23" s="64"/>
      <c r="BPK23" s="64"/>
      <c r="BPL23" s="64"/>
      <c r="BPM23" s="64"/>
      <c r="BPN23" s="64"/>
      <c r="BPO23" s="64"/>
      <c r="BPP23" s="64"/>
      <c r="BPQ23" s="64"/>
      <c r="BPR23" s="64"/>
      <c r="BPS23" s="64"/>
      <c r="BPT23" s="64"/>
      <c r="BPU23" s="64"/>
      <c r="BPV23" s="64"/>
      <c r="BPW23" s="64"/>
      <c r="BPX23" s="64"/>
      <c r="BPY23" s="64"/>
      <c r="BPZ23" s="64"/>
      <c r="BQA23" s="64"/>
      <c r="BQB23" s="64"/>
      <c r="BQC23" s="64"/>
      <c r="BQD23" s="64"/>
      <c r="BQE23" s="64"/>
      <c r="BQF23" s="64"/>
      <c r="BQG23" s="64"/>
      <c r="BQH23" s="64"/>
      <c r="BQI23" s="64"/>
      <c r="BQJ23" s="64"/>
      <c r="BQK23" s="64"/>
      <c r="BQL23" s="64"/>
      <c r="BQM23" s="64"/>
      <c r="BQN23" s="64"/>
      <c r="BQO23" s="64"/>
      <c r="BQP23" s="64"/>
      <c r="BQQ23" s="64"/>
      <c r="BQR23" s="64"/>
      <c r="BQS23" s="64"/>
      <c r="BQT23" s="64"/>
      <c r="BQU23" s="64"/>
      <c r="BQV23" s="64"/>
      <c r="BQW23" s="64"/>
      <c r="BQX23" s="64"/>
      <c r="BQY23" s="64"/>
      <c r="BQZ23" s="64"/>
      <c r="BRA23" s="64"/>
      <c r="BRB23" s="64"/>
      <c r="BRC23" s="64"/>
      <c r="BRD23" s="64"/>
      <c r="BRE23" s="64"/>
      <c r="BRF23" s="64"/>
      <c r="BRG23" s="64"/>
      <c r="BRH23" s="64"/>
      <c r="BRI23" s="64"/>
      <c r="BRJ23" s="64"/>
      <c r="BRK23" s="64"/>
      <c r="BRL23" s="64"/>
      <c r="BRM23" s="64"/>
      <c r="BRN23" s="64"/>
      <c r="BRO23" s="64"/>
      <c r="BRP23" s="64"/>
      <c r="BRQ23" s="64"/>
      <c r="BRR23" s="64"/>
      <c r="BRS23" s="64"/>
      <c r="BRT23" s="64"/>
      <c r="BRU23" s="64"/>
      <c r="BRV23" s="64"/>
      <c r="BRW23" s="64"/>
      <c r="BRX23" s="64"/>
      <c r="BRY23" s="64"/>
      <c r="BRZ23" s="64"/>
      <c r="BSA23" s="64"/>
      <c r="BSB23" s="64"/>
      <c r="BSC23" s="64"/>
      <c r="BSD23" s="64"/>
      <c r="BSE23" s="64"/>
      <c r="BSF23" s="64"/>
      <c r="BSG23" s="64"/>
      <c r="BSH23" s="64"/>
      <c r="BSI23" s="64"/>
      <c r="BSJ23" s="64"/>
      <c r="BSK23" s="64"/>
      <c r="BSL23" s="64"/>
      <c r="BSM23" s="64"/>
      <c r="BSN23" s="64"/>
      <c r="BSO23" s="64"/>
      <c r="BSP23" s="64"/>
      <c r="BSQ23" s="64"/>
      <c r="BSR23" s="64"/>
      <c r="BSS23" s="64"/>
      <c r="BST23" s="64"/>
      <c r="BSU23" s="64"/>
      <c r="BSV23" s="64"/>
      <c r="BSW23" s="64"/>
      <c r="BSX23" s="64"/>
      <c r="BSY23" s="64"/>
      <c r="BSZ23" s="64"/>
      <c r="BTA23" s="64"/>
      <c r="BTB23" s="64"/>
      <c r="BTC23" s="64"/>
      <c r="BTD23" s="64"/>
      <c r="BTE23" s="64"/>
      <c r="BTF23" s="64"/>
      <c r="BTG23" s="64"/>
      <c r="BTH23" s="64"/>
      <c r="BTI23" s="64"/>
      <c r="BTJ23" s="64"/>
      <c r="BTK23" s="64"/>
      <c r="BTL23" s="64"/>
      <c r="BTM23" s="64"/>
      <c r="BTN23" s="64"/>
      <c r="BTO23" s="64"/>
      <c r="BTP23" s="64"/>
      <c r="BTQ23" s="64"/>
      <c r="BTR23" s="64"/>
      <c r="BTS23" s="64"/>
      <c r="BTT23" s="64"/>
      <c r="BTU23" s="64"/>
      <c r="BTV23" s="64"/>
      <c r="BTW23" s="64"/>
      <c r="BTX23" s="64"/>
      <c r="BTY23" s="64"/>
      <c r="BTZ23" s="64"/>
      <c r="BUA23" s="64"/>
      <c r="BUB23" s="64"/>
      <c r="BUC23" s="64"/>
      <c r="BUD23" s="64"/>
      <c r="BUE23" s="64"/>
      <c r="BUF23" s="64"/>
      <c r="BUG23" s="64"/>
      <c r="BUH23" s="64"/>
      <c r="BUI23" s="64"/>
      <c r="BUJ23" s="64"/>
      <c r="BUK23" s="64"/>
      <c r="BUL23" s="64"/>
      <c r="BUM23" s="64"/>
      <c r="BUN23" s="64"/>
      <c r="BUO23" s="64"/>
      <c r="BUP23" s="64"/>
      <c r="BUQ23" s="64"/>
      <c r="BUR23" s="64"/>
      <c r="BUS23" s="64"/>
      <c r="BUT23" s="64"/>
      <c r="BUU23" s="64"/>
      <c r="BUV23" s="64"/>
      <c r="BUW23" s="64"/>
      <c r="BUX23" s="64"/>
      <c r="BUY23" s="64"/>
      <c r="BUZ23" s="64"/>
      <c r="BVA23" s="64"/>
      <c r="BVB23" s="64"/>
      <c r="BVC23" s="64"/>
      <c r="BVD23" s="64"/>
      <c r="BVE23" s="64"/>
      <c r="BVF23" s="64"/>
      <c r="BVG23" s="64"/>
      <c r="BVH23" s="64"/>
      <c r="BVI23" s="64"/>
      <c r="BVJ23" s="64"/>
      <c r="BVK23" s="64"/>
      <c r="BVL23" s="64"/>
      <c r="BVM23" s="64"/>
      <c r="BVN23" s="64"/>
      <c r="BVO23" s="64"/>
      <c r="BVP23" s="64"/>
      <c r="BVQ23" s="64"/>
      <c r="BVR23" s="64"/>
      <c r="BVS23" s="64"/>
      <c r="BVT23" s="64"/>
      <c r="BVU23" s="64"/>
      <c r="BVV23" s="64"/>
      <c r="BVW23" s="64"/>
      <c r="BVX23" s="64"/>
      <c r="BVY23" s="64"/>
      <c r="BVZ23" s="64"/>
      <c r="BWA23" s="64"/>
      <c r="BWB23" s="64"/>
      <c r="BWC23" s="64"/>
      <c r="BWD23" s="64"/>
      <c r="BWE23" s="64"/>
      <c r="BWF23" s="64"/>
      <c r="BWG23" s="64"/>
      <c r="BWH23" s="64"/>
      <c r="BWI23" s="64"/>
      <c r="BWJ23" s="64"/>
      <c r="BWK23" s="64"/>
      <c r="BWL23" s="64"/>
      <c r="BWM23" s="64"/>
      <c r="BWN23" s="64"/>
      <c r="BWO23" s="64"/>
      <c r="BWP23" s="64"/>
      <c r="BWQ23" s="64"/>
      <c r="BWR23" s="64"/>
      <c r="BWS23" s="64"/>
      <c r="BWT23" s="64"/>
      <c r="BWU23" s="64"/>
      <c r="BWV23" s="64"/>
      <c r="BWW23" s="64"/>
      <c r="BWX23" s="64"/>
      <c r="BWY23" s="64"/>
      <c r="BWZ23" s="64"/>
      <c r="BXA23" s="64"/>
      <c r="BXB23" s="64"/>
      <c r="BXC23" s="64"/>
      <c r="BXD23" s="64"/>
      <c r="BXE23" s="64"/>
      <c r="BXF23" s="64"/>
      <c r="BXG23" s="64"/>
      <c r="BXH23" s="64"/>
      <c r="BXI23" s="64"/>
      <c r="BXJ23" s="64"/>
      <c r="BXK23" s="64"/>
      <c r="BXL23" s="64"/>
      <c r="BXM23" s="64"/>
      <c r="BXN23" s="64"/>
      <c r="BXO23" s="64"/>
      <c r="BXP23" s="64"/>
      <c r="BXQ23" s="64"/>
      <c r="BXR23" s="64"/>
      <c r="BXS23" s="64"/>
      <c r="BXT23" s="64"/>
      <c r="BXU23" s="64"/>
      <c r="BXV23" s="64"/>
      <c r="BXW23" s="64"/>
      <c r="BXX23" s="64"/>
      <c r="BXY23" s="64"/>
      <c r="BXZ23" s="64"/>
      <c r="BYA23" s="64"/>
      <c r="BYB23" s="64"/>
      <c r="BYC23" s="64"/>
      <c r="BYD23" s="64"/>
      <c r="BYE23" s="64"/>
      <c r="BYF23" s="64"/>
      <c r="BYG23" s="64"/>
      <c r="BYH23" s="64"/>
      <c r="BYI23" s="64"/>
      <c r="BYJ23" s="64"/>
      <c r="BYK23" s="64"/>
      <c r="BYL23" s="64"/>
      <c r="BYM23" s="64"/>
      <c r="BYN23" s="64"/>
      <c r="BYO23" s="64"/>
      <c r="BYP23" s="64"/>
      <c r="BYQ23" s="64"/>
      <c r="BYR23" s="64"/>
      <c r="BYS23" s="64"/>
      <c r="BYT23" s="64"/>
      <c r="BYU23" s="64"/>
      <c r="BYV23" s="64"/>
      <c r="BYW23" s="64"/>
      <c r="BYX23" s="64"/>
      <c r="BYY23" s="64"/>
      <c r="BYZ23" s="64"/>
      <c r="BZA23" s="64"/>
      <c r="BZB23" s="64"/>
      <c r="BZC23" s="64"/>
      <c r="BZD23" s="64"/>
      <c r="BZE23" s="64"/>
      <c r="BZF23" s="64"/>
      <c r="BZG23" s="64"/>
      <c r="BZH23" s="64"/>
      <c r="BZI23" s="64"/>
      <c r="BZJ23" s="64"/>
      <c r="BZK23" s="64"/>
      <c r="BZL23" s="64"/>
      <c r="BZM23" s="64"/>
      <c r="BZN23" s="64"/>
      <c r="BZO23" s="64"/>
      <c r="BZP23" s="64"/>
      <c r="BZQ23" s="64"/>
      <c r="BZR23" s="64"/>
      <c r="BZS23" s="64"/>
      <c r="BZT23" s="64"/>
      <c r="BZU23" s="64"/>
      <c r="BZV23" s="64"/>
      <c r="BZW23" s="64"/>
      <c r="BZX23" s="64"/>
      <c r="BZY23" s="64"/>
      <c r="BZZ23" s="64"/>
      <c r="CAA23" s="64"/>
      <c r="CAB23" s="64"/>
      <c r="CAC23" s="64"/>
      <c r="CAD23" s="64"/>
      <c r="CAE23" s="64"/>
      <c r="CAF23" s="64"/>
      <c r="CAG23" s="64"/>
      <c r="CAH23" s="64"/>
      <c r="CAI23" s="64"/>
      <c r="CAJ23" s="64"/>
      <c r="CAK23" s="64"/>
      <c r="CAL23" s="64"/>
      <c r="CAM23" s="64"/>
      <c r="CAN23" s="64"/>
      <c r="CAO23" s="64"/>
      <c r="CAP23" s="64"/>
      <c r="CAQ23" s="64"/>
      <c r="CAR23" s="64"/>
      <c r="CAS23" s="64"/>
      <c r="CAT23" s="64"/>
      <c r="CAU23" s="64"/>
      <c r="CAV23" s="64"/>
      <c r="CAW23" s="64"/>
      <c r="CAX23" s="64"/>
      <c r="CAY23" s="64"/>
      <c r="CAZ23" s="64"/>
      <c r="CBA23" s="64"/>
      <c r="CBB23" s="64"/>
      <c r="CBC23" s="64"/>
      <c r="CBD23" s="64"/>
      <c r="CBE23" s="64"/>
      <c r="CBF23" s="64"/>
      <c r="CBG23" s="64"/>
      <c r="CBH23" s="64"/>
      <c r="CBI23" s="64"/>
      <c r="CBJ23" s="64"/>
      <c r="CBK23" s="64"/>
      <c r="CBL23" s="64"/>
      <c r="CBM23" s="64"/>
      <c r="CBN23" s="64"/>
      <c r="CBO23" s="64"/>
      <c r="CBP23" s="64"/>
      <c r="CBQ23" s="64"/>
      <c r="CBR23" s="64"/>
      <c r="CBS23" s="64"/>
      <c r="CBT23" s="64"/>
      <c r="CBU23" s="64"/>
      <c r="CBV23" s="64"/>
      <c r="CBW23" s="64"/>
      <c r="CBX23" s="64"/>
      <c r="CBY23" s="64"/>
      <c r="CBZ23" s="64"/>
      <c r="CCA23" s="64"/>
      <c r="CCB23" s="64"/>
      <c r="CCC23" s="64"/>
      <c r="CCD23" s="64"/>
      <c r="CCE23" s="64"/>
      <c r="CCF23" s="64"/>
      <c r="CCG23" s="64"/>
      <c r="CCH23" s="64"/>
      <c r="CCI23" s="64"/>
      <c r="CCJ23" s="64"/>
      <c r="CCK23" s="64"/>
      <c r="CCL23" s="64"/>
      <c r="CCM23" s="64"/>
      <c r="CCN23" s="64"/>
      <c r="CCO23" s="64"/>
      <c r="CCP23" s="64"/>
      <c r="CCQ23" s="64"/>
      <c r="CCR23" s="64"/>
      <c r="CCS23" s="64"/>
      <c r="CCT23" s="64"/>
      <c r="CCU23" s="64"/>
      <c r="CCV23" s="64"/>
      <c r="CCW23" s="64"/>
      <c r="CCX23" s="64"/>
      <c r="CCY23" s="64"/>
      <c r="CCZ23" s="64"/>
      <c r="CDA23" s="64"/>
      <c r="CDB23" s="64"/>
      <c r="CDC23" s="64"/>
      <c r="CDD23" s="64"/>
      <c r="CDE23" s="64"/>
      <c r="CDF23" s="64"/>
      <c r="CDG23" s="64"/>
      <c r="CDH23" s="64"/>
      <c r="CDI23" s="64"/>
      <c r="CDJ23" s="64"/>
      <c r="CDK23" s="64"/>
      <c r="CDL23" s="64"/>
      <c r="CDM23" s="64"/>
      <c r="CDN23" s="64"/>
      <c r="CDO23" s="64"/>
      <c r="CDP23" s="64"/>
      <c r="CDQ23" s="64"/>
      <c r="CDR23" s="64"/>
      <c r="CDS23" s="64"/>
      <c r="CDT23" s="64"/>
      <c r="CDU23" s="64"/>
      <c r="CDV23" s="64"/>
      <c r="CDW23" s="64"/>
      <c r="CDX23" s="64"/>
      <c r="CDY23" s="64"/>
      <c r="CDZ23" s="64"/>
      <c r="CEA23" s="64"/>
      <c r="CEB23" s="64"/>
      <c r="CEC23" s="64"/>
      <c r="CED23" s="64"/>
      <c r="CEE23" s="64"/>
      <c r="CEF23" s="64"/>
      <c r="CEG23" s="64"/>
      <c r="CEH23" s="64"/>
      <c r="CEI23" s="64"/>
      <c r="CEJ23" s="64"/>
      <c r="CEK23" s="64"/>
      <c r="CEL23" s="64"/>
      <c r="CEM23" s="64"/>
      <c r="CEN23" s="64"/>
      <c r="CEO23" s="64"/>
      <c r="CEP23" s="64"/>
      <c r="CEQ23" s="64"/>
      <c r="CER23" s="64"/>
      <c r="CES23" s="64"/>
      <c r="CET23" s="64"/>
      <c r="CEU23" s="64"/>
      <c r="CEV23" s="64"/>
      <c r="CEW23" s="64"/>
      <c r="CEX23" s="64"/>
      <c r="CEY23" s="64"/>
      <c r="CEZ23" s="64"/>
      <c r="CFA23" s="64"/>
      <c r="CFB23" s="64"/>
      <c r="CFC23" s="64"/>
      <c r="CFD23" s="64"/>
      <c r="CFE23" s="64"/>
      <c r="CFF23" s="64"/>
      <c r="CFG23" s="64"/>
      <c r="CFH23" s="64"/>
      <c r="CFI23" s="64"/>
      <c r="CFJ23" s="64"/>
      <c r="CFK23" s="64"/>
      <c r="CFL23" s="64"/>
      <c r="CFM23" s="64"/>
      <c r="CFN23" s="64"/>
      <c r="CFO23" s="64"/>
      <c r="CFP23" s="64"/>
      <c r="CFQ23" s="64"/>
      <c r="CFR23" s="64"/>
      <c r="CFS23" s="64"/>
      <c r="CFT23" s="64"/>
      <c r="CFU23" s="64"/>
      <c r="CFV23" s="64"/>
      <c r="CFW23" s="64"/>
      <c r="CFX23" s="64"/>
      <c r="CFY23" s="64"/>
      <c r="CFZ23" s="64"/>
      <c r="CGA23" s="64"/>
      <c r="CGB23" s="64"/>
      <c r="CGC23" s="64"/>
      <c r="CGD23" s="64"/>
      <c r="CGE23" s="64"/>
      <c r="CGF23" s="64"/>
      <c r="CGG23" s="64"/>
      <c r="CGH23" s="64"/>
      <c r="CGI23" s="64"/>
      <c r="CGJ23" s="64"/>
      <c r="CGK23" s="64"/>
      <c r="CGL23" s="64"/>
      <c r="CGM23" s="64"/>
      <c r="CGN23" s="64"/>
      <c r="CGO23" s="64"/>
      <c r="CGP23" s="64"/>
      <c r="CGQ23" s="64"/>
      <c r="CGR23" s="64"/>
      <c r="CGS23" s="64"/>
      <c r="CGT23" s="64"/>
      <c r="CGU23" s="64"/>
      <c r="CGV23" s="64"/>
      <c r="CGW23" s="64"/>
      <c r="CGX23" s="64"/>
      <c r="CGY23" s="64"/>
      <c r="CGZ23" s="64"/>
      <c r="CHA23" s="64"/>
      <c r="CHB23" s="64"/>
      <c r="CHC23" s="64"/>
      <c r="CHD23" s="64"/>
      <c r="CHE23" s="64"/>
      <c r="CHF23" s="64"/>
      <c r="CHG23" s="64"/>
      <c r="CHH23" s="64"/>
      <c r="CHI23" s="64"/>
      <c r="CHJ23" s="64"/>
      <c r="CHK23" s="64"/>
      <c r="CHL23" s="64"/>
      <c r="CHM23" s="64"/>
      <c r="CHN23" s="64"/>
      <c r="CHO23" s="64"/>
      <c r="CHP23" s="64"/>
      <c r="CHQ23" s="64"/>
      <c r="CHR23" s="64"/>
      <c r="CHS23" s="64"/>
      <c r="CHT23" s="64"/>
      <c r="CHU23" s="64"/>
      <c r="CHV23" s="64"/>
      <c r="CHW23" s="64"/>
      <c r="CHX23" s="64"/>
      <c r="CHY23" s="64"/>
      <c r="CHZ23" s="64"/>
      <c r="CIA23" s="64"/>
      <c r="CIB23" s="64"/>
      <c r="CIC23" s="64"/>
      <c r="CID23" s="64"/>
      <c r="CIE23" s="64"/>
      <c r="CIF23" s="64"/>
      <c r="CIG23" s="64"/>
      <c r="CIH23" s="64"/>
      <c r="CII23" s="64"/>
      <c r="CIJ23" s="64"/>
      <c r="CIK23" s="64"/>
      <c r="CIL23" s="64"/>
      <c r="CIM23" s="64"/>
      <c r="CIN23" s="64"/>
      <c r="CIO23" s="64"/>
      <c r="CIP23" s="64"/>
      <c r="CIQ23" s="64"/>
      <c r="CIR23" s="64"/>
      <c r="CIS23" s="64"/>
      <c r="CIT23" s="64"/>
      <c r="CIU23" s="64"/>
      <c r="CIV23" s="64"/>
      <c r="CIW23" s="64"/>
      <c r="CIX23" s="64"/>
      <c r="CIY23" s="64"/>
      <c r="CIZ23" s="64"/>
      <c r="CJA23" s="64"/>
      <c r="CJB23" s="64"/>
      <c r="CJC23" s="64"/>
      <c r="CJD23" s="64"/>
      <c r="CJE23" s="64"/>
      <c r="CJF23" s="64"/>
      <c r="CJG23" s="64"/>
      <c r="CJH23" s="64"/>
      <c r="CJI23" s="64"/>
      <c r="CJJ23" s="64"/>
      <c r="CJK23" s="64"/>
      <c r="CJL23" s="64"/>
      <c r="CJM23" s="64"/>
      <c r="CJN23" s="64"/>
      <c r="CJO23" s="64"/>
      <c r="CJP23" s="64"/>
      <c r="CJQ23" s="64"/>
      <c r="CJR23" s="64"/>
      <c r="CJS23" s="64"/>
      <c r="CJT23" s="64"/>
      <c r="CJU23" s="64"/>
      <c r="CJV23" s="64"/>
      <c r="CJW23" s="64"/>
      <c r="CJX23" s="64"/>
      <c r="CJY23" s="64"/>
      <c r="CJZ23" s="64"/>
      <c r="CKA23" s="64"/>
      <c r="CKB23" s="64"/>
      <c r="CKC23" s="64"/>
      <c r="CKD23" s="64"/>
      <c r="CKE23" s="64"/>
      <c r="CKF23" s="64"/>
      <c r="CKG23" s="64"/>
      <c r="CKH23" s="64"/>
      <c r="CKI23" s="64"/>
      <c r="CKJ23" s="64"/>
      <c r="CKK23" s="64"/>
      <c r="CKL23" s="64"/>
      <c r="CKM23" s="64"/>
      <c r="CKN23" s="64"/>
      <c r="CKO23" s="64"/>
      <c r="CKP23" s="64"/>
      <c r="CKQ23" s="64"/>
      <c r="CKR23" s="64"/>
      <c r="CKS23" s="64"/>
      <c r="CKT23" s="64"/>
      <c r="CKU23" s="64"/>
      <c r="CKV23" s="64"/>
      <c r="CKW23" s="64"/>
      <c r="CKX23" s="64"/>
      <c r="CKY23" s="64"/>
      <c r="CKZ23" s="64"/>
      <c r="CLA23" s="64"/>
      <c r="CLB23" s="64"/>
      <c r="CLC23" s="64"/>
      <c r="CLD23" s="64"/>
      <c r="CLE23" s="64"/>
      <c r="CLF23" s="64"/>
      <c r="CLG23" s="64"/>
      <c r="CLH23" s="64"/>
      <c r="CLI23" s="64"/>
      <c r="CLJ23" s="64"/>
      <c r="CLK23" s="64"/>
      <c r="CLL23" s="64"/>
      <c r="CLM23" s="64"/>
      <c r="CLN23" s="64"/>
      <c r="CLO23" s="64"/>
      <c r="CLP23" s="64"/>
      <c r="CLQ23" s="64"/>
      <c r="CLR23" s="64"/>
      <c r="CLS23" s="64"/>
      <c r="CLT23" s="64"/>
      <c r="CLU23" s="64"/>
      <c r="CLV23" s="64"/>
      <c r="CLW23" s="64"/>
      <c r="CLX23" s="64"/>
      <c r="CLY23" s="64"/>
      <c r="CLZ23" s="64"/>
      <c r="CMA23" s="64"/>
      <c r="CMB23" s="64"/>
      <c r="CMC23" s="64"/>
      <c r="CMD23" s="64"/>
      <c r="CME23" s="64"/>
      <c r="CMF23" s="64"/>
      <c r="CMG23" s="64"/>
      <c r="CMH23" s="64"/>
      <c r="CMI23" s="64"/>
      <c r="CMJ23" s="64"/>
      <c r="CMK23" s="64"/>
      <c r="CML23" s="64"/>
      <c r="CMM23" s="64"/>
      <c r="CMN23" s="64"/>
      <c r="CMO23" s="64"/>
      <c r="CMP23" s="64"/>
      <c r="CMQ23" s="64"/>
      <c r="CMR23" s="64"/>
      <c r="CMS23" s="64"/>
      <c r="CMT23" s="64"/>
      <c r="CMU23" s="64"/>
      <c r="CMV23" s="64"/>
      <c r="CMW23" s="64"/>
      <c r="CMX23" s="64"/>
      <c r="CMY23" s="64"/>
      <c r="CMZ23" s="64"/>
      <c r="CNA23" s="64"/>
      <c r="CNB23" s="64"/>
      <c r="CNC23" s="64"/>
      <c r="CND23" s="64"/>
      <c r="CNE23" s="64"/>
      <c r="CNF23" s="64"/>
      <c r="CNG23" s="64"/>
      <c r="CNH23" s="64"/>
      <c r="CNI23" s="64"/>
      <c r="CNJ23" s="64"/>
      <c r="CNK23" s="64"/>
      <c r="CNL23" s="64"/>
      <c r="CNM23" s="64"/>
      <c r="CNN23" s="64"/>
      <c r="CNO23" s="64"/>
      <c r="CNP23" s="64"/>
      <c r="CNQ23" s="64"/>
      <c r="CNR23" s="64"/>
      <c r="CNS23" s="64"/>
      <c r="CNT23" s="64"/>
      <c r="CNU23" s="64"/>
      <c r="CNV23" s="64"/>
      <c r="CNW23" s="64"/>
      <c r="CNX23" s="64"/>
      <c r="CNY23" s="64"/>
      <c r="CNZ23" s="64"/>
      <c r="COA23" s="64"/>
      <c r="COB23" s="64"/>
      <c r="COC23" s="64"/>
      <c r="COD23" s="64"/>
      <c r="COE23" s="64"/>
      <c r="COF23" s="64"/>
      <c r="COG23" s="64"/>
      <c r="COH23" s="64"/>
      <c r="COI23" s="64"/>
      <c r="COJ23" s="64"/>
      <c r="COK23" s="64"/>
      <c r="COL23" s="64"/>
      <c r="COM23" s="64"/>
      <c r="CON23" s="64"/>
      <c r="COO23" s="64"/>
      <c r="COP23" s="64"/>
      <c r="COQ23" s="64"/>
      <c r="COR23" s="64"/>
      <c r="COS23" s="64"/>
      <c r="COT23" s="64"/>
      <c r="COU23" s="64"/>
      <c r="COV23" s="64"/>
      <c r="COW23" s="64"/>
      <c r="COX23" s="64"/>
      <c r="COY23" s="64"/>
      <c r="COZ23" s="64"/>
      <c r="CPA23" s="64"/>
      <c r="CPB23" s="64"/>
      <c r="CPC23" s="64"/>
      <c r="CPD23" s="64"/>
      <c r="CPE23" s="64"/>
      <c r="CPF23" s="64"/>
      <c r="CPG23" s="64"/>
      <c r="CPH23" s="64"/>
      <c r="CPI23" s="64"/>
      <c r="CPJ23" s="64"/>
      <c r="CPK23" s="64"/>
      <c r="CPL23" s="64"/>
      <c r="CPM23" s="64"/>
      <c r="CPN23" s="64"/>
      <c r="CPO23" s="64"/>
      <c r="CPP23" s="64"/>
      <c r="CPQ23" s="64"/>
      <c r="CPR23" s="64"/>
      <c r="CPS23" s="64"/>
      <c r="CPT23" s="64"/>
      <c r="CPU23" s="64"/>
      <c r="CPV23" s="64"/>
      <c r="CPW23" s="64"/>
      <c r="CPX23" s="64"/>
      <c r="CPY23" s="64"/>
      <c r="CPZ23" s="64"/>
      <c r="CQA23" s="64"/>
      <c r="CQB23" s="64"/>
      <c r="CQC23" s="64"/>
      <c r="CQD23" s="64"/>
      <c r="CQE23" s="64"/>
      <c r="CQF23" s="64"/>
      <c r="CQG23" s="64"/>
      <c r="CQH23" s="64"/>
      <c r="CQI23" s="64"/>
      <c r="CQJ23" s="64"/>
      <c r="CQK23" s="64"/>
      <c r="CQL23" s="64"/>
      <c r="CQM23" s="64"/>
      <c r="CQN23" s="64"/>
      <c r="CQO23" s="64"/>
      <c r="CQP23" s="64"/>
      <c r="CQQ23" s="64"/>
      <c r="CQR23" s="64"/>
      <c r="CQS23" s="64"/>
      <c r="CQT23" s="64"/>
      <c r="CQU23" s="64"/>
      <c r="CQV23" s="64"/>
      <c r="CQW23" s="64"/>
      <c r="CQX23" s="64"/>
      <c r="CQY23" s="64"/>
      <c r="CQZ23" s="64"/>
      <c r="CRA23" s="64"/>
      <c r="CRB23" s="64"/>
      <c r="CRC23" s="64"/>
      <c r="CRD23" s="64"/>
      <c r="CRE23" s="64"/>
      <c r="CRF23" s="64"/>
      <c r="CRG23" s="64"/>
      <c r="CRH23" s="64"/>
      <c r="CRI23" s="64"/>
      <c r="CRJ23" s="64"/>
      <c r="CRK23" s="64"/>
      <c r="CRL23" s="64"/>
      <c r="CRM23" s="64"/>
      <c r="CRN23" s="64"/>
      <c r="CRO23" s="64"/>
      <c r="CRP23" s="64"/>
      <c r="CRQ23" s="64"/>
      <c r="CRR23" s="64"/>
      <c r="CRS23" s="64"/>
      <c r="CRT23" s="64"/>
      <c r="CRU23" s="64"/>
      <c r="CRV23" s="64"/>
      <c r="CRW23" s="64"/>
      <c r="CRX23" s="64"/>
      <c r="CRY23" s="64"/>
      <c r="CRZ23" s="64"/>
      <c r="CSA23" s="64"/>
      <c r="CSB23" s="64"/>
      <c r="CSC23" s="64"/>
      <c r="CSD23" s="64"/>
      <c r="CSE23" s="64"/>
      <c r="CSF23" s="64"/>
      <c r="CSG23" s="64"/>
      <c r="CSH23" s="64"/>
      <c r="CSI23" s="64"/>
      <c r="CSJ23" s="64"/>
      <c r="CSK23" s="64"/>
      <c r="CSL23" s="64"/>
      <c r="CSM23" s="64"/>
      <c r="CSN23" s="64"/>
      <c r="CSO23" s="64"/>
      <c r="CSP23" s="64"/>
      <c r="CSQ23" s="64"/>
      <c r="CSR23" s="64"/>
      <c r="CSS23" s="64"/>
      <c r="CST23" s="64"/>
      <c r="CSU23" s="64"/>
      <c r="CSV23" s="64"/>
      <c r="CSW23" s="64"/>
      <c r="CSX23" s="64"/>
      <c r="CSY23" s="64"/>
      <c r="CSZ23" s="64"/>
      <c r="CTA23" s="64"/>
      <c r="CTB23" s="64"/>
      <c r="CTC23" s="64"/>
      <c r="CTD23" s="64"/>
      <c r="CTE23" s="64"/>
      <c r="CTF23" s="64"/>
      <c r="CTG23" s="64"/>
      <c r="CTH23" s="64"/>
      <c r="CTI23" s="64"/>
      <c r="CTJ23" s="64"/>
      <c r="CTK23" s="64"/>
      <c r="CTL23" s="64"/>
      <c r="CTM23" s="64"/>
      <c r="CTN23" s="64"/>
      <c r="CTO23" s="64"/>
      <c r="CTP23" s="64"/>
      <c r="CTQ23" s="64"/>
      <c r="CTR23" s="64"/>
      <c r="CTS23" s="64"/>
      <c r="CTT23" s="64"/>
      <c r="CTU23" s="64"/>
      <c r="CTV23" s="64"/>
      <c r="CTW23" s="64"/>
      <c r="CTX23" s="64"/>
      <c r="CTY23" s="64"/>
      <c r="CTZ23" s="64"/>
      <c r="CUA23" s="64"/>
      <c r="CUB23" s="64"/>
      <c r="CUC23" s="64"/>
      <c r="CUD23" s="64"/>
      <c r="CUE23" s="64"/>
      <c r="CUF23" s="64"/>
      <c r="CUG23" s="64"/>
      <c r="CUH23" s="64"/>
      <c r="CUI23" s="64"/>
      <c r="CUJ23" s="64"/>
      <c r="CUK23" s="64"/>
      <c r="CUL23" s="64"/>
      <c r="CUM23" s="64"/>
      <c r="CUN23" s="64"/>
      <c r="CUO23" s="64"/>
      <c r="CUP23" s="64"/>
      <c r="CUQ23" s="64"/>
      <c r="CUR23" s="64"/>
      <c r="CUS23" s="64"/>
      <c r="CUT23" s="64"/>
      <c r="CUU23" s="64"/>
      <c r="CUV23" s="64"/>
      <c r="CUW23" s="64"/>
      <c r="CUX23" s="64"/>
      <c r="CUY23" s="64"/>
      <c r="CUZ23" s="64"/>
      <c r="CVA23" s="64"/>
      <c r="CVB23" s="64"/>
      <c r="CVC23" s="64"/>
      <c r="CVD23" s="64"/>
      <c r="CVE23" s="64"/>
      <c r="CVF23" s="64"/>
      <c r="CVG23" s="64"/>
      <c r="CVH23" s="64"/>
      <c r="CVI23" s="64"/>
      <c r="CVJ23" s="64"/>
      <c r="CVK23" s="64"/>
      <c r="CVL23" s="64"/>
      <c r="CVM23" s="64"/>
      <c r="CVN23" s="64"/>
      <c r="CVO23" s="64"/>
      <c r="CVP23" s="64"/>
      <c r="CVQ23" s="64"/>
      <c r="CVR23" s="64"/>
      <c r="CVS23" s="64"/>
      <c r="CVT23" s="64"/>
      <c r="CVU23" s="64"/>
      <c r="CVV23" s="64"/>
      <c r="CVW23" s="64"/>
      <c r="CVX23" s="64"/>
      <c r="CVY23" s="64"/>
      <c r="CVZ23" s="64"/>
      <c r="CWA23" s="64"/>
      <c r="CWB23" s="64"/>
      <c r="CWC23" s="64"/>
      <c r="CWD23" s="64"/>
      <c r="CWE23" s="64"/>
      <c r="CWF23" s="64"/>
      <c r="CWG23" s="64"/>
      <c r="CWH23" s="64"/>
      <c r="CWI23" s="64"/>
      <c r="CWJ23" s="64"/>
      <c r="CWK23" s="64"/>
      <c r="CWL23" s="64"/>
      <c r="CWM23" s="64"/>
      <c r="CWN23" s="64"/>
      <c r="CWO23" s="64"/>
      <c r="CWP23" s="64"/>
      <c r="CWQ23" s="64"/>
      <c r="CWR23" s="64"/>
      <c r="CWS23" s="64"/>
      <c r="CWT23" s="64"/>
      <c r="CWU23" s="64"/>
      <c r="CWV23" s="64"/>
      <c r="CWW23" s="64"/>
      <c r="CWX23" s="64"/>
      <c r="CWY23" s="64"/>
      <c r="CWZ23" s="64"/>
      <c r="CXA23" s="64"/>
      <c r="CXB23" s="64"/>
      <c r="CXC23" s="64"/>
      <c r="CXD23" s="64"/>
      <c r="CXE23" s="64"/>
      <c r="CXF23" s="64"/>
      <c r="CXG23" s="64"/>
      <c r="CXH23" s="64"/>
      <c r="CXI23" s="64"/>
      <c r="CXJ23" s="64"/>
      <c r="CXK23" s="64"/>
      <c r="CXL23" s="64"/>
      <c r="CXM23" s="64"/>
      <c r="CXN23" s="64"/>
      <c r="CXO23" s="64"/>
      <c r="CXP23" s="64"/>
      <c r="CXQ23" s="64"/>
      <c r="CXR23" s="64"/>
      <c r="CXS23" s="64"/>
      <c r="CXT23" s="64"/>
      <c r="CXU23" s="64"/>
      <c r="CXV23" s="64"/>
      <c r="CXW23" s="64"/>
      <c r="CXX23" s="64"/>
      <c r="CXY23" s="64"/>
      <c r="CXZ23" s="64"/>
      <c r="CYA23" s="64"/>
      <c r="CYB23" s="64"/>
      <c r="CYC23" s="64"/>
      <c r="CYD23" s="64"/>
      <c r="CYE23" s="64"/>
      <c r="CYF23" s="64"/>
      <c r="CYG23" s="64"/>
      <c r="CYH23" s="64"/>
      <c r="CYI23" s="64"/>
      <c r="CYJ23" s="64"/>
      <c r="CYK23" s="64"/>
      <c r="CYL23" s="64"/>
      <c r="CYM23" s="64"/>
      <c r="CYN23" s="64"/>
      <c r="CYO23" s="64"/>
      <c r="CYP23" s="64"/>
      <c r="CYQ23" s="64"/>
      <c r="CYR23" s="64"/>
      <c r="CYS23" s="64"/>
      <c r="CYT23" s="64"/>
      <c r="CYU23" s="64"/>
      <c r="CYV23" s="64"/>
      <c r="CYW23" s="64"/>
      <c r="CYX23" s="64"/>
      <c r="CYY23" s="64"/>
      <c r="CYZ23" s="64"/>
      <c r="CZA23" s="64"/>
      <c r="CZB23" s="64"/>
      <c r="CZC23" s="64"/>
      <c r="CZD23" s="64"/>
      <c r="CZE23" s="64"/>
      <c r="CZF23" s="64"/>
      <c r="CZG23" s="64"/>
      <c r="CZH23" s="64"/>
      <c r="CZI23" s="64"/>
      <c r="CZJ23" s="64"/>
      <c r="CZK23" s="64"/>
      <c r="CZL23" s="64"/>
      <c r="CZM23" s="64"/>
      <c r="CZN23" s="64"/>
      <c r="CZO23" s="64"/>
      <c r="CZP23" s="64"/>
      <c r="CZQ23" s="64"/>
      <c r="CZR23" s="64"/>
      <c r="CZS23" s="64"/>
      <c r="CZT23" s="64"/>
      <c r="CZU23" s="64"/>
      <c r="CZV23" s="64"/>
      <c r="CZW23" s="64"/>
      <c r="CZX23" s="64"/>
      <c r="CZY23" s="64"/>
      <c r="CZZ23" s="64"/>
      <c r="DAA23" s="64"/>
      <c r="DAB23" s="64"/>
      <c r="DAC23" s="64"/>
      <c r="DAD23" s="64"/>
      <c r="DAE23" s="64"/>
      <c r="DAF23" s="64"/>
      <c r="DAG23" s="64"/>
      <c r="DAH23" s="64"/>
      <c r="DAI23" s="64"/>
      <c r="DAJ23" s="64"/>
      <c r="DAK23" s="64"/>
      <c r="DAL23" s="64"/>
      <c r="DAM23" s="64"/>
      <c r="DAN23" s="64"/>
      <c r="DAO23" s="64"/>
      <c r="DAP23" s="64"/>
      <c r="DAQ23" s="64"/>
      <c r="DAR23" s="64"/>
      <c r="DAS23" s="64"/>
      <c r="DAT23" s="64"/>
      <c r="DAU23" s="64"/>
      <c r="DAV23" s="64"/>
      <c r="DAW23" s="64"/>
      <c r="DAX23" s="64"/>
      <c r="DAY23" s="64"/>
      <c r="DAZ23" s="64"/>
      <c r="DBA23" s="64"/>
      <c r="DBB23" s="64"/>
      <c r="DBC23" s="64"/>
      <c r="DBD23" s="64"/>
      <c r="DBE23" s="64"/>
      <c r="DBF23" s="64"/>
      <c r="DBG23" s="64"/>
      <c r="DBH23" s="64"/>
      <c r="DBI23" s="64"/>
      <c r="DBJ23" s="64"/>
      <c r="DBK23" s="64"/>
      <c r="DBL23" s="64"/>
      <c r="DBM23" s="64"/>
      <c r="DBN23" s="64"/>
      <c r="DBO23" s="64"/>
      <c r="DBP23" s="64"/>
      <c r="DBQ23" s="64"/>
      <c r="DBR23" s="64"/>
      <c r="DBS23" s="64"/>
      <c r="DBT23" s="64"/>
      <c r="DBU23" s="64"/>
      <c r="DBV23" s="64"/>
      <c r="DBW23" s="64"/>
      <c r="DBX23" s="64"/>
      <c r="DBY23" s="64"/>
      <c r="DBZ23" s="64"/>
      <c r="DCA23" s="64"/>
      <c r="DCB23" s="64"/>
      <c r="DCC23" s="64"/>
      <c r="DCD23" s="64"/>
      <c r="DCE23" s="64"/>
      <c r="DCF23" s="64"/>
      <c r="DCG23" s="64"/>
      <c r="DCH23" s="64"/>
      <c r="DCI23" s="64"/>
      <c r="DCJ23" s="64"/>
      <c r="DCK23" s="64"/>
      <c r="DCL23" s="64"/>
      <c r="DCM23" s="64"/>
      <c r="DCN23" s="64"/>
      <c r="DCO23" s="64"/>
      <c r="DCP23" s="64"/>
      <c r="DCQ23" s="64"/>
      <c r="DCR23" s="64"/>
      <c r="DCS23" s="64"/>
      <c r="DCT23" s="64"/>
      <c r="DCU23" s="64"/>
      <c r="DCV23" s="64"/>
      <c r="DCW23" s="64"/>
      <c r="DCX23" s="64"/>
      <c r="DCY23" s="64"/>
      <c r="DCZ23" s="64"/>
      <c r="DDA23" s="64"/>
      <c r="DDB23" s="64"/>
      <c r="DDC23" s="64"/>
      <c r="DDD23" s="64"/>
      <c r="DDE23" s="64"/>
      <c r="DDF23" s="64"/>
      <c r="DDG23" s="64"/>
      <c r="DDH23" s="64"/>
      <c r="DDI23" s="64"/>
      <c r="DDJ23" s="64"/>
      <c r="DDK23" s="64"/>
      <c r="DDL23" s="64"/>
      <c r="DDM23" s="64"/>
      <c r="DDN23" s="64"/>
      <c r="DDO23" s="64"/>
      <c r="DDP23" s="64"/>
      <c r="DDQ23" s="64"/>
      <c r="DDR23" s="64"/>
      <c r="DDS23" s="64"/>
      <c r="DDT23" s="64"/>
      <c r="DDU23" s="64"/>
      <c r="DDV23" s="64"/>
      <c r="DDW23" s="64"/>
      <c r="DDX23" s="64"/>
      <c r="DDY23" s="64"/>
      <c r="DDZ23" s="64"/>
      <c r="DEA23" s="64"/>
      <c r="DEB23" s="64"/>
      <c r="DEC23" s="64"/>
      <c r="DED23" s="64"/>
      <c r="DEE23" s="64"/>
      <c r="DEF23" s="64"/>
      <c r="DEG23" s="64"/>
      <c r="DEH23" s="64"/>
      <c r="DEI23" s="64"/>
      <c r="DEJ23" s="64"/>
      <c r="DEK23" s="64"/>
      <c r="DEL23" s="64"/>
      <c r="DEM23" s="64"/>
      <c r="DEN23" s="64"/>
      <c r="DEO23" s="64"/>
      <c r="DEP23" s="64"/>
      <c r="DEQ23" s="64"/>
      <c r="DER23" s="64"/>
      <c r="DES23" s="64"/>
      <c r="DET23" s="64"/>
      <c r="DEU23" s="64"/>
      <c r="DEV23" s="64"/>
      <c r="DEW23" s="64"/>
      <c r="DEX23" s="64"/>
      <c r="DEY23" s="64"/>
      <c r="DEZ23" s="64"/>
      <c r="DFA23" s="64"/>
      <c r="DFB23" s="64"/>
      <c r="DFC23" s="64"/>
      <c r="DFD23" s="64"/>
      <c r="DFE23" s="64"/>
      <c r="DFF23" s="64"/>
      <c r="DFG23" s="64"/>
      <c r="DFH23" s="64"/>
      <c r="DFI23" s="64"/>
      <c r="DFJ23" s="64"/>
      <c r="DFK23" s="64"/>
      <c r="DFL23" s="64"/>
      <c r="DFM23" s="64"/>
      <c r="DFN23" s="64"/>
      <c r="DFO23" s="64"/>
      <c r="DFP23" s="64"/>
      <c r="DFQ23" s="64"/>
      <c r="DFR23" s="64"/>
      <c r="DFS23" s="64"/>
      <c r="DFT23" s="64"/>
      <c r="DFU23" s="64"/>
      <c r="DFV23" s="64"/>
      <c r="DFW23" s="64"/>
      <c r="DFX23" s="64"/>
      <c r="DFY23" s="64"/>
      <c r="DFZ23" s="64"/>
      <c r="DGA23" s="64"/>
      <c r="DGB23" s="64"/>
      <c r="DGC23" s="64"/>
      <c r="DGD23" s="64"/>
      <c r="DGE23" s="64"/>
      <c r="DGF23" s="64"/>
      <c r="DGG23" s="64"/>
      <c r="DGH23" s="64"/>
      <c r="DGI23" s="64"/>
      <c r="DGJ23" s="64"/>
      <c r="DGK23" s="64"/>
      <c r="DGL23" s="64"/>
      <c r="DGM23" s="64"/>
      <c r="DGN23" s="64"/>
      <c r="DGO23" s="64"/>
      <c r="DGP23" s="64"/>
      <c r="DGQ23" s="64"/>
      <c r="DGR23" s="64"/>
      <c r="DGS23" s="64"/>
      <c r="DGT23" s="64"/>
      <c r="DGU23" s="64"/>
      <c r="DGV23" s="64"/>
      <c r="DGW23" s="64"/>
      <c r="DGX23" s="64"/>
      <c r="DGY23" s="64"/>
      <c r="DGZ23" s="64"/>
      <c r="DHA23" s="64"/>
      <c r="DHB23" s="64"/>
      <c r="DHC23" s="64"/>
      <c r="DHD23" s="64"/>
      <c r="DHE23" s="64"/>
      <c r="DHF23" s="64"/>
      <c r="DHG23" s="64"/>
      <c r="DHH23" s="64"/>
      <c r="DHI23" s="64"/>
      <c r="DHJ23" s="64"/>
      <c r="DHK23" s="64"/>
      <c r="DHL23" s="64"/>
      <c r="DHM23" s="64"/>
      <c r="DHN23" s="64"/>
      <c r="DHO23" s="64"/>
      <c r="DHP23" s="64"/>
      <c r="DHQ23" s="64"/>
      <c r="DHR23" s="64"/>
      <c r="DHS23" s="64"/>
      <c r="DHT23" s="64"/>
      <c r="DHU23" s="64"/>
      <c r="DHV23" s="64"/>
      <c r="DHW23" s="64"/>
      <c r="DHX23" s="64"/>
      <c r="DHY23" s="64"/>
      <c r="DHZ23" s="64"/>
      <c r="DIA23" s="64"/>
      <c r="DIB23" s="64"/>
      <c r="DIC23" s="64"/>
      <c r="DID23" s="64"/>
      <c r="DIE23" s="64"/>
      <c r="DIF23" s="64"/>
      <c r="DIG23" s="64"/>
      <c r="DIH23" s="64"/>
      <c r="DII23" s="64"/>
      <c r="DIJ23" s="64"/>
      <c r="DIK23" s="64"/>
      <c r="DIL23" s="64"/>
      <c r="DIM23" s="64"/>
      <c r="DIN23" s="64"/>
      <c r="DIO23" s="64"/>
      <c r="DIP23" s="64"/>
      <c r="DIQ23" s="64"/>
      <c r="DIR23" s="64"/>
      <c r="DIS23" s="64"/>
      <c r="DIT23" s="64"/>
      <c r="DIU23" s="64"/>
      <c r="DIV23" s="64"/>
      <c r="DIW23" s="64"/>
      <c r="DIX23" s="64"/>
      <c r="DIY23" s="64"/>
      <c r="DIZ23" s="64"/>
      <c r="DJA23" s="64"/>
      <c r="DJB23" s="64"/>
      <c r="DJC23" s="64"/>
      <c r="DJD23" s="64"/>
      <c r="DJE23" s="64"/>
      <c r="DJF23" s="64"/>
      <c r="DJG23" s="64"/>
      <c r="DJH23" s="64"/>
      <c r="DJI23" s="64"/>
      <c r="DJJ23" s="64"/>
      <c r="DJK23" s="64"/>
      <c r="DJL23" s="64"/>
      <c r="DJM23" s="64"/>
      <c r="DJN23" s="64"/>
      <c r="DJO23" s="64"/>
      <c r="DJP23" s="64"/>
      <c r="DJQ23" s="64"/>
      <c r="DJR23" s="64"/>
      <c r="DJS23" s="64"/>
      <c r="DJT23" s="64"/>
      <c r="DJU23" s="64"/>
      <c r="DJV23" s="64"/>
      <c r="DJW23" s="64"/>
      <c r="DJX23" s="64"/>
      <c r="DJY23" s="64"/>
      <c r="DJZ23" s="64"/>
      <c r="DKA23" s="64"/>
      <c r="DKB23" s="64"/>
      <c r="DKC23" s="64"/>
      <c r="DKD23" s="64"/>
      <c r="DKE23" s="64"/>
      <c r="DKF23" s="64"/>
      <c r="DKG23" s="64"/>
      <c r="DKH23" s="64"/>
      <c r="DKI23" s="64"/>
      <c r="DKJ23" s="64"/>
      <c r="DKK23" s="64"/>
      <c r="DKL23" s="64"/>
      <c r="DKM23" s="64"/>
      <c r="DKN23" s="64"/>
      <c r="DKO23" s="64"/>
      <c r="DKP23" s="64"/>
      <c r="DKQ23" s="64"/>
      <c r="DKR23" s="64"/>
      <c r="DKS23" s="64"/>
      <c r="DKT23" s="64"/>
      <c r="DKU23" s="64"/>
      <c r="DKV23" s="64"/>
      <c r="DKW23" s="64"/>
      <c r="DKX23" s="64"/>
      <c r="DKY23" s="64"/>
      <c r="DKZ23" s="64"/>
      <c r="DLA23" s="64"/>
      <c r="DLB23" s="64"/>
      <c r="DLC23" s="64"/>
      <c r="DLD23" s="64"/>
      <c r="DLE23" s="64"/>
      <c r="DLF23" s="64"/>
      <c r="DLG23" s="64"/>
      <c r="DLH23" s="64"/>
      <c r="DLI23" s="64"/>
      <c r="DLJ23" s="64"/>
      <c r="DLK23" s="64"/>
      <c r="DLL23" s="64"/>
      <c r="DLM23" s="64"/>
      <c r="DLN23" s="64"/>
      <c r="DLO23" s="64"/>
      <c r="DLP23" s="64"/>
      <c r="DLQ23" s="64"/>
      <c r="DLR23" s="64"/>
      <c r="DLS23" s="64"/>
      <c r="DLT23" s="64"/>
      <c r="DLU23" s="64"/>
      <c r="DLV23" s="64"/>
      <c r="DLW23" s="64"/>
      <c r="DLX23" s="64"/>
      <c r="DLY23" s="64"/>
      <c r="DLZ23" s="64"/>
      <c r="DMA23" s="64"/>
      <c r="DMB23" s="64"/>
      <c r="DMC23" s="64"/>
      <c r="DMD23" s="64"/>
      <c r="DME23" s="64"/>
      <c r="DMF23" s="64"/>
      <c r="DMG23" s="64"/>
      <c r="DMH23" s="64"/>
      <c r="DMI23" s="64"/>
      <c r="DMJ23" s="64"/>
      <c r="DMK23" s="64"/>
      <c r="DML23" s="64"/>
      <c r="DMM23" s="64"/>
      <c r="DMN23" s="64"/>
      <c r="DMO23" s="64"/>
      <c r="DMP23" s="64"/>
      <c r="DMQ23" s="64"/>
      <c r="DMR23" s="64"/>
      <c r="DMS23" s="64"/>
      <c r="DMT23" s="64"/>
      <c r="DMU23" s="64"/>
      <c r="DMV23" s="64"/>
      <c r="DMW23" s="64"/>
      <c r="DMX23" s="64"/>
      <c r="DMY23" s="64"/>
      <c r="DMZ23" s="64"/>
      <c r="DNA23" s="64"/>
      <c r="DNB23" s="64"/>
      <c r="DNC23" s="64"/>
      <c r="DND23" s="64"/>
      <c r="DNE23" s="64"/>
      <c r="DNF23" s="64"/>
      <c r="DNG23" s="64"/>
      <c r="DNH23" s="64"/>
      <c r="DNI23" s="64"/>
      <c r="DNJ23" s="64"/>
      <c r="DNK23" s="64"/>
      <c r="DNL23" s="64"/>
      <c r="DNM23" s="64"/>
      <c r="DNN23" s="64"/>
      <c r="DNO23" s="64"/>
      <c r="DNP23" s="64"/>
      <c r="DNQ23" s="64"/>
      <c r="DNR23" s="64"/>
      <c r="DNS23" s="64"/>
      <c r="DNT23" s="64"/>
      <c r="DNU23" s="64"/>
      <c r="DNV23" s="64"/>
      <c r="DNW23" s="64"/>
      <c r="DNX23" s="64"/>
      <c r="DNY23" s="64"/>
      <c r="DNZ23" s="64"/>
      <c r="DOA23" s="64"/>
      <c r="DOB23" s="64"/>
      <c r="DOC23" s="64"/>
      <c r="DOD23" s="64"/>
      <c r="DOE23" s="64"/>
      <c r="DOF23" s="64"/>
      <c r="DOG23" s="64"/>
      <c r="DOH23" s="64"/>
      <c r="DOI23" s="64"/>
      <c r="DOJ23" s="64"/>
      <c r="DOK23" s="64"/>
      <c r="DOL23" s="64"/>
      <c r="DOM23" s="64"/>
      <c r="DON23" s="64"/>
      <c r="DOO23" s="64"/>
      <c r="DOP23" s="64"/>
      <c r="DOQ23" s="64"/>
      <c r="DOR23" s="64"/>
      <c r="DOS23" s="64"/>
      <c r="DOT23" s="64"/>
      <c r="DOU23" s="64"/>
      <c r="DOV23" s="64"/>
      <c r="DOW23" s="64"/>
      <c r="DOX23" s="64"/>
      <c r="DOY23" s="64"/>
      <c r="DOZ23" s="64"/>
      <c r="DPA23" s="64"/>
      <c r="DPB23" s="64"/>
      <c r="DPC23" s="64"/>
      <c r="DPD23" s="64"/>
      <c r="DPE23" s="64"/>
      <c r="DPF23" s="64"/>
      <c r="DPG23" s="64"/>
      <c r="DPH23" s="64"/>
      <c r="DPI23" s="64"/>
      <c r="DPJ23" s="64"/>
      <c r="DPK23" s="64"/>
      <c r="DPL23" s="64"/>
      <c r="DPM23" s="64"/>
      <c r="DPN23" s="64"/>
      <c r="DPO23" s="64"/>
      <c r="DPP23" s="64"/>
      <c r="DPQ23" s="64"/>
      <c r="DPR23" s="64"/>
      <c r="DPS23" s="64"/>
      <c r="DPT23" s="64"/>
      <c r="DPU23" s="64"/>
      <c r="DPV23" s="64"/>
      <c r="DPW23" s="64"/>
      <c r="DPX23" s="64"/>
      <c r="DPY23" s="64"/>
      <c r="DPZ23" s="64"/>
      <c r="DQA23" s="64"/>
      <c r="DQB23" s="64"/>
      <c r="DQC23" s="64"/>
      <c r="DQD23" s="64"/>
      <c r="DQE23" s="64"/>
      <c r="DQF23" s="64"/>
      <c r="DQG23" s="64"/>
      <c r="DQH23" s="64"/>
      <c r="DQI23" s="64"/>
      <c r="DQJ23" s="64"/>
      <c r="DQK23" s="64"/>
      <c r="DQL23" s="64"/>
      <c r="DQM23" s="64"/>
      <c r="DQN23" s="64"/>
      <c r="DQO23" s="64"/>
      <c r="DQP23" s="64"/>
      <c r="DQQ23" s="64"/>
      <c r="DQR23" s="64"/>
      <c r="DQS23" s="64"/>
      <c r="DQT23" s="64"/>
      <c r="DQU23" s="64"/>
      <c r="DQV23" s="64"/>
      <c r="DQW23" s="64"/>
      <c r="DQX23" s="64"/>
      <c r="DQY23" s="64"/>
      <c r="DQZ23" s="64"/>
      <c r="DRA23" s="64"/>
      <c r="DRB23" s="64"/>
      <c r="DRC23" s="64"/>
      <c r="DRD23" s="64"/>
      <c r="DRE23" s="64"/>
      <c r="DRF23" s="64"/>
      <c r="DRG23" s="64"/>
      <c r="DRH23" s="64"/>
      <c r="DRI23" s="64"/>
      <c r="DRJ23" s="64"/>
      <c r="DRK23" s="64"/>
      <c r="DRL23" s="64"/>
      <c r="DRM23" s="64"/>
      <c r="DRN23" s="64"/>
      <c r="DRO23" s="64"/>
      <c r="DRP23" s="64"/>
      <c r="DRQ23" s="64"/>
      <c r="DRR23" s="64"/>
      <c r="DRS23" s="64"/>
      <c r="DRT23" s="64"/>
      <c r="DRU23" s="64"/>
      <c r="DRV23" s="64"/>
      <c r="DRW23" s="64"/>
      <c r="DRX23" s="64"/>
      <c r="DRY23" s="64"/>
      <c r="DRZ23" s="64"/>
      <c r="DSA23" s="64"/>
      <c r="DSB23" s="64"/>
      <c r="DSC23" s="64"/>
      <c r="DSD23" s="64"/>
      <c r="DSE23" s="64"/>
      <c r="DSF23" s="64"/>
      <c r="DSG23" s="64"/>
      <c r="DSH23" s="64"/>
      <c r="DSI23" s="64"/>
      <c r="DSJ23" s="64"/>
      <c r="DSK23" s="64"/>
      <c r="DSL23" s="64"/>
      <c r="DSM23" s="64"/>
      <c r="DSN23" s="64"/>
      <c r="DSO23" s="64"/>
      <c r="DSP23" s="64"/>
      <c r="DSQ23" s="64"/>
      <c r="DSR23" s="64"/>
      <c r="DSS23" s="64"/>
      <c r="DST23" s="64"/>
      <c r="DSU23" s="64"/>
      <c r="DSV23" s="64"/>
      <c r="DSW23" s="64"/>
      <c r="DSX23" s="64"/>
      <c r="DSY23" s="64"/>
      <c r="DSZ23" s="64"/>
      <c r="DTA23" s="64"/>
      <c r="DTB23" s="64"/>
      <c r="DTC23" s="64"/>
      <c r="DTD23" s="64"/>
      <c r="DTE23" s="64"/>
      <c r="DTF23" s="64"/>
      <c r="DTG23" s="64"/>
      <c r="DTH23" s="64"/>
      <c r="DTI23" s="64"/>
      <c r="DTJ23" s="64"/>
      <c r="DTK23" s="64"/>
      <c r="DTL23" s="64"/>
      <c r="DTM23" s="64"/>
      <c r="DTN23" s="64"/>
      <c r="DTO23" s="64"/>
      <c r="DTP23" s="64"/>
      <c r="DTQ23" s="64"/>
      <c r="DTR23" s="64"/>
      <c r="DTS23" s="64"/>
      <c r="DTT23" s="64"/>
      <c r="DTU23" s="64"/>
      <c r="DTV23" s="64"/>
      <c r="DTW23" s="64"/>
      <c r="DTX23" s="64"/>
      <c r="DTY23" s="64"/>
      <c r="DTZ23" s="64"/>
      <c r="DUA23" s="64"/>
      <c r="DUB23" s="64"/>
      <c r="DUC23" s="64"/>
      <c r="DUD23" s="64"/>
      <c r="DUE23" s="64"/>
      <c r="DUF23" s="64"/>
      <c r="DUG23" s="64"/>
      <c r="DUH23" s="64"/>
      <c r="DUI23" s="64"/>
      <c r="DUJ23" s="64"/>
      <c r="DUK23" s="64"/>
      <c r="DUL23" s="64"/>
      <c r="DUM23" s="64"/>
      <c r="DUN23" s="64"/>
      <c r="DUO23" s="64"/>
      <c r="DUP23" s="64"/>
      <c r="DUQ23" s="64"/>
      <c r="DUR23" s="64"/>
      <c r="DUS23" s="64"/>
      <c r="DUT23" s="64"/>
      <c r="DUU23" s="64"/>
      <c r="DUV23" s="64"/>
      <c r="DUW23" s="64"/>
      <c r="DUX23" s="64"/>
      <c r="DUY23" s="64"/>
      <c r="DUZ23" s="64"/>
      <c r="DVA23" s="64"/>
      <c r="DVB23" s="64"/>
      <c r="DVC23" s="64"/>
      <c r="DVD23" s="64"/>
      <c r="DVE23" s="64"/>
      <c r="DVF23" s="64"/>
      <c r="DVG23" s="64"/>
      <c r="DVH23" s="64"/>
      <c r="DVI23" s="64"/>
      <c r="DVJ23" s="64"/>
      <c r="DVK23" s="64"/>
      <c r="DVL23" s="64"/>
      <c r="DVM23" s="64"/>
      <c r="DVN23" s="64"/>
      <c r="DVO23" s="64"/>
      <c r="DVP23" s="64"/>
      <c r="DVQ23" s="64"/>
      <c r="DVR23" s="64"/>
      <c r="DVS23" s="64"/>
      <c r="DVT23" s="64"/>
      <c r="DVU23" s="64"/>
      <c r="DVV23" s="64"/>
      <c r="DVW23" s="64"/>
      <c r="DVX23" s="64"/>
      <c r="DVY23" s="64"/>
      <c r="DVZ23" s="64"/>
      <c r="DWA23" s="64"/>
      <c r="DWB23" s="64"/>
      <c r="DWC23" s="64"/>
      <c r="DWD23" s="64"/>
      <c r="DWE23" s="64"/>
      <c r="DWF23" s="64"/>
      <c r="DWG23" s="64"/>
      <c r="DWH23" s="64"/>
      <c r="DWI23" s="64"/>
      <c r="DWJ23" s="64"/>
      <c r="DWK23" s="64"/>
      <c r="DWL23" s="64"/>
      <c r="DWM23" s="64"/>
      <c r="DWN23" s="64"/>
      <c r="DWO23" s="64"/>
      <c r="DWP23" s="64"/>
      <c r="DWQ23" s="64"/>
      <c r="DWR23" s="64"/>
      <c r="DWS23" s="64"/>
      <c r="DWT23" s="64"/>
      <c r="DWU23" s="64"/>
      <c r="DWV23" s="64"/>
      <c r="DWW23" s="64"/>
      <c r="DWX23" s="64"/>
      <c r="DWY23" s="64"/>
      <c r="DWZ23" s="64"/>
      <c r="DXA23" s="64"/>
      <c r="DXB23" s="64"/>
      <c r="DXC23" s="64"/>
      <c r="DXD23" s="64"/>
      <c r="DXE23" s="64"/>
      <c r="DXF23" s="64"/>
      <c r="DXG23" s="64"/>
      <c r="DXH23" s="64"/>
      <c r="DXI23" s="64"/>
      <c r="DXJ23" s="64"/>
      <c r="DXK23" s="64"/>
      <c r="DXL23" s="64"/>
      <c r="DXM23" s="64"/>
      <c r="DXN23" s="64"/>
      <c r="DXO23" s="64"/>
      <c r="DXP23" s="64"/>
      <c r="DXQ23" s="64"/>
      <c r="DXR23" s="64"/>
      <c r="DXS23" s="64"/>
      <c r="DXT23" s="64"/>
      <c r="DXU23" s="64"/>
      <c r="DXV23" s="64"/>
      <c r="DXW23" s="64"/>
      <c r="DXX23" s="64"/>
      <c r="DXY23" s="64"/>
      <c r="DXZ23" s="64"/>
      <c r="DYA23" s="64"/>
      <c r="DYB23" s="64"/>
      <c r="DYC23" s="64"/>
      <c r="DYD23" s="64"/>
      <c r="DYE23" s="64"/>
      <c r="DYF23" s="64"/>
      <c r="DYG23" s="64"/>
      <c r="DYH23" s="64"/>
      <c r="DYI23" s="64"/>
      <c r="DYJ23" s="64"/>
      <c r="DYK23" s="64"/>
      <c r="DYL23" s="64"/>
      <c r="DYM23" s="64"/>
      <c r="DYN23" s="64"/>
      <c r="DYO23" s="64"/>
      <c r="DYP23" s="64"/>
      <c r="DYQ23" s="64"/>
      <c r="DYR23" s="64"/>
      <c r="DYS23" s="64"/>
      <c r="DYT23" s="64"/>
      <c r="DYU23" s="64"/>
      <c r="DYV23" s="64"/>
      <c r="DYW23" s="64"/>
      <c r="DYX23" s="64"/>
      <c r="DYY23" s="64"/>
      <c r="DYZ23" s="64"/>
      <c r="DZA23" s="64"/>
      <c r="DZB23" s="64"/>
      <c r="DZC23" s="64"/>
      <c r="DZD23" s="64"/>
      <c r="DZE23" s="64"/>
      <c r="DZF23" s="64"/>
      <c r="DZG23" s="64"/>
      <c r="DZH23" s="64"/>
      <c r="DZI23" s="64"/>
      <c r="DZJ23" s="64"/>
      <c r="DZK23" s="64"/>
      <c r="DZL23" s="64"/>
      <c r="DZM23" s="64"/>
      <c r="DZN23" s="64"/>
      <c r="DZO23" s="64"/>
      <c r="DZP23" s="64"/>
      <c r="DZQ23" s="64"/>
      <c r="DZR23" s="64"/>
      <c r="DZS23" s="64"/>
      <c r="DZT23" s="64"/>
      <c r="DZU23" s="64"/>
      <c r="DZV23" s="64"/>
      <c r="DZW23" s="64"/>
      <c r="DZX23" s="64"/>
      <c r="DZY23" s="64"/>
      <c r="DZZ23" s="64"/>
      <c r="EAA23" s="64"/>
      <c r="EAB23" s="64"/>
      <c r="EAC23" s="64"/>
      <c r="EAD23" s="64"/>
      <c r="EAE23" s="64"/>
      <c r="EAF23" s="64"/>
      <c r="EAG23" s="64"/>
      <c r="EAH23" s="64"/>
      <c r="EAI23" s="64"/>
      <c r="EAJ23" s="64"/>
      <c r="EAK23" s="64"/>
      <c r="EAL23" s="64"/>
      <c r="EAM23" s="64"/>
      <c r="EAN23" s="64"/>
      <c r="EAO23" s="64"/>
      <c r="EAP23" s="64"/>
      <c r="EAQ23" s="64"/>
      <c r="EAR23" s="64"/>
      <c r="EAS23" s="64"/>
      <c r="EAT23" s="64"/>
      <c r="EAU23" s="64"/>
      <c r="EAV23" s="64"/>
      <c r="EAW23" s="64"/>
      <c r="EAX23" s="64"/>
      <c r="EAY23" s="64"/>
      <c r="EAZ23" s="64"/>
      <c r="EBA23" s="64"/>
      <c r="EBB23" s="64"/>
      <c r="EBC23" s="64"/>
      <c r="EBD23" s="64"/>
      <c r="EBE23" s="64"/>
      <c r="EBF23" s="64"/>
      <c r="EBG23" s="64"/>
      <c r="EBH23" s="64"/>
      <c r="EBI23" s="64"/>
      <c r="EBJ23" s="64"/>
      <c r="EBK23" s="64"/>
      <c r="EBL23" s="64"/>
      <c r="EBM23" s="64"/>
      <c r="EBN23" s="64"/>
      <c r="EBO23" s="64"/>
      <c r="EBP23" s="64"/>
      <c r="EBQ23" s="64"/>
      <c r="EBR23" s="64"/>
      <c r="EBS23" s="64"/>
      <c r="EBT23" s="64"/>
      <c r="EBU23" s="64"/>
      <c r="EBV23" s="64"/>
      <c r="EBW23" s="64"/>
      <c r="EBX23" s="64"/>
      <c r="EBY23" s="64"/>
      <c r="EBZ23" s="64"/>
      <c r="ECA23" s="64"/>
      <c r="ECB23" s="64"/>
      <c r="ECC23" s="64"/>
      <c r="ECD23" s="64"/>
      <c r="ECE23" s="64"/>
      <c r="ECF23" s="64"/>
      <c r="ECG23" s="64"/>
      <c r="ECH23" s="64"/>
      <c r="ECI23" s="64"/>
      <c r="ECJ23" s="64"/>
      <c r="ECK23" s="64"/>
      <c r="ECL23" s="64"/>
      <c r="ECM23" s="64"/>
      <c r="ECN23" s="64"/>
      <c r="ECO23" s="64"/>
      <c r="ECP23" s="64"/>
      <c r="ECQ23" s="64"/>
      <c r="ECR23" s="64"/>
      <c r="ECS23" s="64"/>
      <c r="ECT23" s="64"/>
      <c r="ECU23" s="64"/>
      <c r="ECV23" s="64"/>
      <c r="ECW23" s="64"/>
      <c r="ECX23" s="64"/>
      <c r="ECY23" s="64"/>
      <c r="ECZ23" s="64"/>
      <c r="EDA23" s="64"/>
      <c r="EDB23" s="64"/>
      <c r="EDC23" s="64"/>
      <c r="EDD23" s="64"/>
      <c r="EDE23" s="64"/>
      <c r="EDF23" s="64"/>
      <c r="EDG23" s="64"/>
      <c r="EDH23" s="64"/>
      <c r="EDI23" s="64"/>
      <c r="EDJ23" s="64"/>
      <c r="EDK23" s="64"/>
      <c r="EDL23" s="64"/>
      <c r="EDM23" s="64"/>
      <c r="EDN23" s="64"/>
      <c r="EDO23" s="64"/>
      <c r="EDP23" s="64"/>
      <c r="EDQ23" s="64"/>
      <c r="EDR23" s="64"/>
      <c r="EDS23" s="64"/>
      <c r="EDT23" s="64"/>
      <c r="EDU23" s="64"/>
      <c r="EDV23" s="64"/>
      <c r="EDW23" s="64"/>
      <c r="EDX23" s="64"/>
      <c r="EDY23" s="64"/>
      <c r="EDZ23" s="64"/>
      <c r="EEA23" s="64"/>
      <c r="EEB23" s="64"/>
      <c r="EEC23" s="64"/>
      <c r="EED23" s="64"/>
      <c r="EEE23" s="64"/>
      <c r="EEF23" s="64"/>
      <c r="EEG23" s="64"/>
      <c r="EEH23" s="64"/>
      <c r="EEI23" s="64"/>
      <c r="EEJ23" s="64"/>
      <c r="EEK23" s="64"/>
      <c r="EEL23" s="64"/>
      <c r="EEM23" s="64"/>
      <c r="EEN23" s="64"/>
      <c r="EEO23" s="64"/>
      <c r="EEP23" s="64"/>
      <c r="EEQ23" s="64"/>
      <c r="EER23" s="64"/>
      <c r="EES23" s="64"/>
      <c r="EET23" s="64"/>
      <c r="EEU23" s="64"/>
      <c r="EEV23" s="64"/>
      <c r="EEW23" s="64"/>
      <c r="EEX23" s="64"/>
      <c r="EEY23" s="64"/>
      <c r="EEZ23" s="64"/>
      <c r="EFA23" s="64"/>
      <c r="EFB23" s="64"/>
      <c r="EFC23" s="64"/>
      <c r="EFD23" s="64"/>
      <c r="EFE23" s="64"/>
      <c r="EFF23" s="64"/>
      <c r="EFG23" s="64"/>
      <c r="EFH23" s="64"/>
      <c r="EFI23" s="64"/>
      <c r="EFJ23" s="64"/>
      <c r="EFK23" s="64"/>
      <c r="EFL23" s="64"/>
      <c r="EFM23" s="64"/>
      <c r="EFN23" s="64"/>
      <c r="EFO23" s="64"/>
      <c r="EFP23" s="64"/>
      <c r="EFQ23" s="64"/>
      <c r="EFR23" s="64"/>
      <c r="EFS23" s="64"/>
      <c r="EFT23" s="64"/>
      <c r="EFU23" s="64"/>
      <c r="EFV23" s="64"/>
      <c r="EFW23" s="64"/>
      <c r="EFX23" s="64"/>
      <c r="EFY23" s="64"/>
      <c r="EFZ23" s="64"/>
      <c r="EGA23" s="64"/>
      <c r="EGB23" s="64"/>
      <c r="EGC23" s="64"/>
      <c r="EGD23" s="64"/>
      <c r="EGE23" s="64"/>
      <c r="EGF23" s="64"/>
      <c r="EGG23" s="64"/>
      <c r="EGH23" s="64"/>
      <c r="EGI23" s="64"/>
      <c r="EGJ23" s="64"/>
      <c r="EGK23" s="64"/>
      <c r="EGL23" s="64"/>
      <c r="EGM23" s="64"/>
      <c r="EGN23" s="64"/>
      <c r="EGO23" s="64"/>
      <c r="EGP23" s="64"/>
      <c r="EGQ23" s="64"/>
      <c r="EGR23" s="64"/>
      <c r="EGS23" s="64"/>
      <c r="EGT23" s="64"/>
      <c r="EGU23" s="64"/>
      <c r="EGV23" s="64"/>
      <c r="EGW23" s="64"/>
      <c r="EGX23" s="64"/>
      <c r="EGY23" s="64"/>
      <c r="EGZ23" s="64"/>
      <c r="EHA23" s="64"/>
      <c r="EHB23" s="64"/>
      <c r="EHC23" s="64"/>
      <c r="EHD23" s="64"/>
      <c r="EHE23" s="64"/>
      <c r="EHF23" s="64"/>
      <c r="EHG23" s="64"/>
      <c r="EHH23" s="64"/>
      <c r="EHI23" s="64"/>
      <c r="EHJ23" s="64"/>
      <c r="EHK23" s="64"/>
      <c r="EHL23" s="64"/>
      <c r="EHM23" s="64"/>
      <c r="EHN23" s="64"/>
      <c r="EHO23" s="64"/>
      <c r="EHP23" s="64"/>
      <c r="EHQ23" s="64"/>
      <c r="EHR23" s="64"/>
      <c r="EHS23" s="64"/>
      <c r="EHT23" s="64"/>
      <c r="EHU23" s="64"/>
      <c r="EHV23" s="64"/>
      <c r="EHW23" s="64"/>
      <c r="EHX23" s="64"/>
      <c r="EHY23" s="64"/>
      <c r="EHZ23" s="64"/>
      <c r="EIA23" s="64"/>
      <c r="EIB23" s="64"/>
      <c r="EIC23" s="64"/>
      <c r="EID23" s="64"/>
      <c r="EIE23" s="64"/>
      <c r="EIF23" s="64"/>
      <c r="EIG23" s="64"/>
      <c r="EIH23" s="64"/>
      <c r="EII23" s="64"/>
      <c r="EIJ23" s="64"/>
      <c r="EIK23" s="64"/>
      <c r="EIL23" s="64"/>
      <c r="EIM23" s="64"/>
      <c r="EIN23" s="64"/>
      <c r="EIO23" s="64"/>
      <c r="EIP23" s="64"/>
      <c r="EIQ23" s="64"/>
      <c r="EIR23" s="64"/>
      <c r="EIS23" s="64"/>
      <c r="EIT23" s="64"/>
      <c r="EIU23" s="64"/>
      <c r="EIV23" s="64"/>
      <c r="EIW23" s="64"/>
      <c r="EIX23" s="64"/>
      <c r="EIY23" s="64"/>
      <c r="EIZ23" s="64"/>
      <c r="EJA23" s="64"/>
      <c r="EJB23" s="64"/>
      <c r="EJC23" s="64"/>
      <c r="EJD23" s="64"/>
      <c r="EJE23" s="64"/>
      <c r="EJF23" s="64"/>
      <c r="EJG23" s="64"/>
      <c r="EJH23" s="64"/>
      <c r="EJI23" s="64"/>
      <c r="EJJ23" s="64"/>
      <c r="EJK23" s="64"/>
      <c r="EJL23" s="64"/>
      <c r="EJM23" s="64"/>
      <c r="EJN23" s="64"/>
      <c r="EJO23" s="64"/>
      <c r="EJP23" s="64"/>
      <c r="EJQ23" s="64"/>
      <c r="EJR23" s="64"/>
      <c r="EJS23" s="64"/>
      <c r="EJT23" s="64"/>
      <c r="EJU23" s="64"/>
      <c r="EJV23" s="64"/>
      <c r="EJW23" s="64"/>
      <c r="EJX23" s="64"/>
      <c r="EJY23" s="64"/>
      <c r="EJZ23" s="64"/>
      <c r="EKA23" s="64"/>
      <c r="EKB23" s="64"/>
      <c r="EKC23" s="64"/>
      <c r="EKD23" s="64"/>
      <c r="EKE23" s="64"/>
      <c r="EKF23" s="64"/>
      <c r="EKG23" s="64"/>
      <c r="EKH23" s="64"/>
      <c r="EKI23" s="64"/>
      <c r="EKJ23" s="64"/>
      <c r="EKK23" s="64"/>
      <c r="EKL23" s="64"/>
      <c r="EKM23" s="64"/>
      <c r="EKN23" s="64"/>
      <c r="EKO23" s="64"/>
      <c r="EKP23" s="64"/>
      <c r="EKQ23" s="64"/>
      <c r="EKR23" s="64"/>
      <c r="EKS23" s="64"/>
      <c r="EKT23" s="64"/>
      <c r="EKU23" s="64"/>
      <c r="EKV23" s="64"/>
      <c r="EKW23" s="64"/>
      <c r="EKX23" s="64"/>
      <c r="EKY23" s="64"/>
      <c r="EKZ23" s="64"/>
      <c r="ELA23" s="64"/>
      <c r="ELB23" s="64"/>
      <c r="ELC23" s="64"/>
      <c r="ELD23" s="64"/>
      <c r="ELE23" s="64"/>
      <c r="ELF23" s="64"/>
      <c r="ELG23" s="64"/>
      <c r="ELH23" s="64"/>
      <c r="ELI23" s="64"/>
      <c r="ELJ23" s="64"/>
      <c r="ELK23" s="64"/>
      <c r="ELL23" s="64"/>
      <c r="ELM23" s="64"/>
      <c r="ELN23" s="64"/>
      <c r="ELO23" s="64"/>
      <c r="ELP23" s="64"/>
      <c r="ELQ23" s="64"/>
      <c r="ELR23" s="64"/>
      <c r="ELS23" s="64"/>
      <c r="ELT23" s="64"/>
      <c r="ELU23" s="64"/>
      <c r="ELV23" s="64"/>
      <c r="ELW23" s="64"/>
      <c r="ELX23" s="64"/>
      <c r="ELY23" s="64"/>
      <c r="ELZ23" s="64"/>
      <c r="EMA23" s="64"/>
      <c r="EMB23" s="64"/>
      <c r="EMC23" s="64"/>
      <c r="EMD23" s="64"/>
      <c r="EME23" s="64"/>
      <c r="EMF23" s="64"/>
      <c r="EMG23" s="64"/>
      <c r="EMH23" s="64"/>
      <c r="EMI23" s="64"/>
      <c r="EMJ23" s="64"/>
      <c r="EMK23" s="64"/>
      <c r="EML23" s="64"/>
      <c r="EMM23" s="64"/>
      <c r="EMN23" s="64"/>
      <c r="EMO23" s="64"/>
      <c r="EMP23" s="64"/>
      <c r="EMQ23" s="64"/>
      <c r="EMR23" s="64"/>
      <c r="EMS23" s="64"/>
      <c r="EMT23" s="64"/>
      <c r="EMU23" s="64"/>
      <c r="EMV23" s="64"/>
      <c r="EMW23" s="64"/>
      <c r="EMX23" s="64"/>
      <c r="EMY23" s="64"/>
      <c r="EMZ23" s="64"/>
      <c r="ENA23" s="64"/>
      <c r="ENB23" s="64"/>
      <c r="ENC23" s="64"/>
      <c r="END23" s="64"/>
      <c r="ENE23" s="64"/>
      <c r="ENF23" s="64"/>
      <c r="ENG23" s="64"/>
      <c r="ENH23" s="64"/>
      <c r="ENI23" s="64"/>
      <c r="ENJ23" s="64"/>
      <c r="ENK23" s="64"/>
      <c r="ENL23" s="64"/>
      <c r="ENM23" s="64"/>
      <c r="ENN23" s="64"/>
      <c r="ENO23" s="64"/>
      <c r="ENP23" s="64"/>
      <c r="ENQ23" s="64"/>
      <c r="ENR23" s="64"/>
      <c r="ENS23" s="64"/>
      <c r="ENT23" s="64"/>
      <c r="ENU23" s="64"/>
      <c r="ENV23" s="64"/>
      <c r="ENW23" s="64"/>
      <c r="ENX23" s="64"/>
      <c r="ENY23" s="64"/>
      <c r="ENZ23" s="64"/>
      <c r="EOA23" s="64"/>
      <c r="EOB23" s="64"/>
      <c r="EOC23" s="64"/>
      <c r="EOD23" s="64"/>
      <c r="EOE23" s="64"/>
      <c r="EOF23" s="64"/>
      <c r="EOG23" s="64"/>
      <c r="EOH23" s="64"/>
      <c r="EOI23" s="64"/>
      <c r="EOJ23" s="64"/>
      <c r="EOK23" s="64"/>
      <c r="EOL23" s="64"/>
      <c r="EOM23" s="64"/>
      <c r="EON23" s="64"/>
      <c r="EOO23" s="64"/>
      <c r="EOP23" s="64"/>
      <c r="EOQ23" s="64"/>
      <c r="EOR23" s="64"/>
      <c r="EOS23" s="64"/>
      <c r="EOT23" s="64"/>
      <c r="EOU23" s="64"/>
      <c r="EOV23" s="64"/>
      <c r="EOW23" s="64"/>
      <c r="EOX23" s="64"/>
      <c r="EOY23" s="64"/>
      <c r="EOZ23" s="64"/>
      <c r="EPA23" s="64"/>
      <c r="EPB23" s="64"/>
      <c r="EPC23" s="64"/>
      <c r="EPD23" s="64"/>
      <c r="EPE23" s="64"/>
      <c r="EPF23" s="64"/>
      <c r="EPG23" s="64"/>
      <c r="EPH23" s="64"/>
      <c r="EPI23" s="64"/>
      <c r="EPJ23" s="64"/>
      <c r="EPK23" s="64"/>
      <c r="EPL23" s="64"/>
      <c r="EPM23" s="64"/>
      <c r="EPN23" s="64"/>
      <c r="EPO23" s="64"/>
      <c r="EPP23" s="64"/>
      <c r="EPQ23" s="64"/>
      <c r="EPR23" s="64"/>
      <c r="EPS23" s="64"/>
      <c r="EPT23" s="64"/>
      <c r="EPU23" s="64"/>
      <c r="EPV23" s="64"/>
      <c r="EPW23" s="64"/>
      <c r="EPX23" s="64"/>
      <c r="EPY23" s="64"/>
      <c r="EPZ23" s="64"/>
      <c r="EQA23" s="64"/>
      <c r="EQB23" s="64"/>
      <c r="EQC23" s="64"/>
      <c r="EQD23" s="64"/>
      <c r="EQE23" s="64"/>
      <c r="EQF23" s="64"/>
      <c r="EQG23" s="64"/>
      <c r="EQH23" s="64"/>
      <c r="EQI23" s="64"/>
      <c r="EQJ23" s="64"/>
      <c r="EQK23" s="64"/>
      <c r="EQL23" s="64"/>
      <c r="EQM23" s="64"/>
      <c r="EQN23" s="64"/>
      <c r="EQO23" s="64"/>
      <c r="EQP23" s="64"/>
      <c r="EQQ23" s="64"/>
      <c r="EQR23" s="64"/>
      <c r="EQS23" s="64"/>
      <c r="EQT23" s="64"/>
      <c r="EQU23" s="64"/>
      <c r="EQV23" s="64"/>
      <c r="EQW23" s="64"/>
      <c r="EQX23" s="64"/>
      <c r="EQY23" s="64"/>
      <c r="EQZ23" s="64"/>
      <c r="ERA23" s="64"/>
      <c r="ERB23" s="64"/>
      <c r="ERC23" s="64"/>
      <c r="ERD23" s="64"/>
      <c r="ERE23" s="64"/>
      <c r="ERF23" s="64"/>
      <c r="ERG23" s="64"/>
      <c r="ERH23" s="64"/>
      <c r="ERI23" s="64"/>
      <c r="ERJ23" s="64"/>
      <c r="ERK23" s="64"/>
      <c r="ERL23" s="64"/>
      <c r="ERM23" s="64"/>
      <c r="ERN23" s="64"/>
      <c r="ERO23" s="64"/>
      <c r="ERP23" s="64"/>
      <c r="ERQ23" s="64"/>
      <c r="ERR23" s="64"/>
      <c r="ERS23" s="64"/>
      <c r="ERT23" s="64"/>
      <c r="ERU23" s="64"/>
      <c r="ERV23" s="64"/>
      <c r="ERW23" s="64"/>
      <c r="ERX23" s="64"/>
      <c r="ERY23" s="64"/>
      <c r="ERZ23" s="64"/>
      <c r="ESA23" s="64"/>
      <c r="ESB23" s="64"/>
      <c r="ESC23" s="64"/>
      <c r="ESD23" s="64"/>
      <c r="ESE23" s="64"/>
      <c r="ESF23" s="64"/>
      <c r="ESG23" s="64"/>
      <c r="ESH23" s="64"/>
      <c r="ESI23" s="64"/>
      <c r="ESJ23" s="64"/>
      <c r="ESK23" s="64"/>
      <c r="ESL23" s="64"/>
      <c r="ESM23" s="64"/>
      <c r="ESN23" s="64"/>
      <c r="ESO23" s="64"/>
      <c r="ESP23" s="64"/>
      <c r="ESQ23" s="64"/>
      <c r="ESR23" s="64"/>
      <c r="ESS23" s="64"/>
      <c r="EST23" s="64"/>
      <c r="ESU23" s="64"/>
      <c r="ESV23" s="64"/>
      <c r="ESW23" s="64"/>
      <c r="ESX23" s="64"/>
      <c r="ESY23" s="64"/>
      <c r="ESZ23" s="64"/>
      <c r="ETA23" s="64"/>
      <c r="ETB23" s="64"/>
      <c r="ETC23" s="64"/>
      <c r="ETD23" s="64"/>
      <c r="ETE23" s="64"/>
      <c r="ETF23" s="64"/>
      <c r="ETG23" s="64"/>
      <c r="ETH23" s="64"/>
      <c r="ETI23" s="64"/>
      <c r="ETJ23" s="64"/>
      <c r="ETK23" s="64"/>
      <c r="ETL23" s="64"/>
      <c r="ETM23" s="64"/>
      <c r="ETN23" s="64"/>
      <c r="ETO23" s="64"/>
      <c r="ETP23" s="64"/>
      <c r="ETQ23" s="64"/>
      <c r="ETR23" s="64"/>
      <c r="ETS23" s="64"/>
      <c r="ETT23" s="64"/>
      <c r="ETU23" s="64"/>
      <c r="ETV23" s="64"/>
      <c r="ETW23" s="64"/>
      <c r="ETX23" s="64"/>
      <c r="ETY23" s="64"/>
      <c r="ETZ23" s="64"/>
      <c r="EUA23" s="64"/>
      <c r="EUB23" s="64"/>
      <c r="EUC23" s="64"/>
      <c r="EUD23" s="64"/>
      <c r="EUE23" s="64"/>
      <c r="EUF23" s="64"/>
      <c r="EUG23" s="64"/>
      <c r="EUH23" s="64"/>
      <c r="EUI23" s="64"/>
      <c r="EUJ23" s="64"/>
      <c r="EUK23" s="64"/>
      <c r="EUL23" s="64"/>
      <c r="EUM23" s="64"/>
      <c r="EUN23" s="64"/>
      <c r="EUO23" s="64"/>
      <c r="EUP23" s="64"/>
      <c r="EUQ23" s="64"/>
      <c r="EUR23" s="64"/>
      <c r="EUS23" s="64"/>
      <c r="EUT23" s="64"/>
      <c r="EUU23" s="64"/>
      <c r="EUV23" s="64"/>
      <c r="EUW23" s="64"/>
      <c r="EUX23" s="64"/>
      <c r="EUY23" s="64"/>
      <c r="EUZ23" s="64"/>
      <c r="EVA23" s="64"/>
      <c r="EVB23" s="64"/>
      <c r="EVC23" s="64"/>
      <c r="EVD23" s="64"/>
      <c r="EVE23" s="64"/>
      <c r="EVF23" s="64"/>
      <c r="EVG23" s="64"/>
      <c r="EVH23" s="64"/>
      <c r="EVI23" s="64"/>
      <c r="EVJ23" s="64"/>
      <c r="EVK23" s="64"/>
      <c r="EVL23" s="64"/>
      <c r="EVM23" s="64"/>
      <c r="EVN23" s="64"/>
      <c r="EVO23" s="64"/>
      <c r="EVP23" s="64"/>
      <c r="EVQ23" s="64"/>
      <c r="EVR23" s="64"/>
      <c r="EVS23" s="64"/>
      <c r="EVT23" s="64"/>
      <c r="EVU23" s="64"/>
      <c r="EVV23" s="64"/>
      <c r="EVW23" s="64"/>
      <c r="EVX23" s="64"/>
      <c r="EVY23" s="64"/>
      <c r="EVZ23" s="64"/>
      <c r="EWA23" s="64"/>
      <c r="EWB23" s="64"/>
      <c r="EWC23" s="64"/>
      <c r="EWD23" s="64"/>
      <c r="EWE23" s="64"/>
      <c r="EWF23" s="64"/>
      <c r="EWG23" s="64"/>
      <c r="EWH23" s="64"/>
      <c r="EWI23" s="64"/>
      <c r="EWJ23" s="64"/>
      <c r="EWK23" s="64"/>
      <c r="EWL23" s="64"/>
      <c r="EWM23" s="64"/>
      <c r="EWN23" s="64"/>
      <c r="EWO23" s="64"/>
      <c r="EWP23" s="64"/>
      <c r="EWQ23" s="64"/>
      <c r="EWR23" s="64"/>
      <c r="EWS23" s="64"/>
      <c r="EWT23" s="64"/>
      <c r="EWU23" s="64"/>
      <c r="EWV23" s="64"/>
      <c r="EWW23" s="64"/>
      <c r="EWX23" s="64"/>
      <c r="EWY23" s="64"/>
      <c r="EWZ23" s="64"/>
      <c r="EXA23" s="64"/>
      <c r="EXB23" s="64"/>
      <c r="EXC23" s="64"/>
      <c r="EXD23" s="64"/>
      <c r="EXE23" s="64"/>
      <c r="EXF23" s="64"/>
      <c r="EXG23" s="64"/>
      <c r="EXH23" s="64"/>
      <c r="EXI23" s="64"/>
      <c r="EXJ23" s="64"/>
      <c r="EXK23" s="64"/>
      <c r="EXL23" s="64"/>
      <c r="EXM23" s="64"/>
      <c r="EXN23" s="64"/>
      <c r="EXO23" s="64"/>
      <c r="EXP23" s="64"/>
      <c r="EXQ23" s="64"/>
      <c r="EXR23" s="64"/>
      <c r="EXS23" s="64"/>
      <c r="EXT23" s="64"/>
      <c r="EXU23" s="64"/>
      <c r="EXV23" s="64"/>
      <c r="EXW23" s="64"/>
      <c r="EXX23" s="64"/>
      <c r="EXY23" s="64"/>
      <c r="EXZ23" s="64"/>
      <c r="EYA23" s="64"/>
      <c r="EYB23" s="64"/>
      <c r="EYC23" s="64"/>
      <c r="EYD23" s="64"/>
      <c r="EYE23" s="64"/>
      <c r="EYF23" s="64"/>
      <c r="EYG23" s="64"/>
      <c r="EYH23" s="64"/>
      <c r="EYI23" s="64"/>
      <c r="EYJ23" s="64"/>
      <c r="EYK23" s="64"/>
      <c r="EYL23" s="64"/>
      <c r="EYM23" s="64"/>
      <c r="EYN23" s="64"/>
      <c r="EYO23" s="64"/>
      <c r="EYP23" s="64"/>
      <c r="EYQ23" s="64"/>
      <c r="EYR23" s="64"/>
      <c r="EYS23" s="64"/>
      <c r="EYT23" s="64"/>
      <c r="EYU23" s="64"/>
      <c r="EYV23" s="64"/>
      <c r="EYW23" s="64"/>
      <c r="EYX23" s="64"/>
      <c r="EYY23" s="64"/>
      <c r="EYZ23" s="64"/>
      <c r="EZA23" s="64"/>
      <c r="EZB23" s="64"/>
      <c r="EZC23" s="64"/>
      <c r="EZD23" s="64"/>
      <c r="EZE23" s="64"/>
      <c r="EZF23" s="64"/>
      <c r="EZG23" s="64"/>
      <c r="EZH23" s="64"/>
      <c r="EZI23" s="64"/>
      <c r="EZJ23" s="64"/>
      <c r="EZK23" s="64"/>
      <c r="EZL23" s="64"/>
      <c r="EZM23" s="64"/>
      <c r="EZN23" s="64"/>
      <c r="EZO23" s="64"/>
      <c r="EZP23" s="64"/>
      <c r="EZQ23" s="64"/>
      <c r="EZR23" s="64"/>
      <c r="EZS23" s="64"/>
      <c r="EZT23" s="64"/>
      <c r="EZU23" s="64"/>
      <c r="EZV23" s="64"/>
      <c r="EZW23" s="64"/>
      <c r="EZX23" s="64"/>
      <c r="EZY23" s="64"/>
      <c r="EZZ23" s="64"/>
      <c r="FAA23" s="64"/>
      <c r="FAB23" s="64"/>
      <c r="FAC23" s="64"/>
      <c r="FAD23" s="64"/>
      <c r="FAE23" s="64"/>
      <c r="FAF23" s="64"/>
      <c r="FAG23" s="64"/>
      <c r="FAH23" s="64"/>
      <c r="FAI23" s="64"/>
      <c r="FAJ23" s="64"/>
      <c r="FAK23" s="64"/>
      <c r="FAL23" s="64"/>
      <c r="FAM23" s="64"/>
      <c r="FAN23" s="64"/>
      <c r="FAO23" s="64"/>
      <c r="FAP23" s="64"/>
      <c r="FAQ23" s="64"/>
      <c r="FAR23" s="64"/>
      <c r="FAS23" s="64"/>
      <c r="FAT23" s="64"/>
      <c r="FAU23" s="64"/>
      <c r="FAV23" s="64"/>
      <c r="FAW23" s="64"/>
      <c r="FAX23" s="64"/>
      <c r="FAY23" s="64"/>
      <c r="FAZ23" s="64"/>
      <c r="FBA23" s="64"/>
      <c r="FBB23" s="64"/>
      <c r="FBC23" s="64"/>
      <c r="FBD23" s="64"/>
      <c r="FBE23" s="64"/>
      <c r="FBF23" s="64"/>
      <c r="FBG23" s="64"/>
      <c r="FBH23" s="64"/>
      <c r="FBI23" s="64"/>
      <c r="FBJ23" s="64"/>
      <c r="FBK23" s="64"/>
      <c r="FBL23" s="64"/>
      <c r="FBM23" s="64"/>
      <c r="FBN23" s="64"/>
      <c r="FBO23" s="64"/>
      <c r="FBP23" s="64"/>
      <c r="FBQ23" s="64"/>
      <c r="FBR23" s="64"/>
      <c r="FBS23" s="64"/>
      <c r="FBT23" s="64"/>
      <c r="FBU23" s="64"/>
      <c r="FBV23" s="64"/>
      <c r="FBW23" s="64"/>
      <c r="FBX23" s="64"/>
      <c r="FBY23" s="64"/>
      <c r="FBZ23" s="64"/>
      <c r="FCA23" s="64"/>
      <c r="FCB23" s="64"/>
      <c r="FCC23" s="64"/>
      <c r="FCD23" s="64"/>
      <c r="FCE23" s="64"/>
      <c r="FCF23" s="64"/>
      <c r="FCG23" s="64"/>
      <c r="FCH23" s="64"/>
      <c r="FCI23" s="64"/>
      <c r="FCJ23" s="64"/>
      <c r="FCK23" s="64"/>
      <c r="FCL23" s="64"/>
      <c r="FCM23" s="64"/>
      <c r="FCN23" s="64"/>
      <c r="FCO23" s="64"/>
      <c r="FCP23" s="64"/>
      <c r="FCQ23" s="64"/>
      <c r="FCR23" s="64"/>
      <c r="FCS23" s="64"/>
      <c r="FCT23" s="64"/>
      <c r="FCU23" s="64"/>
      <c r="FCV23" s="64"/>
      <c r="FCW23" s="64"/>
      <c r="FCX23" s="64"/>
      <c r="FCY23" s="64"/>
      <c r="FCZ23" s="64"/>
      <c r="FDA23" s="64"/>
      <c r="FDB23" s="64"/>
      <c r="FDC23" s="64"/>
      <c r="FDD23" s="64"/>
      <c r="FDE23" s="64"/>
      <c r="FDF23" s="64"/>
      <c r="FDG23" s="64"/>
      <c r="FDH23" s="64"/>
      <c r="FDI23" s="64"/>
      <c r="FDJ23" s="64"/>
      <c r="FDK23" s="64"/>
      <c r="FDL23" s="64"/>
      <c r="FDM23" s="64"/>
      <c r="FDN23" s="64"/>
      <c r="FDO23" s="64"/>
      <c r="FDP23" s="64"/>
      <c r="FDQ23" s="64"/>
      <c r="FDR23" s="64"/>
      <c r="FDS23" s="64"/>
      <c r="FDT23" s="64"/>
      <c r="FDU23" s="64"/>
      <c r="FDV23" s="64"/>
      <c r="FDW23" s="64"/>
      <c r="FDX23" s="64"/>
      <c r="FDY23" s="64"/>
      <c r="FDZ23" s="64"/>
      <c r="FEA23" s="64"/>
      <c r="FEB23" s="64"/>
      <c r="FEC23" s="64"/>
      <c r="FED23" s="64"/>
      <c r="FEE23" s="64"/>
      <c r="FEF23" s="64"/>
      <c r="FEG23" s="64"/>
      <c r="FEH23" s="64"/>
      <c r="FEI23" s="64"/>
      <c r="FEJ23" s="64"/>
      <c r="FEK23" s="64"/>
      <c r="FEL23" s="64"/>
      <c r="FEM23" s="64"/>
      <c r="FEN23" s="64"/>
      <c r="FEO23" s="64"/>
      <c r="FEP23" s="64"/>
      <c r="FEQ23" s="64"/>
      <c r="FER23" s="64"/>
      <c r="FES23" s="64"/>
      <c r="FET23" s="64"/>
      <c r="FEU23" s="64"/>
      <c r="FEV23" s="64"/>
      <c r="FEW23" s="64"/>
      <c r="FEX23" s="64"/>
      <c r="FEY23" s="64"/>
      <c r="FEZ23" s="64"/>
      <c r="FFA23" s="64"/>
      <c r="FFB23" s="64"/>
      <c r="FFC23" s="64"/>
      <c r="FFD23" s="64"/>
      <c r="FFE23" s="64"/>
      <c r="FFF23" s="64"/>
      <c r="FFG23" s="64"/>
      <c r="FFH23" s="64"/>
      <c r="FFI23" s="64"/>
      <c r="FFJ23" s="64"/>
      <c r="FFK23" s="64"/>
      <c r="FFL23" s="64"/>
      <c r="FFM23" s="64"/>
      <c r="FFN23" s="64"/>
      <c r="FFO23" s="64"/>
      <c r="FFP23" s="64"/>
      <c r="FFQ23" s="64"/>
      <c r="FFR23" s="64"/>
      <c r="FFS23" s="64"/>
      <c r="FFT23" s="64"/>
      <c r="FFU23" s="64"/>
      <c r="FFV23" s="64"/>
      <c r="FFW23" s="64"/>
      <c r="FFX23" s="64"/>
      <c r="FFY23" s="64"/>
      <c r="FFZ23" s="64"/>
      <c r="FGA23" s="64"/>
      <c r="FGB23" s="64"/>
      <c r="FGC23" s="64"/>
      <c r="FGD23" s="64"/>
      <c r="FGE23" s="64"/>
      <c r="FGF23" s="64"/>
      <c r="FGG23" s="64"/>
      <c r="FGH23" s="64"/>
      <c r="FGI23" s="64"/>
      <c r="FGJ23" s="64"/>
      <c r="FGK23" s="64"/>
      <c r="FGL23" s="64"/>
      <c r="FGM23" s="64"/>
      <c r="FGN23" s="64"/>
      <c r="FGO23" s="64"/>
      <c r="FGP23" s="64"/>
      <c r="FGQ23" s="64"/>
      <c r="FGR23" s="64"/>
      <c r="FGS23" s="64"/>
      <c r="FGT23" s="64"/>
      <c r="FGU23" s="64"/>
      <c r="FGV23" s="64"/>
      <c r="FGW23" s="64"/>
      <c r="FGX23" s="64"/>
      <c r="FGY23" s="64"/>
      <c r="FGZ23" s="64"/>
      <c r="FHA23" s="64"/>
      <c r="FHB23" s="64"/>
      <c r="FHC23" s="64"/>
      <c r="FHD23" s="64"/>
      <c r="FHE23" s="64"/>
      <c r="FHF23" s="64"/>
      <c r="FHG23" s="64"/>
      <c r="FHH23" s="64"/>
      <c r="FHI23" s="64"/>
      <c r="FHJ23" s="64"/>
      <c r="FHK23" s="64"/>
      <c r="FHL23" s="64"/>
      <c r="FHM23" s="64"/>
      <c r="FHN23" s="64"/>
      <c r="FHO23" s="64"/>
      <c r="FHP23" s="64"/>
      <c r="FHQ23" s="64"/>
      <c r="FHR23" s="64"/>
      <c r="FHS23" s="64"/>
      <c r="FHT23" s="64"/>
      <c r="FHU23" s="64"/>
      <c r="FHV23" s="64"/>
      <c r="FHW23" s="64"/>
      <c r="FHX23" s="64"/>
      <c r="FHY23" s="64"/>
      <c r="FHZ23" s="64"/>
      <c r="FIA23" s="64"/>
      <c r="FIB23" s="64"/>
      <c r="FIC23" s="64"/>
      <c r="FID23" s="64"/>
      <c r="FIE23" s="64"/>
      <c r="FIF23" s="64"/>
      <c r="FIG23" s="64"/>
      <c r="FIH23" s="64"/>
      <c r="FII23" s="64"/>
      <c r="FIJ23" s="64"/>
      <c r="FIK23" s="64"/>
      <c r="FIL23" s="64"/>
      <c r="FIM23" s="64"/>
      <c r="FIN23" s="64"/>
      <c r="FIO23" s="64"/>
      <c r="FIP23" s="64"/>
      <c r="FIQ23" s="64"/>
      <c r="FIR23" s="64"/>
      <c r="FIS23" s="64"/>
      <c r="FIT23" s="64"/>
      <c r="FIU23" s="64"/>
      <c r="FIV23" s="64"/>
      <c r="FIW23" s="64"/>
      <c r="FIX23" s="64"/>
      <c r="FIY23" s="64"/>
      <c r="FIZ23" s="64"/>
      <c r="FJA23" s="64"/>
      <c r="FJB23" s="64"/>
      <c r="FJC23" s="64"/>
      <c r="FJD23" s="64"/>
      <c r="FJE23" s="64"/>
      <c r="FJF23" s="64"/>
      <c r="FJG23" s="64"/>
      <c r="FJH23" s="64"/>
      <c r="FJI23" s="64"/>
      <c r="FJJ23" s="64"/>
      <c r="FJK23" s="64"/>
      <c r="FJL23" s="64"/>
      <c r="FJM23" s="64"/>
      <c r="FJN23" s="64"/>
      <c r="FJO23" s="64"/>
      <c r="FJP23" s="64"/>
      <c r="FJQ23" s="64"/>
      <c r="FJR23" s="64"/>
      <c r="FJS23" s="64"/>
      <c r="FJT23" s="64"/>
      <c r="FJU23" s="64"/>
      <c r="FJV23" s="64"/>
      <c r="FJW23" s="64"/>
      <c r="FJX23" s="64"/>
      <c r="FJY23" s="64"/>
      <c r="FJZ23" s="64"/>
      <c r="FKA23" s="64"/>
      <c r="FKB23" s="64"/>
      <c r="FKC23" s="64"/>
      <c r="FKD23" s="64"/>
      <c r="FKE23" s="64"/>
      <c r="FKF23" s="64"/>
      <c r="FKG23" s="64"/>
      <c r="FKH23" s="64"/>
      <c r="FKI23" s="64"/>
      <c r="FKJ23" s="64"/>
      <c r="FKK23" s="64"/>
      <c r="FKL23" s="64"/>
      <c r="FKM23" s="64"/>
      <c r="FKN23" s="64"/>
      <c r="FKO23" s="64"/>
      <c r="FKP23" s="64"/>
      <c r="FKQ23" s="64"/>
      <c r="FKR23" s="64"/>
      <c r="FKS23" s="64"/>
      <c r="FKT23" s="64"/>
      <c r="FKU23" s="64"/>
      <c r="FKV23" s="64"/>
      <c r="FKW23" s="64"/>
      <c r="FKX23" s="64"/>
      <c r="FKY23" s="64"/>
      <c r="FKZ23" s="64"/>
      <c r="FLA23" s="64"/>
      <c r="FLB23" s="64"/>
      <c r="FLC23" s="64"/>
      <c r="FLD23" s="64"/>
      <c r="FLE23" s="64"/>
      <c r="FLF23" s="64"/>
      <c r="FLG23" s="64"/>
      <c r="FLH23" s="64"/>
      <c r="FLI23" s="64"/>
      <c r="FLJ23" s="64"/>
      <c r="FLK23" s="64"/>
      <c r="FLL23" s="64"/>
      <c r="FLM23" s="64"/>
      <c r="FLN23" s="64"/>
      <c r="FLO23" s="64"/>
      <c r="FLP23" s="64"/>
      <c r="FLQ23" s="64"/>
      <c r="FLR23" s="64"/>
      <c r="FLS23" s="64"/>
      <c r="FLT23" s="64"/>
      <c r="FLU23" s="64"/>
      <c r="FLV23" s="64"/>
      <c r="FLW23" s="64"/>
      <c r="FLX23" s="64"/>
      <c r="FLY23" s="64"/>
      <c r="FLZ23" s="64"/>
      <c r="FMA23" s="64"/>
      <c r="FMB23" s="64"/>
      <c r="FMC23" s="64"/>
      <c r="FMD23" s="64"/>
      <c r="FME23" s="64"/>
      <c r="FMF23" s="64"/>
      <c r="FMG23" s="64"/>
      <c r="FMH23" s="64"/>
      <c r="FMI23" s="64"/>
      <c r="FMJ23" s="64"/>
      <c r="FMK23" s="64"/>
      <c r="FML23" s="64"/>
      <c r="FMM23" s="64"/>
      <c r="FMN23" s="64"/>
      <c r="FMO23" s="64"/>
      <c r="FMP23" s="64"/>
      <c r="FMQ23" s="64"/>
      <c r="FMR23" s="64"/>
      <c r="FMS23" s="64"/>
      <c r="FMT23" s="64"/>
      <c r="FMU23" s="64"/>
      <c r="FMV23" s="64"/>
      <c r="FMW23" s="64"/>
      <c r="FMX23" s="64"/>
      <c r="FMY23" s="64"/>
      <c r="FMZ23" s="64"/>
      <c r="FNA23" s="64"/>
      <c r="FNB23" s="64"/>
      <c r="FNC23" s="64"/>
      <c r="FND23" s="64"/>
      <c r="FNE23" s="64"/>
      <c r="FNF23" s="64"/>
      <c r="FNG23" s="64"/>
      <c r="FNH23" s="64"/>
      <c r="FNI23" s="64"/>
      <c r="FNJ23" s="64"/>
      <c r="FNK23" s="64"/>
      <c r="FNL23" s="64"/>
      <c r="FNM23" s="64"/>
      <c r="FNN23" s="64"/>
      <c r="FNO23" s="64"/>
      <c r="FNP23" s="64"/>
      <c r="FNQ23" s="64"/>
      <c r="FNR23" s="64"/>
      <c r="FNS23" s="64"/>
      <c r="FNT23" s="64"/>
      <c r="FNU23" s="64"/>
      <c r="FNV23" s="64"/>
      <c r="FNW23" s="64"/>
      <c r="FNX23" s="64"/>
      <c r="FNY23" s="64"/>
      <c r="FNZ23" s="64"/>
      <c r="FOA23" s="64"/>
      <c r="FOB23" s="64"/>
      <c r="FOC23" s="64"/>
      <c r="FOD23" s="64"/>
      <c r="FOE23" s="64"/>
      <c r="FOF23" s="64"/>
      <c r="FOG23" s="64"/>
      <c r="FOH23" s="64"/>
      <c r="FOI23" s="64"/>
      <c r="FOJ23" s="64"/>
      <c r="FOK23" s="64"/>
      <c r="FOL23" s="64"/>
      <c r="FOM23" s="64"/>
      <c r="FON23" s="64"/>
      <c r="FOO23" s="64"/>
      <c r="FOP23" s="64"/>
      <c r="FOQ23" s="64"/>
      <c r="FOR23" s="64"/>
      <c r="FOS23" s="64"/>
      <c r="FOT23" s="64"/>
      <c r="FOU23" s="64"/>
      <c r="FOV23" s="64"/>
      <c r="FOW23" s="64"/>
      <c r="FOX23" s="64"/>
      <c r="FOY23" s="64"/>
      <c r="FOZ23" s="64"/>
      <c r="FPA23" s="64"/>
      <c r="FPB23" s="64"/>
      <c r="FPC23" s="64"/>
      <c r="FPD23" s="64"/>
      <c r="FPE23" s="64"/>
      <c r="FPF23" s="64"/>
      <c r="FPG23" s="64"/>
      <c r="FPH23" s="64"/>
      <c r="FPI23" s="64"/>
      <c r="FPJ23" s="64"/>
      <c r="FPK23" s="64"/>
      <c r="FPL23" s="64"/>
      <c r="FPM23" s="64"/>
      <c r="FPN23" s="64"/>
      <c r="FPO23" s="64"/>
      <c r="FPP23" s="64"/>
      <c r="FPQ23" s="64"/>
      <c r="FPR23" s="64"/>
      <c r="FPS23" s="64"/>
      <c r="FPT23" s="64"/>
      <c r="FPU23" s="64"/>
      <c r="FPV23" s="64"/>
      <c r="FPW23" s="64"/>
      <c r="FPX23" s="64"/>
      <c r="FPY23" s="64"/>
      <c r="FPZ23" s="64"/>
      <c r="FQA23" s="64"/>
      <c r="FQB23" s="64"/>
      <c r="FQC23" s="64"/>
      <c r="FQD23" s="64"/>
      <c r="FQE23" s="64"/>
      <c r="FQF23" s="64"/>
      <c r="FQG23" s="64"/>
      <c r="FQH23" s="64"/>
      <c r="FQI23" s="64"/>
      <c r="FQJ23" s="64"/>
      <c r="FQK23" s="64"/>
      <c r="FQL23" s="64"/>
      <c r="FQM23" s="64"/>
      <c r="FQN23" s="64"/>
      <c r="FQO23" s="64"/>
      <c r="FQP23" s="64"/>
      <c r="FQQ23" s="64"/>
      <c r="FQR23" s="64"/>
      <c r="FQS23" s="64"/>
      <c r="FQT23" s="64"/>
      <c r="FQU23" s="64"/>
      <c r="FQV23" s="64"/>
      <c r="FQW23" s="64"/>
      <c r="FQX23" s="64"/>
      <c r="FQY23" s="64"/>
      <c r="FQZ23" s="64"/>
      <c r="FRA23" s="64"/>
      <c r="FRB23" s="64"/>
      <c r="FRC23" s="64"/>
      <c r="FRD23" s="64"/>
      <c r="FRE23" s="64"/>
      <c r="FRF23" s="64"/>
      <c r="FRG23" s="64"/>
      <c r="FRH23" s="64"/>
      <c r="FRI23" s="64"/>
      <c r="FRJ23" s="64"/>
      <c r="FRK23" s="64"/>
      <c r="FRL23" s="64"/>
      <c r="FRM23" s="64"/>
      <c r="FRN23" s="64"/>
      <c r="FRO23" s="64"/>
      <c r="FRP23" s="64"/>
      <c r="FRQ23" s="64"/>
      <c r="FRR23" s="64"/>
      <c r="FRS23" s="64"/>
      <c r="FRT23" s="64"/>
      <c r="FRU23" s="64"/>
      <c r="FRV23" s="64"/>
      <c r="FRW23" s="64"/>
      <c r="FRX23" s="64"/>
      <c r="FRY23" s="64"/>
      <c r="FRZ23" s="64"/>
      <c r="FSA23" s="64"/>
      <c r="FSB23" s="64"/>
      <c r="FSC23" s="64"/>
      <c r="FSD23" s="64"/>
      <c r="FSE23" s="64"/>
      <c r="FSF23" s="64"/>
      <c r="FSG23" s="64"/>
      <c r="FSH23" s="64"/>
      <c r="FSI23" s="64"/>
      <c r="FSJ23" s="64"/>
      <c r="FSK23" s="64"/>
      <c r="FSL23" s="64"/>
      <c r="FSM23" s="64"/>
      <c r="FSN23" s="64"/>
      <c r="FSO23" s="64"/>
      <c r="FSP23" s="64"/>
      <c r="FSQ23" s="64"/>
      <c r="FSR23" s="64"/>
      <c r="FSS23" s="64"/>
      <c r="FST23" s="64"/>
      <c r="FSU23" s="64"/>
      <c r="FSV23" s="64"/>
      <c r="FSW23" s="64"/>
      <c r="FSX23" s="64"/>
      <c r="FSY23" s="64"/>
      <c r="FSZ23" s="64"/>
      <c r="FTA23" s="64"/>
      <c r="FTB23" s="64"/>
      <c r="FTC23" s="64"/>
      <c r="FTD23" s="64"/>
      <c r="FTE23" s="64"/>
      <c r="FTF23" s="64"/>
      <c r="FTG23" s="64"/>
      <c r="FTH23" s="64"/>
      <c r="FTI23" s="64"/>
      <c r="FTJ23" s="64"/>
      <c r="FTK23" s="64"/>
      <c r="FTL23" s="64"/>
      <c r="FTM23" s="64"/>
      <c r="FTN23" s="64"/>
      <c r="FTO23" s="64"/>
      <c r="FTP23" s="64"/>
      <c r="FTQ23" s="64"/>
      <c r="FTR23" s="64"/>
      <c r="FTS23" s="64"/>
      <c r="FTT23" s="64"/>
      <c r="FTU23" s="64"/>
      <c r="FTV23" s="64"/>
      <c r="FTW23" s="64"/>
      <c r="FTX23" s="64"/>
      <c r="FTY23" s="64"/>
      <c r="FTZ23" s="64"/>
      <c r="FUA23" s="64"/>
      <c r="FUB23" s="64"/>
      <c r="FUC23" s="64"/>
      <c r="FUD23" s="64"/>
      <c r="FUE23" s="64"/>
      <c r="FUF23" s="64"/>
      <c r="FUG23" s="64"/>
      <c r="FUH23" s="64"/>
      <c r="FUI23" s="64"/>
      <c r="FUJ23" s="64"/>
      <c r="FUK23" s="64"/>
      <c r="FUL23" s="64"/>
      <c r="FUM23" s="64"/>
      <c r="FUN23" s="64"/>
      <c r="FUO23" s="64"/>
      <c r="FUP23" s="64"/>
      <c r="FUQ23" s="64"/>
      <c r="FUR23" s="64"/>
      <c r="FUS23" s="64"/>
      <c r="FUT23" s="64"/>
      <c r="FUU23" s="64"/>
      <c r="FUV23" s="64"/>
      <c r="FUW23" s="64"/>
      <c r="FUX23" s="64"/>
      <c r="FUY23" s="64"/>
      <c r="FUZ23" s="64"/>
      <c r="FVA23" s="64"/>
      <c r="FVB23" s="64"/>
      <c r="FVC23" s="64"/>
      <c r="FVD23" s="64"/>
      <c r="FVE23" s="64"/>
      <c r="FVF23" s="64"/>
      <c r="FVG23" s="64"/>
      <c r="FVH23" s="64"/>
      <c r="FVI23" s="64"/>
      <c r="FVJ23" s="64"/>
      <c r="FVK23" s="64"/>
      <c r="FVL23" s="64"/>
      <c r="FVM23" s="64"/>
      <c r="FVN23" s="64"/>
      <c r="FVO23" s="64"/>
      <c r="FVP23" s="64"/>
      <c r="FVQ23" s="64"/>
      <c r="FVR23" s="64"/>
      <c r="FVS23" s="64"/>
      <c r="FVT23" s="64"/>
      <c r="FVU23" s="64"/>
      <c r="FVV23" s="64"/>
      <c r="FVW23" s="64"/>
      <c r="FVX23" s="64"/>
      <c r="FVY23" s="64"/>
      <c r="FVZ23" s="64"/>
      <c r="FWA23" s="64"/>
      <c r="FWB23" s="64"/>
      <c r="FWC23" s="64"/>
      <c r="FWD23" s="64"/>
      <c r="FWE23" s="64"/>
      <c r="FWF23" s="64"/>
      <c r="FWG23" s="64"/>
      <c r="FWH23" s="64"/>
      <c r="FWI23" s="64"/>
      <c r="FWJ23" s="64"/>
      <c r="FWK23" s="64"/>
      <c r="FWL23" s="64"/>
      <c r="FWM23" s="64"/>
      <c r="FWN23" s="64"/>
      <c r="FWO23" s="64"/>
      <c r="FWP23" s="64"/>
      <c r="FWQ23" s="64"/>
      <c r="FWR23" s="64"/>
      <c r="FWS23" s="64"/>
      <c r="FWT23" s="64"/>
      <c r="FWU23" s="64"/>
      <c r="FWV23" s="64"/>
      <c r="FWW23" s="64"/>
      <c r="FWX23" s="64"/>
      <c r="FWY23" s="64"/>
      <c r="FWZ23" s="64"/>
      <c r="FXA23" s="64"/>
      <c r="FXB23" s="64"/>
      <c r="FXC23" s="64"/>
      <c r="FXD23" s="64"/>
      <c r="FXE23" s="64"/>
      <c r="FXF23" s="64"/>
      <c r="FXG23" s="64"/>
      <c r="FXH23" s="64"/>
      <c r="FXI23" s="64"/>
      <c r="FXJ23" s="64"/>
      <c r="FXK23" s="64"/>
      <c r="FXL23" s="64"/>
      <c r="FXM23" s="64"/>
      <c r="FXN23" s="64"/>
      <c r="FXO23" s="64"/>
      <c r="FXP23" s="64"/>
      <c r="FXQ23" s="64"/>
      <c r="FXR23" s="64"/>
      <c r="FXS23" s="64"/>
      <c r="FXT23" s="64"/>
      <c r="FXU23" s="64"/>
      <c r="FXV23" s="64"/>
      <c r="FXW23" s="64"/>
      <c r="FXX23" s="64"/>
      <c r="FXY23" s="64"/>
      <c r="FXZ23" s="64"/>
      <c r="FYA23" s="64"/>
      <c r="FYB23" s="64"/>
      <c r="FYC23" s="64"/>
      <c r="FYD23" s="64"/>
      <c r="FYE23" s="64"/>
      <c r="FYF23" s="64"/>
      <c r="FYG23" s="64"/>
      <c r="FYH23" s="64"/>
      <c r="FYI23" s="64"/>
      <c r="FYJ23" s="64"/>
      <c r="FYK23" s="64"/>
      <c r="FYL23" s="64"/>
      <c r="FYM23" s="64"/>
      <c r="FYN23" s="64"/>
      <c r="FYO23" s="64"/>
      <c r="FYP23" s="64"/>
      <c r="FYQ23" s="64"/>
      <c r="FYR23" s="64"/>
      <c r="FYS23" s="64"/>
      <c r="FYT23" s="64"/>
      <c r="FYU23" s="64"/>
      <c r="FYV23" s="64"/>
      <c r="FYW23" s="64"/>
      <c r="FYX23" s="64"/>
      <c r="FYY23" s="64"/>
      <c r="FYZ23" s="64"/>
      <c r="FZA23" s="64"/>
      <c r="FZB23" s="64"/>
      <c r="FZC23" s="64"/>
      <c r="FZD23" s="64"/>
      <c r="FZE23" s="64"/>
      <c r="FZF23" s="64"/>
      <c r="FZG23" s="64"/>
      <c r="FZH23" s="64"/>
      <c r="FZI23" s="64"/>
      <c r="FZJ23" s="64"/>
      <c r="FZK23" s="64"/>
      <c r="FZL23" s="64"/>
      <c r="FZM23" s="64"/>
      <c r="FZN23" s="64"/>
      <c r="FZO23" s="64"/>
      <c r="FZP23" s="64"/>
      <c r="FZQ23" s="64"/>
      <c r="FZR23" s="64"/>
      <c r="FZS23" s="64"/>
      <c r="FZT23" s="64"/>
      <c r="FZU23" s="64"/>
      <c r="FZV23" s="64"/>
      <c r="FZW23" s="64"/>
      <c r="FZX23" s="64"/>
      <c r="FZY23" s="64"/>
      <c r="FZZ23" s="64"/>
      <c r="GAA23" s="64"/>
      <c r="GAB23" s="64"/>
      <c r="GAC23" s="64"/>
      <c r="GAD23" s="64"/>
      <c r="GAE23" s="64"/>
      <c r="GAF23" s="64"/>
      <c r="GAG23" s="64"/>
      <c r="GAH23" s="64"/>
      <c r="GAI23" s="64"/>
      <c r="GAJ23" s="64"/>
      <c r="GAK23" s="64"/>
      <c r="GAL23" s="64"/>
      <c r="GAM23" s="64"/>
      <c r="GAN23" s="64"/>
      <c r="GAO23" s="64"/>
      <c r="GAP23" s="64"/>
      <c r="GAQ23" s="64"/>
      <c r="GAR23" s="64"/>
      <c r="GAS23" s="64"/>
      <c r="GAT23" s="64"/>
      <c r="GAU23" s="64"/>
      <c r="GAV23" s="64"/>
      <c r="GAW23" s="64"/>
      <c r="GAX23" s="64"/>
      <c r="GAY23" s="64"/>
      <c r="GAZ23" s="64"/>
      <c r="GBA23" s="64"/>
      <c r="GBB23" s="64"/>
      <c r="GBC23" s="64"/>
      <c r="GBD23" s="64"/>
      <c r="GBE23" s="64"/>
      <c r="GBF23" s="64"/>
      <c r="GBG23" s="64"/>
      <c r="GBH23" s="64"/>
      <c r="GBI23" s="64"/>
      <c r="GBJ23" s="64"/>
      <c r="GBK23" s="64"/>
      <c r="GBL23" s="64"/>
      <c r="GBM23" s="64"/>
      <c r="GBN23" s="64"/>
      <c r="GBO23" s="64"/>
      <c r="GBP23" s="64"/>
      <c r="GBQ23" s="64"/>
      <c r="GBR23" s="64"/>
      <c r="GBS23" s="64"/>
      <c r="GBT23" s="64"/>
      <c r="GBU23" s="64"/>
      <c r="GBV23" s="64"/>
      <c r="GBW23" s="64"/>
      <c r="GBX23" s="64"/>
      <c r="GBY23" s="64"/>
      <c r="GBZ23" s="64"/>
      <c r="GCA23" s="64"/>
      <c r="GCB23" s="64"/>
      <c r="GCC23" s="64"/>
      <c r="GCD23" s="64"/>
      <c r="GCE23" s="64"/>
      <c r="GCF23" s="64"/>
      <c r="GCG23" s="64"/>
      <c r="GCH23" s="64"/>
      <c r="GCI23" s="64"/>
      <c r="GCJ23" s="64"/>
      <c r="GCK23" s="64"/>
      <c r="GCL23" s="64"/>
      <c r="GCM23" s="64"/>
      <c r="GCN23" s="64"/>
      <c r="GCO23" s="64"/>
      <c r="GCP23" s="64"/>
      <c r="GCQ23" s="64"/>
      <c r="GCR23" s="64"/>
      <c r="GCS23" s="64"/>
      <c r="GCT23" s="64"/>
      <c r="GCU23" s="64"/>
      <c r="GCV23" s="64"/>
      <c r="GCW23" s="64"/>
      <c r="GCX23" s="64"/>
      <c r="GCY23" s="64"/>
      <c r="GCZ23" s="64"/>
      <c r="GDA23" s="64"/>
      <c r="GDB23" s="64"/>
      <c r="GDC23" s="64"/>
      <c r="GDD23" s="64"/>
      <c r="GDE23" s="64"/>
      <c r="GDF23" s="64"/>
      <c r="GDG23" s="64"/>
      <c r="GDH23" s="64"/>
      <c r="GDI23" s="64"/>
      <c r="GDJ23" s="64"/>
      <c r="GDK23" s="64"/>
      <c r="GDL23" s="64"/>
      <c r="GDM23" s="64"/>
      <c r="GDN23" s="64"/>
      <c r="GDO23" s="64"/>
      <c r="GDP23" s="64"/>
      <c r="GDQ23" s="64"/>
      <c r="GDR23" s="64"/>
      <c r="GDS23" s="64"/>
      <c r="GDT23" s="64"/>
      <c r="GDU23" s="64"/>
      <c r="GDV23" s="64"/>
      <c r="GDW23" s="64"/>
      <c r="GDX23" s="64"/>
      <c r="GDY23" s="64"/>
      <c r="GDZ23" s="64"/>
      <c r="GEA23" s="64"/>
      <c r="GEB23" s="64"/>
      <c r="GEC23" s="64"/>
      <c r="GED23" s="64"/>
      <c r="GEE23" s="64"/>
      <c r="GEF23" s="64"/>
      <c r="GEG23" s="64"/>
      <c r="GEH23" s="64"/>
      <c r="GEI23" s="64"/>
      <c r="GEJ23" s="64"/>
      <c r="GEK23" s="64"/>
      <c r="GEL23" s="64"/>
      <c r="GEM23" s="64"/>
      <c r="GEN23" s="64"/>
      <c r="GEO23" s="64"/>
      <c r="GEP23" s="64"/>
      <c r="GEQ23" s="64"/>
      <c r="GER23" s="64"/>
      <c r="GES23" s="64"/>
      <c r="GET23" s="64"/>
      <c r="GEU23" s="64"/>
      <c r="GEV23" s="64"/>
      <c r="GEW23" s="64"/>
      <c r="GEX23" s="64"/>
      <c r="GEY23" s="64"/>
      <c r="GEZ23" s="64"/>
      <c r="GFA23" s="64"/>
      <c r="GFB23" s="64"/>
      <c r="GFC23" s="64"/>
      <c r="GFD23" s="64"/>
      <c r="GFE23" s="64"/>
      <c r="GFF23" s="64"/>
      <c r="GFG23" s="64"/>
      <c r="GFH23" s="64"/>
      <c r="GFI23" s="64"/>
      <c r="GFJ23" s="64"/>
      <c r="GFK23" s="64"/>
      <c r="GFL23" s="64"/>
      <c r="GFM23" s="64"/>
      <c r="GFN23" s="64"/>
      <c r="GFO23" s="64"/>
      <c r="GFP23" s="64"/>
      <c r="GFQ23" s="64"/>
      <c r="GFR23" s="64"/>
      <c r="GFS23" s="64"/>
      <c r="GFT23" s="64"/>
      <c r="GFU23" s="64"/>
      <c r="GFV23" s="64"/>
      <c r="GFW23" s="64"/>
      <c r="GFX23" s="64"/>
      <c r="GFY23" s="64"/>
      <c r="GFZ23" s="64"/>
      <c r="GGA23" s="64"/>
      <c r="GGB23" s="64"/>
      <c r="GGC23" s="64"/>
      <c r="GGD23" s="64"/>
      <c r="GGE23" s="64"/>
      <c r="GGF23" s="64"/>
      <c r="GGG23" s="64"/>
      <c r="GGH23" s="64"/>
      <c r="GGI23" s="64"/>
      <c r="GGJ23" s="64"/>
      <c r="GGK23" s="64"/>
      <c r="GGL23" s="64"/>
      <c r="GGM23" s="64"/>
      <c r="GGN23" s="64"/>
      <c r="GGO23" s="64"/>
      <c r="GGP23" s="64"/>
      <c r="GGQ23" s="64"/>
      <c r="GGR23" s="64"/>
      <c r="GGS23" s="64"/>
      <c r="GGT23" s="64"/>
      <c r="GGU23" s="64"/>
      <c r="GGV23" s="64"/>
      <c r="GGW23" s="64"/>
      <c r="GGX23" s="64"/>
      <c r="GGY23" s="64"/>
      <c r="GGZ23" s="64"/>
      <c r="GHA23" s="64"/>
      <c r="GHB23" s="64"/>
      <c r="GHC23" s="64"/>
      <c r="GHD23" s="64"/>
      <c r="GHE23" s="64"/>
      <c r="GHF23" s="64"/>
      <c r="GHG23" s="64"/>
      <c r="GHH23" s="64"/>
      <c r="GHI23" s="64"/>
      <c r="GHJ23" s="64"/>
      <c r="GHK23" s="64"/>
      <c r="GHL23" s="64"/>
      <c r="GHM23" s="64"/>
      <c r="GHN23" s="64"/>
      <c r="GHO23" s="64"/>
      <c r="GHP23" s="64"/>
      <c r="GHQ23" s="64"/>
      <c r="GHR23" s="64"/>
      <c r="GHS23" s="64"/>
      <c r="GHT23" s="64"/>
      <c r="GHU23" s="64"/>
      <c r="GHV23" s="64"/>
      <c r="GHW23" s="64"/>
      <c r="GHX23" s="64"/>
      <c r="GHY23" s="64"/>
      <c r="GHZ23" s="64"/>
      <c r="GIA23" s="64"/>
      <c r="GIB23" s="64"/>
      <c r="GIC23" s="64"/>
      <c r="GID23" s="64"/>
      <c r="GIE23" s="64"/>
      <c r="GIF23" s="64"/>
      <c r="GIG23" s="64"/>
      <c r="GIH23" s="64"/>
      <c r="GII23" s="64"/>
      <c r="GIJ23" s="64"/>
      <c r="GIK23" s="64"/>
      <c r="GIL23" s="64"/>
      <c r="GIM23" s="64"/>
      <c r="GIN23" s="64"/>
      <c r="GIO23" s="64"/>
      <c r="GIP23" s="64"/>
      <c r="GIQ23" s="64"/>
      <c r="GIR23" s="64"/>
      <c r="GIS23" s="64"/>
      <c r="GIT23" s="64"/>
      <c r="GIU23" s="64"/>
      <c r="GIV23" s="64"/>
      <c r="GIW23" s="64"/>
      <c r="GIX23" s="64"/>
      <c r="GIY23" s="64"/>
      <c r="GIZ23" s="64"/>
      <c r="GJA23" s="64"/>
      <c r="GJB23" s="64"/>
      <c r="GJC23" s="64"/>
      <c r="GJD23" s="64"/>
      <c r="GJE23" s="64"/>
      <c r="GJF23" s="64"/>
      <c r="GJG23" s="64"/>
      <c r="GJH23" s="64"/>
      <c r="GJI23" s="64"/>
      <c r="GJJ23" s="64"/>
      <c r="GJK23" s="64"/>
      <c r="GJL23" s="64"/>
      <c r="GJM23" s="64"/>
      <c r="GJN23" s="64"/>
      <c r="GJO23" s="64"/>
      <c r="GJP23" s="64"/>
      <c r="GJQ23" s="64"/>
      <c r="GJR23" s="64"/>
      <c r="GJS23" s="64"/>
      <c r="GJT23" s="64"/>
      <c r="GJU23" s="64"/>
      <c r="GJV23" s="64"/>
      <c r="GJW23" s="64"/>
      <c r="GJX23" s="64"/>
      <c r="GJY23" s="64"/>
      <c r="GJZ23" s="64"/>
      <c r="GKA23" s="64"/>
      <c r="GKB23" s="64"/>
      <c r="GKC23" s="64"/>
      <c r="GKD23" s="64"/>
      <c r="GKE23" s="64"/>
      <c r="GKF23" s="64"/>
      <c r="GKG23" s="64"/>
      <c r="GKH23" s="64"/>
      <c r="GKI23" s="64"/>
      <c r="GKJ23" s="64"/>
      <c r="GKK23" s="64"/>
      <c r="GKL23" s="64"/>
      <c r="GKM23" s="64"/>
      <c r="GKN23" s="64"/>
      <c r="GKO23" s="64"/>
      <c r="GKP23" s="64"/>
      <c r="GKQ23" s="64"/>
      <c r="GKR23" s="64"/>
      <c r="GKS23" s="64"/>
      <c r="GKT23" s="64"/>
      <c r="GKU23" s="64"/>
      <c r="GKV23" s="64"/>
      <c r="GKW23" s="64"/>
      <c r="GKX23" s="64"/>
      <c r="GKY23" s="64"/>
      <c r="GKZ23" s="64"/>
      <c r="GLA23" s="64"/>
      <c r="GLB23" s="64"/>
      <c r="GLC23" s="64"/>
      <c r="GLD23" s="64"/>
      <c r="GLE23" s="64"/>
      <c r="GLF23" s="64"/>
      <c r="GLG23" s="64"/>
      <c r="GLH23" s="64"/>
      <c r="GLI23" s="64"/>
      <c r="GLJ23" s="64"/>
      <c r="GLK23" s="64"/>
      <c r="GLL23" s="64"/>
      <c r="GLM23" s="64"/>
      <c r="GLN23" s="64"/>
      <c r="GLO23" s="64"/>
      <c r="GLP23" s="64"/>
      <c r="GLQ23" s="64"/>
      <c r="GLR23" s="64"/>
      <c r="GLS23" s="64"/>
      <c r="GLT23" s="64"/>
      <c r="GLU23" s="64"/>
      <c r="GLV23" s="64"/>
      <c r="GLW23" s="64"/>
      <c r="GLX23" s="64"/>
      <c r="GLY23" s="64"/>
      <c r="GLZ23" s="64"/>
      <c r="GMA23" s="64"/>
      <c r="GMB23" s="64"/>
      <c r="GMC23" s="64"/>
      <c r="GMD23" s="64"/>
      <c r="GME23" s="64"/>
      <c r="GMF23" s="64"/>
      <c r="GMG23" s="64"/>
      <c r="GMH23" s="64"/>
      <c r="GMI23" s="64"/>
      <c r="GMJ23" s="64"/>
      <c r="GMK23" s="64"/>
      <c r="GML23" s="64"/>
      <c r="GMM23" s="64"/>
      <c r="GMN23" s="64"/>
      <c r="GMO23" s="64"/>
      <c r="GMP23" s="64"/>
      <c r="GMQ23" s="64"/>
      <c r="GMR23" s="64"/>
      <c r="GMS23" s="64"/>
      <c r="GMT23" s="64"/>
      <c r="GMU23" s="64"/>
      <c r="GMV23" s="64"/>
      <c r="GMW23" s="64"/>
      <c r="GMX23" s="64"/>
      <c r="GMY23" s="64"/>
      <c r="GMZ23" s="64"/>
      <c r="GNA23" s="64"/>
      <c r="GNB23" s="64"/>
      <c r="GNC23" s="64"/>
      <c r="GND23" s="64"/>
      <c r="GNE23" s="64"/>
      <c r="GNF23" s="64"/>
      <c r="GNG23" s="64"/>
      <c r="GNH23" s="64"/>
      <c r="GNI23" s="64"/>
      <c r="GNJ23" s="64"/>
      <c r="GNK23" s="64"/>
      <c r="GNL23" s="64"/>
      <c r="GNM23" s="64"/>
      <c r="GNN23" s="64"/>
      <c r="GNO23" s="64"/>
      <c r="GNP23" s="64"/>
      <c r="GNQ23" s="64"/>
      <c r="GNR23" s="64"/>
      <c r="GNS23" s="64"/>
      <c r="GNT23" s="64"/>
      <c r="GNU23" s="64"/>
      <c r="GNV23" s="64"/>
      <c r="GNW23" s="64"/>
      <c r="GNX23" s="64"/>
      <c r="GNY23" s="64"/>
      <c r="GNZ23" s="64"/>
      <c r="GOA23" s="64"/>
      <c r="GOB23" s="64"/>
      <c r="GOC23" s="64"/>
      <c r="GOD23" s="64"/>
      <c r="GOE23" s="64"/>
      <c r="GOF23" s="64"/>
      <c r="GOG23" s="64"/>
      <c r="GOH23" s="64"/>
      <c r="GOI23" s="64"/>
      <c r="GOJ23" s="64"/>
      <c r="GOK23" s="64"/>
      <c r="GOL23" s="64"/>
      <c r="GOM23" s="64"/>
      <c r="GON23" s="64"/>
      <c r="GOO23" s="64"/>
      <c r="GOP23" s="64"/>
      <c r="GOQ23" s="64"/>
      <c r="GOR23" s="64"/>
      <c r="GOS23" s="64"/>
      <c r="GOT23" s="64"/>
      <c r="GOU23" s="64"/>
      <c r="GOV23" s="64"/>
      <c r="GOW23" s="64"/>
      <c r="GOX23" s="64"/>
      <c r="GOY23" s="64"/>
      <c r="GOZ23" s="64"/>
      <c r="GPA23" s="64"/>
      <c r="GPB23" s="64"/>
      <c r="GPC23" s="64"/>
      <c r="GPD23" s="64"/>
      <c r="GPE23" s="64"/>
      <c r="GPF23" s="64"/>
      <c r="GPG23" s="64"/>
      <c r="GPH23" s="64"/>
      <c r="GPI23" s="64"/>
      <c r="GPJ23" s="64"/>
      <c r="GPK23" s="64"/>
      <c r="GPL23" s="64"/>
      <c r="GPM23" s="64"/>
      <c r="GPN23" s="64"/>
      <c r="GPO23" s="64"/>
      <c r="GPP23" s="64"/>
      <c r="GPQ23" s="64"/>
      <c r="GPR23" s="64"/>
      <c r="GPS23" s="64"/>
      <c r="GPT23" s="64"/>
      <c r="GPU23" s="64"/>
      <c r="GPV23" s="64"/>
      <c r="GPW23" s="64"/>
      <c r="GPX23" s="64"/>
      <c r="GPY23" s="64"/>
      <c r="GPZ23" s="64"/>
      <c r="GQA23" s="64"/>
      <c r="GQB23" s="64"/>
      <c r="GQC23" s="64"/>
      <c r="GQD23" s="64"/>
      <c r="GQE23" s="64"/>
      <c r="GQF23" s="64"/>
      <c r="GQG23" s="64"/>
      <c r="GQH23" s="64"/>
      <c r="GQI23" s="64"/>
      <c r="GQJ23" s="64"/>
      <c r="GQK23" s="64"/>
      <c r="GQL23" s="64"/>
      <c r="GQM23" s="64"/>
      <c r="GQN23" s="64"/>
      <c r="GQO23" s="64"/>
      <c r="GQP23" s="64"/>
      <c r="GQQ23" s="64"/>
      <c r="GQR23" s="64"/>
      <c r="GQS23" s="64"/>
      <c r="GQT23" s="64"/>
      <c r="GQU23" s="64"/>
      <c r="GQV23" s="64"/>
      <c r="GQW23" s="64"/>
      <c r="GQX23" s="64"/>
      <c r="GQY23" s="64"/>
      <c r="GQZ23" s="64"/>
      <c r="GRA23" s="64"/>
      <c r="GRB23" s="64"/>
      <c r="GRC23" s="64"/>
      <c r="GRD23" s="64"/>
      <c r="GRE23" s="64"/>
      <c r="GRF23" s="64"/>
      <c r="GRG23" s="64"/>
      <c r="GRH23" s="64"/>
      <c r="GRI23" s="64"/>
      <c r="GRJ23" s="64"/>
      <c r="GRK23" s="64"/>
      <c r="GRL23" s="64"/>
      <c r="GRM23" s="64"/>
      <c r="GRN23" s="64"/>
      <c r="GRO23" s="64"/>
      <c r="GRP23" s="64"/>
      <c r="GRQ23" s="64"/>
      <c r="GRR23" s="64"/>
      <c r="GRS23" s="64"/>
      <c r="GRT23" s="64"/>
      <c r="GRU23" s="64"/>
      <c r="GRV23" s="64"/>
      <c r="GRW23" s="64"/>
      <c r="GRX23" s="64"/>
      <c r="GRY23" s="64"/>
      <c r="GRZ23" s="64"/>
      <c r="GSA23" s="64"/>
      <c r="GSB23" s="64"/>
      <c r="GSC23" s="64"/>
      <c r="GSD23" s="64"/>
      <c r="GSE23" s="64"/>
      <c r="GSF23" s="64"/>
      <c r="GSG23" s="64"/>
      <c r="GSH23" s="64"/>
      <c r="GSI23" s="64"/>
      <c r="GSJ23" s="64"/>
      <c r="GSK23" s="64"/>
      <c r="GSL23" s="64"/>
      <c r="GSM23" s="64"/>
      <c r="GSN23" s="64"/>
      <c r="GSO23" s="64"/>
      <c r="GSP23" s="64"/>
      <c r="GSQ23" s="64"/>
      <c r="GSR23" s="64"/>
      <c r="GSS23" s="64"/>
      <c r="GST23" s="64"/>
      <c r="GSU23" s="64"/>
      <c r="GSV23" s="64"/>
      <c r="GSW23" s="64"/>
      <c r="GSX23" s="64"/>
      <c r="GSY23" s="64"/>
      <c r="GSZ23" s="64"/>
      <c r="GTA23" s="64"/>
      <c r="GTB23" s="64"/>
      <c r="GTC23" s="64"/>
      <c r="GTD23" s="64"/>
      <c r="GTE23" s="64"/>
      <c r="GTF23" s="64"/>
      <c r="GTG23" s="64"/>
      <c r="GTH23" s="64"/>
      <c r="GTI23" s="64"/>
      <c r="GTJ23" s="64"/>
      <c r="GTK23" s="64"/>
      <c r="GTL23" s="64"/>
      <c r="GTM23" s="64"/>
      <c r="GTN23" s="64"/>
      <c r="GTO23" s="64"/>
      <c r="GTP23" s="64"/>
      <c r="GTQ23" s="64"/>
      <c r="GTR23" s="64"/>
      <c r="GTS23" s="64"/>
      <c r="GTT23" s="64"/>
      <c r="GTU23" s="64"/>
      <c r="GTV23" s="64"/>
      <c r="GTW23" s="64"/>
      <c r="GTX23" s="64"/>
      <c r="GTY23" s="64"/>
      <c r="GTZ23" s="64"/>
      <c r="GUA23" s="64"/>
      <c r="GUB23" s="64"/>
      <c r="GUC23" s="64"/>
      <c r="GUD23" s="64"/>
      <c r="GUE23" s="64"/>
      <c r="GUF23" s="64"/>
      <c r="GUG23" s="64"/>
      <c r="GUH23" s="64"/>
      <c r="GUI23" s="64"/>
      <c r="GUJ23" s="64"/>
      <c r="GUK23" s="64"/>
      <c r="GUL23" s="64"/>
      <c r="GUM23" s="64"/>
      <c r="GUN23" s="64"/>
      <c r="GUO23" s="64"/>
      <c r="GUP23" s="64"/>
      <c r="GUQ23" s="64"/>
      <c r="GUR23" s="64"/>
      <c r="GUS23" s="64"/>
      <c r="GUT23" s="64"/>
      <c r="GUU23" s="64"/>
      <c r="GUV23" s="64"/>
      <c r="GUW23" s="64"/>
      <c r="GUX23" s="64"/>
      <c r="GUY23" s="64"/>
      <c r="GUZ23" s="64"/>
      <c r="GVA23" s="64"/>
      <c r="GVB23" s="64"/>
      <c r="GVC23" s="64"/>
      <c r="GVD23" s="64"/>
      <c r="GVE23" s="64"/>
      <c r="GVF23" s="64"/>
      <c r="GVG23" s="64"/>
      <c r="GVH23" s="64"/>
      <c r="GVI23" s="64"/>
      <c r="GVJ23" s="64"/>
      <c r="GVK23" s="64"/>
      <c r="GVL23" s="64"/>
      <c r="GVM23" s="64"/>
      <c r="GVN23" s="64"/>
      <c r="GVO23" s="64"/>
      <c r="GVP23" s="64"/>
      <c r="GVQ23" s="64"/>
      <c r="GVR23" s="64"/>
      <c r="GVS23" s="64"/>
      <c r="GVT23" s="64"/>
      <c r="GVU23" s="64"/>
      <c r="GVV23" s="64"/>
      <c r="GVW23" s="64"/>
      <c r="GVX23" s="64"/>
      <c r="GVY23" s="64"/>
      <c r="GVZ23" s="64"/>
      <c r="GWA23" s="64"/>
      <c r="GWB23" s="64"/>
      <c r="GWC23" s="64"/>
      <c r="GWD23" s="64"/>
      <c r="GWE23" s="64"/>
      <c r="GWF23" s="64"/>
      <c r="GWG23" s="64"/>
      <c r="GWH23" s="64"/>
      <c r="GWI23" s="64"/>
      <c r="GWJ23" s="64"/>
      <c r="GWK23" s="64"/>
      <c r="GWL23" s="64"/>
      <c r="GWM23" s="64"/>
      <c r="GWN23" s="64"/>
      <c r="GWO23" s="64"/>
      <c r="GWP23" s="64"/>
      <c r="GWQ23" s="64"/>
      <c r="GWR23" s="64"/>
      <c r="GWS23" s="64"/>
      <c r="GWT23" s="64"/>
      <c r="GWU23" s="64"/>
      <c r="GWV23" s="64"/>
      <c r="GWW23" s="64"/>
      <c r="GWX23" s="64"/>
      <c r="GWY23" s="64"/>
      <c r="GWZ23" s="64"/>
      <c r="GXA23" s="64"/>
      <c r="GXB23" s="64"/>
      <c r="GXC23" s="64"/>
      <c r="GXD23" s="64"/>
      <c r="GXE23" s="64"/>
      <c r="GXF23" s="64"/>
      <c r="GXG23" s="64"/>
      <c r="GXH23" s="64"/>
      <c r="GXI23" s="64"/>
      <c r="GXJ23" s="64"/>
      <c r="GXK23" s="64"/>
      <c r="GXL23" s="64"/>
      <c r="GXM23" s="64"/>
      <c r="GXN23" s="64"/>
      <c r="GXO23" s="64"/>
      <c r="GXP23" s="64"/>
      <c r="GXQ23" s="64"/>
      <c r="GXR23" s="64"/>
      <c r="GXS23" s="64"/>
      <c r="GXT23" s="64"/>
      <c r="GXU23" s="64"/>
      <c r="GXV23" s="64"/>
      <c r="GXW23" s="64"/>
      <c r="GXX23" s="64"/>
      <c r="GXY23" s="64"/>
      <c r="GXZ23" s="64"/>
      <c r="GYA23" s="64"/>
      <c r="GYB23" s="64"/>
      <c r="GYC23" s="64"/>
      <c r="GYD23" s="64"/>
      <c r="GYE23" s="64"/>
      <c r="GYF23" s="64"/>
      <c r="GYG23" s="64"/>
      <c r="GYH23" s="64"/>
      <c r="GYI23" s="64"/>
      <c r="GYJ23" s="64"/>
      <c r="GYK23" s="64"/>
      <c r="GYL23" s="64"/>
      <c r="GYM23" s="64"/>
      <c r="GYN23" s="64"/>
      <c r="GYO23" s="64"/>
      <c r="GYP23" s="64"/>
      <c r="GYQ23" s="64"/>
      <c r="GYR23" s="64"/>
      <c r="GYS23" s="64"/>
      <c r="GYT23" s="64"/>
      <c r="GYU23" s="64"/>
      <c r="GYV23" s="64"/>
      <c r="GYW23" s="64"/>
      <c r="GYX23" s="64"/>
      <c r="GYY23" s="64"/>
      <c r="GYZ23" s="64"/>
      <c r="GZA23" s="64"/>
      <c r="GZB23" s="64"/>
      <c r="GZC23" s="64"/>
      <c r="GZD23" s="64"/>
      <c r="GZE23" s="64"/>
      <c r="GZF23" s="64"/>
      <c r="GZG23" s="64"/>
      <c r="GZH23" s="64"/>
      <c r="GZI23" s="64"/>
      <c r="GZJ23" s="64"/>
      <c r="GZK23" s="64"/>
      <c r="GZL23" s="64"/>
      <c r="GZM23" s="64"/>
      <c r="GZN23" s="64"/>
      <c r="GZO23" s="64"/>
      <c r="GZP23" s="64"/>
      <c r="GZQ23" s="64"/>
      <c r="GZR23" s="64"/>
      <c r="GZS23" s="64"/>
      <c r="GZT23" s="64"/>
      <c r="GZU23" s="64"/>
      <c r="GZV23" s="64"/>
      <c r="GZW23" s="64"/>
      <c r="GZX23" s="64"/>
      <c r="GZY23" s="64"/>
      <c r="GZZ23" s="64"/>
      <c r="HAA23" s="64"/>
      <c r="HAB23" s="64"/>
      <c r="HAC23" s="64"/>
      <c r="HAD23" s="64"/>
      <c r="HAE23" s="64"/>
      <c r="HAF23" s="64"/>
      <c r="HAG23" s="64"/>
      <c r="HAH23" s="64"/>
      <c r="HAI23" s="64"/>
      <c r="HAJ23" s="64"/>
      <c r="HAK23" s="64"/>
      <c r="HAL23" s="64"/>
      <c r="HAM23" s="64"/>
      <c r="HAN23" s="64"/>
      <c r="HAO23" s="64"/>
      <c r="HAP23" s="64"/>
      <c r="HAQ23" s="64"/>
      <c r="HAR23" s="64"/>
      <c r="HAS23" s="64"/>
      <c r="HAT23" s="64"/>
      <c r="HAU23" s="64"/>
      <c r="HAV23" s="64"/>
      <c r="HAW23" s="64"/>
      <c r="HAX23" s="64"/>
      <c r="HAY23" s="64"/>
      <c r="HAZ23" s="64"/>
      <c r="HBA23" s="64"/>
      <c r="HBB23" s="64"/>
      <c r="HBC23" s="64"/>
      <c r="HBD23" s="64"/>
      <c r="HBE23" s="64"/>
      <c r="HBF23" s="64"/>
      <c r="HBG23" s="64"/>
      <c r="HBH23" s="64"/>
      <c r="HBI23" s="64"/>
      <c r="HBJ23" s="64"/>
      <c r="HBK23" s="64"/>
      <c r="HBL23" s="64"/>
      <c r="HBM23" s="64"/>
      <c r="HBN23" s="64"/>
      <c r="HBO23" s="64"/>
      <c r="HBP23" s="64"/>
      <c r="HBQ23" s="64"/>
      <c r="HBR23" s="64"/>
      <c r="HBS23" s="64"/>
      <c r="HBT23" s="64"/>
      <c r="HBU23" s="64"/>
      <c r="HBV23" s="64"/>
      <c r="HBW23" s="64"/>
      <c r="HBX23" s="64"/>
      <c r="HBY23" s="64"/>
      <c r="HBZ23" s="64"/>
      <c r="HCA23" s="64"/>
      <c r="HCB23" s="64"/>
      <c r="HCC23" s="64"/>
      <c r="HCD23" s="64"/>
      <c r="HCE23" s="64"/>
      <c r="HCF23" s="64"/>
      <c r="HCG23" s="64"/>
      <c r="HCH23" s="64"/>
      <c r="HCI23" s="64"/>
      <c r="HCJ23" s="64"/>
      <c r="HCK23" s="64"/>
      <c r="HCL23" s="64"/>
      <c r="HCM23" s="64"/>
      <c r="HCN23" s="64"/>
      <c r="HCO23" s="64"/>
      <c r="HCP23" s="64"/>
      <c r="HCQ23" s="64"/>
      <c r="HCR23" s="64"/>
      <c r="HCS23" s="64"/>
      <c r="HCT23" s="64"/>
      <c r="HCU23" s="64"/>
      <c r="HCV23" s="64"/>
      <c r="HCW23" s="64"/>
      <c r="HCX23" s="64"/>
      <c r="HCY23" s="64"/>
      <c r="HCZ23" s="64"/>
      <c r="HDA23" s="64"/>
      <c r="HDB23" s="64"/>
      <c r="HDC23" s="64"/>
      <c r="HDD23" s="64"/>
      <c r="HDE23" s="64"/>
      <c r="HDF23" s="64"/>
      <c r="HDG23" s="64"/>
      <c r="HDH23" s="64"/>
      <c r="HDI23" s="64"/>
      <c r="HDJ23" s="64"/>
      <c r="HDK23" s="64"/>
      <c r="HDL23" s="64"/>
      <c r="HDM23" s="64"/>
      <c r="HDN23" s="64"/>
      <c r="HDO23" s="64"/>
      <c r="HDP23" s="64"/>
      <c r="HDQ23" s="64"/>
      <c r="HDR23" s="64"/>
      <c r="HDS23" s="64"/>
      <c r="HDT23" s="64"/>
      <c r="HDU23" s="64"/>
      <c r="HDV23" s="64"/>
      <c r="HDW23" s="64"/>
      <c r="HDX23" s="64"/>
      <c r="HDY23" s="64"/>
      <c r="HDZ23" s="64"/>
      <c r="HEA23" s="64"/>
      <c r="HEB23" s="64"/>
      <c r="HEC23" s="64"/>
      <c r="HED23" s="64"/>
      <c r="HEE23" s="64"/>
      <c r="HEF23" s="64"/>
      <c r="HEG23" s="64"/>
      <c r="HEH23" s="64"/>
      <c r="HEI23" s="64"/>
      <c r="HEJ23" s="64"/>
      <c r="HEK23" s="64"/>
      <c r="HEL23" s="64"/>
      <c r="HEM23" s="64"/>
      <c r="HEN23" s="64"/>
      <c r="HEO23" s="64"/>
      <c r="HEP23" s="64"/>
      <c r="HEQ23" s="64"/>
      <c r="HER23" s="64"/>
      <c r="HES23" s="64"/>
      <c r="HET23" s="64"/>
      <c r="HEU23" s="64"/>
      <c r="HEV23" s="64"/>
      <c r="HEW23" s="64"/>
      <c r="HEX23" s="64"/>
      <c r="HEY23" s="64"/>
      <c r="HEZ23" s="64"/>
      <c r="HFA23" s="64"/>
      <c r="HFB23" s="64"/>
      <c r="HFC23" s="64"/>
      <c r="HFD23" s="64"/>
      <c r="HFE23" s="64"/>
      <c r="HFF23" s="64"/>
      <c r="HFG23" s="64"/>
      <c r="HFH23" s="64"/>
      <c r="HFI23" s="64"/>
      <c r="HFJ23" s="64"/>
      <c r="HFK23" s="64"/>
      <c r="HFL23" s="64"/>
      <c r="HFM23" s="64"/>
      <c r="HFN23" s="64"/>
      <c r="HFO23" s="64"/>
      <c r="HFP23" s="64"/>
      <c r="HFQ23" s="64"/>
      <c r="HFR23" s="64"/>
      <c r="HFS23" s="64"/>
      <c r="HFT23" s="64"/>
      <c r="HFU23" s="64"/>
      <c r="HFV23" s="64"/>
      <c r="HFW23" s="64"/>
      <c r="HFX23" s="64"/>
      <c r="HFY23" s="64"/>
      <c r="HFZ23" s="64"/>
      <c r="HGA23" s="64"/>
      <c r="HGB23" s="64"/>
      <c r="HGC23" s="64"/>
      <c r="HGD23" s="64"/>
      <c r="HGE23" s="64"/>
      <c r="HGF23" s="64"/>
      <c r="HGG23" s="64"/>
      <c r="HGH23" s="64"/>
      <c r="HGI23" s="64"/>
      <c r="HGJ23" s="64"/>
      <c r="HGK23" s="64"/>
      <c r="HGL23" s="64"/>
      <c r="HGM23" s="64"/>
      <c r="HGN23" s="64"/>
      <c r="HGO23" s="64"/>
      <c r="HGP23" s="64"/>
      <c r="HGQ23" s="64"/>
      <c r="HGR23" s="64"/>
      <c r="HGS23" s="64"/>
      <c r="HGT23" s="64"/>
      <c r="HGU23" s="64"/>
      <c r="HGV23" s="64"/>
      <c r="HGW23" s="64"/>
      <c r="HGX23" s="64"/>
      <c r="HGY23" s="64"/>
      <c r="HGZ23" s="64"/>
      <c r="HHA23" s="64"/>
      <c r="HHB23" s="64"/>
      <c r="HHC23" s="64"/>
      <c r="HHD23" s="64"/>
      <c r="HHE23" s="64"/>
      <c r="HHF23" s="64"/>
      <c r="HHG23" s="64"/>
      <c r="HHH23" s="64"/>
      <c r="HHI23" s="64"/>
      <c r="HHJ23" s="64"/>
      <c r="HHK23" s="64"/>
      <c r="HHL23" s="64"/>
      <c r="HHM23" s="64"/>
      <c r="HHN23" s="64"/>
      <c r="HHO23" s="64"/>
      <c r="HHP23" s="64"/>
      <c r="HHQ23" s="64"/>
      <c r="HHR23" s="64"/>
      <c r="HHS23" s="64"/>
      <c r="HHT23" s="64"/>
      <c r="HHU23" s="64"/>
      <c r="HHV23" s="64"/>
      <c r="HHW23" s="64"/>
      <c r="HHX23" s="64"/>
      <c r="HHY23" s="64"/>
      <c r="HHZ23" s="64"/>
      <c r="HIA23" s="64"/>
      <c r="HIB23" s="64"/>
      <c r="HIC23" s="64"/>
      <c r="HID23" s="64"/>
      <c r="HIE23" s="64"/>
      <c r="HIF23" s="64"/>
      <c r="HIG23" s="64"/>
      <c r="HIH23" s="64"/>
      <c r="HII23" s="64"/>
      <c r="HIJ23" s="64"/>
      <c r="HIK23" s="64"/>
      <c r="HIL23" s="64"/>
      <c r="HIM23" s="64"/>
      <c r="HIN23" s="64"/>
      <c r="HIO23" s="64"/>
      <c r="HIP23" s="64"/>
      <c r="HIQ23" s="64"/>
      <c r="HIR23" s="64"/>
      <c r="HIS23" s="64"/>
      <c r="HIT23" s="64"/>
      <c r="HIU23" s="64"/>
      <c r="HIV23" s="64"/>
      <c r="HIW23" s="64"/>
      <c r="HIX23" s="64"/>
      <c r="HIY23" s="64"/>
      <c r="HIZ23" s="64"/>
      <c r="HJA23" s="64"/>
      <c r="HJB23" s="64"/>
      <c r="HJC23" s="64"/>
      <c r="HJD23" s="64"/>
      <c r="HJE23" s="64"/>
      <c r="HJF23" s="64"/>
      <c r="HJG23" s="64"/>
      <c r="HJH23" s="64"/>
      <c r="HJI23" s="64"/>
      <c r="HJJ23" s="64"/>
      <c r="HJK23" s="64"/>
      <c r="HJL23" s="64"/>
      <c r="HJM23" s="64"/>
      <c r="HJN23" s="64"/>
      <c r="HJO23" s="64"/>
      <c r="HJP23" s="64"/>
      <c r="HJQ23" s="64"/>
      <c r="HJR23" s="64"/>
      <c r="HJS23" s="64"/>
      <c r="HJT23" s="64"/>
      <c r="HJU23" s="64"/>
      <c r="HJV23" s="64"/>
      <c r="HJW23" s="64"/>
      <c r="HJX23" s="64"/>
      <c r="HJY23" s="64"/>
      <c r="HJZ23" s="64"/>
      <c r="HKA23" s="64"/>
      <c r="HKB23" s="64"/>
      <c r="HKC23" s="64"/>
      <c r="HKD23" s="64"/>
      <c r="HKE23" s="64"/>
      <c r="HKF23" s="64"/>
      <c r="HKG23" s="64"/>
      <c r="HKH23" s="64"/>
      <c r="HKI23" s="64"/>
      <c r="HKJ23" s="64"/>
      <c r="HKK23" s="64"/>
      <c r="HKL23" s="64"/>
      <c r="HKM23" s="64"/>
      <c r="HKN23" s="64"/>
      <c r="HKO23" s="64"/>
      <c r="HKP23" s="64"/>
      <c r="HKQ23" s="64"/>
      <c r="HKR23" s="64"/>
      <c r="HKS23" s="64"/>
      <c r="HKT23" s="64"/>
      <c r="HKU23" s="64"/>
      <c r="HKV23" s="64"/>
      <c r="HKW23" s="64"/>
      <c r="HKX23" s="64"/>
      <c r="HKY23" s="64"/>
      <c r="HKZ23" s="64"/>
      <c r="HLA23" s="64"/>
      <c r="HLB23" s="64"/>
      <c r="HLC23" s="64"/>
      <c r="HLD23" s="64"/>
      <c r="HLE23" s="64"/>
      <c r="HLF23" s="64"/>
      <c r="HLG23" s="64"/>
      <c r="HLH23" s="64"/>
      <c r="HLI23" s="64"/>
      <c r="HLJ23" s="64"/>
      <c r="HLK23" s="64"/>
      <c r="HLL23" s="64"/>
      <c r="HLM23" s="64"/>
      <c r="HLN23" s="64"/>
      <c r="HLO23" s="64"/>
      <c r="HLP23" s="64"/>
      <c r="HLQ23" s="64"/>
      <c r="HLR23" s="64"/>
      <c r="HLS23" s="64"/>
      <c r="HLT23" s="64"/>
      <c r="HLU23" s="64"/>
      <c r="HLV23" s="64"/>
      <c r="HLW23" s="64"/>
      <c r="HLX23" s="64"/>
      <c r="HLY23" s="64"/>
      <c r="HLZ23" s="64"/>
      <c r="HMA23" s="64"/>
      <c r="HMB23" s="64"/>
      <c r="HMC23" s="64"/>
      <c r="HMD23" s="64"/>
      <c r="HME23" s="64"/>
      <c r="HMF23" s="64"/>
      <c r="HMG23" s="64"/>
      <c r="HMH23" s="64"/>
      <c r="HMI23" s="64"/>
      <c r="HMJ23" s="64"/>
      <c r="HMK23" s="64"/>
      <c r="HML23" s="64"/>
      <c r="HMM23" s="64"/>
      <c r="HMN23" s="64"/>
      <c r="HMO23" s="64"/>
      <c r="HMP23" s="64"/>
      <c r="HMQ23" s="64"/>
      <c r="HMR23" s="64"/>
      <c r="HMS23" s="64"/>
      <c r="HMT23" s="64"/>
      <c r="HMU23" s="64"/>
      <c r="HMV23" s="64"/>
      <c r="HMW23" s="64"/>
      <c r="HMX23" s="64"/>
      <c r="HMY23" s="64"/>
      <c r="HMZ23" s="64"/>
      <c r="HNA23" s="64"/>
      <c r="HNB23" s="64"/>
      <c r="HNC23" s="64"/>
      <c r="HND23" s="64"/>
      <c r="HNE23" s="64"/>
      <c r="HNF23" s="64"/>
      <c r="HNG23" s="64"/>
      <c r="HNH23" s="64"/>
      <c r="HNI23" s="64"/>
      <c r="HNJ23" s="64"/>
      <c r="HNK23" s="64"/>
      <c r="HNL23" s="64"/>
      <c r="HNM23" s="64"/>
      <c r="HNN23" s="64"/>
      <c r="HNO23" s="64"/>
      <c r="HNP23" s="64"/>
      <c r="HNQ23" s="64"/>
      <c r="HNR23" s="64"/>
      <c r="HNS23" s="64"/>
      <c r="HNT23" s="64"/>
      <c r="HNU23" s="64"/>
      <c r="HNV23" s="64"/>
      <c r="HNW23" s="64"/>
      <c r="HNX23" s="64"/>
      <c r="HNY23" s="64"/>
      <c r="HNZ23" s="64"/>
      <c r="HOA23" s="64"/>
      <c r="HOB23" s="64"/>
      <c r="HOC23" s="64"/>
      <c r="HOD23" s="64"/>
      <c r="HOE23" s="64"/>
      <c r="HOF23" s="64"/>
      <c r="HOG23" s="64"/>
      <c r="HOH23" s="64"/>
      <c r="HOI23" s="64"/>
      <c r="HOJ23" s="64"/>
      <c r="HOK23" s="64"/>
      <c r="HOL23" s="64"/>
      <c r="HOM23" s="64"/>
      <c r="HON23" s="64"/>
      <c r="HOO23" s="64"/>
      <c r="HOP23" s="64"/>
      <c r="HOQ23" s="64"/>
      <c r="HOR23" s="64"/>
      <c r="HOS23" s="64"/>
      <c r="HOT23" s="64"/>
      <c r="HOU23" s="64"/>
      <c r="HOV23" s="64"/>
      <c r="HOW23" s="64"/>
      <c r="HOX23" s="64"/>
      <c r="HOY23" s="64"/>
      <c r="HOZ23" s="64"/>
      <c r="HPA23" s="64"/>
      <c r="HPB23" s="64"/>
      <c r="HPC23" s="64"/>
      <c r="HPD23" s="64"/>
      <c r="HPE23" s="64"/>
      <c r="HPF23" s="64"/>
      <c r="HPG23" s="64"/>
      <c r="HPH23" s="64"/>
      <c r="HPI23" s="64"/>
      <c r="HPJ23" s="64"/>
      <c r="HPK23" s="64"/>
      <c r="HPL23" s="64"/>
      <c r="HPM23" s="64"/>
      <c r="HPN23" s="64"/>
      <c r="HPO23" s="64"/>
      <c r="HPP23" s="64"/>
      <c r="HPQ23" s="64"/>
      <c r="HPR23" s="64"/>
      <c r="HPS23" s="64"/>
      <c r="HPT23" s="64"/>
      <c r="HPU23" s="64"/>
      <c r="HPV23" s="64"/>
      <c r="HPW23" s="64"/>
      <c r="HPX23" s="64"/>
      <c r="HPY23" s="64"/>
      <c r="HPZ23" s="64"/>
      <c r="HQA23" s="64"/>
      <c r="HQB23" s="64"/>
      <c r="HQC23" s="64"/>
      <c r="HQD23" s="64"/>
      <c r="HQE23" s="64"/>
      <c r="HQF23" s="64"/>
      <c r="HQG23" s="64"/>
      <c r="HQH23" s="64"/>
      <c r="HQI23" s="64"/>
      <c r="HQJ23" s="64"/>
      <c r="HQK23" s="64"/>
      <c r="HQL23" s="64"/>
      <c r="HQM23" s="64"/>
      <c r="HQN23" s="64"/>
      <c r="HQO23" s="64"/>
      <c r="HQP23" s="64"/>
      <c r="HQQ23" s="64"/>
      <c r="HQR23" s="64"/>
      <c r="HQS23" s="64"/>
      <c r="HQT23" s="64"/>
      <c r="HQU23" s="64"/>
      <c r="HQV23" s="64"/>
      <c r="HQW23" s="64"/>
      <c r="HQX23" s="64"/>
      <c r="HQY23" s="64"/>
      <c r="HQZ23" s="64"/>
      <c r="HRA23" s="64"/>
      <c r="HRB23" s="64"/>
      <c r="HRC23" s="64"/>
      <c r="HRD23" s="64"/>
      <c r="HRE23" s="64"/>
      <c r="HRF23" s="64"/>
      <c r="HRG23" s="64"/>
      <c r="HRH23" s="64"/>
      <c r="HRI23" s="64"/>
      <c r="HRJ23" s="64"/>
      <c r="HRK23" s="64"/>
      <c r="HRL23" s="64"/>
      <c r="HRM23" s="64"/>
      <c r="HRN23" s="64"/>
      <c r="HRO23" s="64"/>
      <c r="HRP23" s="64"/>
      <c r="HRQ23" s="64"/>
      <c r="HRR23" s="64"/>
      <c r="HRS23" s="64"/>
      <c r="HRT23" s="64"/>
      <c r="HRU23" s="64"/>
      <c r="HRV23" s="64"/>
      <c r="HRW23" s="64"/>
      <c r="HRX23" s="64"/>
      <c r="HRY23" s="64"/>
      <c r="HRZ23" s="64"/>
      <c r="HSA23" s="64"/>
      <c r="HSB23" s="64"/>
      <c r="HSC23" s="64"/>
      <c r="HSD23" s="64"/>
      <c r="HSE23" s="64"/>
      <c r="HSF23" s="64"/>
      <c r="HSG23" s="64"/>
      <c r="HSH23" s="64"/>
      <c r="HSI23" s="64"/>
      <c r="HSJ23" s="64"/>
      <c r="HSK23" s="64"/>
      <c r="HSL23" s="64"/>
      <c r="HSM23" s="64"/>
      <c r="HSN23" s="64"/>
      <c r="HSO23" s="64"/>
      <c r="HSP23" s="64"/>
      <c r="HSQ23" s="64"/>
      <c r="HSR23" s="64"/>
      <c r="HSS23" s="64"/>
      <c r="HST23" s="64"/>
      <c r="HSU23" s="64"/>
      <c r="HSV23" s="64"/>
      <c r="HSW23" s="64"/>
      <c r="HSX23" s="64"/>
      <c r="HSY23" s="64"/>
      <c r="HSZ23" s="64"/>
      <c r="HTA23" s="64"/>
      <c r="HTB23" s="64"/>
      <c r="HTC23" s="64"/>
      <c r="HTD23" s="64"/>
      <c r="HTE23" s="64"/>
      <c r="HTF23" s="64"/>
      <c r="HTG23" s="64"/>
      <c r="HTH23" s="64"/>
      <c r="HTI23" s="64"/>
      <c r="HTJ23" s="64"/>
      <c r="HTK23" s="64"/>
      <c r="HTL23" s="64"/>
      <c r="HTM23" s="64"/>
      <c r="HTN23" s="64"/>
      <c r="HTO23" s="64"/>
      <c r="HTP23" s="64"/>
      <c r="HTQ23" s="64"/>
      <c r="HTR23" s="64"/>
      <c r="HTS23" s="64"/>
      <c r="HTT23" s="64"/>
      <c r="HTU23" s="64"/>
      <c r="HTV23" s="64"/>
      <c r="HTW23" s="64"/>
      <c r="HTX23" s="64"/>
      <c r="HTY23" s="64"/>
      <c r="HTZ23" s="64"/>
      <c r="HUA23" s="64"/>
      <c r="HUB23" s="64"/>
      <c r="HUC23" s="64"/>
      <c r="HUD23" s="64"/>
      <c r="HUE23" s="64"/>
      <c r="HUF23" s="64"/>
      <c r="HUG23" s="64"/>
      <c r="HUH23" s="64"/>
      <c r="HUI23" s="64"/>
      <c r="HUJ23" s="64"/>
      <c r="HUK23" s="64"/>
      <c r="HUL23" s="64"/>
      <c r="HUM23" s="64"/>
      <c r="HUN23" s="64"/>
      <c r="HUO23" s="64"/>
      <c r="HUP23" s="64"/>
      <c r="HUQ23" s="64"/>
      <c r="HUR23" s="64"/>
      <c r="HUS23" s="64"/>
      <c r="HUT23" s="64"/>
      <c r="HUU23" s="64"/>
      <c r="HUV23" s="64"/>
      <c r="HUW23" s="64"/>
      <c r="HUX23" s="64"/>
      <c r="HUY23" s="64"/>
      <c r="HUZ23" s="64"/>
      <c r="HVA23" s="64"/>
      <c r="HVB23" s="64"/>
      <c r="HVC23" s="64"/>
      <c r="HVD23" s="64"/>
      <c r="HVE23" s="64"/>
      <c r="HVF23" s="64"/>
      <c r="HVG23" s="64"/>
      <c r="HVH23" s="64"/>
      <c r="HVI23" s="64"/>
      <c r="HVJ23" s="64"/>
      <c r="HVK23" s="64"/>
      <c r="HVL23" s="64"/>
      <c r="HVM23" s="64"/>
      <c r="HVN23" s="64"/>
      <c r="HVO23" s="64"/>
      <c r="HVP23" s="64"/>
      <c r="HVQ23" s="64"/>
      <c r="HVR23" s="64"/>
      <c r="HVS23" s="64"/>
      <c r="HVT23" s="64"/>
      <c r="HVU23" s="64"/>
      <c r="HVV23" s="64"/>
      <c r="HVW23" s="64"/>
      <c r="HVX23" s="64"/>
      <c r="HVY23" s="64"/>
      <c r="HVZ23" s="64"/>
      <c r="HWA23" s="64"/>
      <c r="HWB23" s="64"/>
      <c r="HWC23" s="64"/>
      <c r="HWD23" s="64"/>
      <c r="HWE23" s="64"/>
      <c r="HWF23" s="64"/>
      <c r="HWG23" s="64"/>
      <c r="HWH23" s="64"/>
      <c r="HWI23" s="64"/>
      <c r="HWJ23" s="64"/>
      <c r="HWK23" s="64"/>
      <c r="HWL23" s="64"/>
      <c r="HWM23" s="64"/>
      <c r="HWN23" s="64"/>
      <c r="HWO23" s="64"/>
      <c r="HWP23" s="64"/>
      <c r="HWQ23" s="64"/>
      <c r="HWR23" s="64"/>
      <c r="HWS23" s="64"/>
      <c r="HWT23" s="64"/>
      <c r="HWU23" s="64"/>
      <c r="HWV23" s="64"/>
      <c r="HWW23" s="64"/>
      <c r="HWX23" s="64"/>
      <c r="HWY23" s="64"/>
      <c r="HWZ23" s="64"/>
      <c r="HXA23" s="64"/>
      <c r="HXB23" s="64"/>
      <c r="HXC23" s="64"/>
      <c r="HXD23" s="64"/>
      <c r="HXE23" s="64"/>
      <c r="HXF23" s="64"/>
      <c r="HXG23" s="64"/>
      <c r="HXH23" s="64"/>
      <c r="HXI23" s="64"/>
      <c r="HXJ23" s="64"/>
      <c r="HXK23" s="64"/>
      <c r="HXL23" s="64"/>
      <c r="HXM23" s="64"/>
      <c r="HXN23" s="64"/>
      <c r="HXO23" s="64"/>
      <c r="HXP23" s="64"/>
      <c r="HXQ23" s="64"/>
      <c r="HXR23" s="64"/>
      <c r="HXS23" s="64"/>
      <c r="HXT23" s="64"/>
      <c r="HXU23" s="64"/>
      <c r="HXV23" s="64"/>
      <c r="HXW23" s="64"/>
      <c r="HXX23" s="64"/>
      <c r="HXY23" s="64"/>
      <c r="HXZ23" s="64"/>
      <c r="HYA23" s="64"/>
      <c r="HYB23" s="64"/>
      <c r="HYC23" s="64"/>
      <c r="HYD23" s="64"/>
      <c r="HYE23" s="64"/>
      <c r="HYF23" s="64"/>
      <c r="HYG23" s="64"/>
      <c r="HYH23" s="64"/>
      <c r="HYI23" s="64"/>
      <c r="HYJ23" s="64"/>
      <c r="HYK23" s="64"/>
      <c r="HYL23" s="64"/>
      <c r="HYM23" s="64"/>
      <c r="HYN23" s="64"/>
      <c r="HYO23" s="64"/>
      <c r="HYP23" s="64"/>
      <c r="HYQ23" s="64"/>
      <c r="HYR23" s="64"/>
      <c r="HYS23" s="64"/>
      <c r="HYT23" s="64"/>
      <c r="HYU23" s="64"/>
      <c r="HYV23" s="64"/>
      <c r="HYW23" s="64"/>
      <c r="HYX23" s="64"/>
      <c r="HYY23" s="64"/>
      <c r="HYZ23" s="64"/>
      <c r="HZA23" s="64"/>
      <c r="HZB23" s="64"/>
      <c r="HZC23" s="64"/>
      <c r="HZD23" s="64"/>
      <c r="HZE23" s="64"/>
      <c r="HZF23" s="64"/>
      <c r="HZG23" s="64"/>
      <c r="HZH23" s="64"/>
      <c r="HZI23" s="64"/>
      <c r="HZJ23" s="64"/>
      <c r="HZK23" s="64"/>
      <c r="HZL23" s="64"/>
      <c r="HZM23" s="64"/>
      <c r="HZN23" s="64"/>
      <c r="HZO23" s="64"/>
      <c r="HZP23" s="64"/>
      <c r="HZQ23" s="64"/>
      <c r="HZR23" s="64"/>
      <c r="HZS23" s="64"/>
      <c r="HZT23" s="64"/>
      <c r="HZU23" s="64"/>
      <c r="HZV23" s="64"/>
      <c r="HZW23" s="64"/>
      <c r="HZX23" s="64"/>
      <c r="HZY23" s="64"/>
      <c r="HZZ23" s="64"/>
      <c r="IAA23" s="64"/>
      <c r="IAB23" s="64"/>
      <c r="IAC23" s="64"/>
      <c r="IAD23" s="64"/>
      <c r="IAE23" s="64"/>
      <c r="IAF23" s="64"/>
      <c r="IAG23" s="64"/>
      <c r="IAH23" s="64"/>
      <c r="IAI23" s="64"/>
      <c r="IAJ23" s="64"/>
      <c r="IAK23" s="64"/>
      <c r="IAL23" s="64"/>
      <c r="IAM23" s="64"/>
      <c r="IAN23" s="64"/>
      <c r="IAO23" s="64"/>
      <c r="IAP23" s="64"/>
      <c r="IAQ23" s="64"/>
      <c r="IAR23" s="64"/>
      <c r="IAS23" s="64"/>
      <c r="IAT23" s="64"/>
      <c r="IAU23" s="64"/>
      <c r="IAV23" s="64"/>
      <c r="IAW23" s="64"/>
      <c r="IAX23" s="64"/>
      <c r="IAY23" s="64"/>
      <c r="IAZ23" s="64"/>
      <c r="IBA23" s="64"/>
      <c r="IBB23" s="64"/>
      <c r="IBC23" s="64"/>
      <c r="IBD23" s="64"/>
      <c r="IBE23" s="64"/>
      <c r="IBF23" s="64"/>
      <c r="IBG23" s="64"/>
      <c r="IBH23" s="64"/>
      <c r="IBI23" s="64"/>
      <c r="IBJ23" s="64"/>
      <c r="IBK23" s="64"/>
      <c r="IBL23" s="64"/>
      <c r="IBM23" s="64"/>
      <c r="IBN23" s="64"/>
      <c r="IBO23" s="64"/>
      <c r="IBP23" s="64"/>
      <c r="IBQ23" s="64"/>
      <c r="IBR23" s="64"/>
      <c r="IBS23" s="64"/>
      <c r="IBT23" s="64"/>
      <c r="IBU23" s="64"/>
      <c r="IBV23" s="64"/>
      <c r="IBW23" s="64"/>
      <c r="IBX23" s="64"/>
      <c r="IBY23" s="64"/>
      <c r="IBZ23" s="64"/>
      <c r="ICA23" s="64"/>
      <c r="ICB23" s="64"/>
      <c r="ICC23" s="64"/>
      <c r="ICD23" s="64"/>
      <c r="ICE23" s="64"/>
      <c r="ICF23" s="64"/>
      <c r="ICG23" s="64"/>
      <c r="ICH23" s="64"/>
      <c r="ICI23" s="64"/>
      <c r="ICJ23" s="64"/>
      <c r="ICK23" s="64"/>
      <c r="ICL23" s="64"/>
      <c r="ICM23" s="64"/>
      <c r="ICN23" s="64"/>
      <c r="ICO23" s="64"/>
      <c r="ICP23" s="64"/>
      <c r="ICQ23" s="64"/>
      <c r="ICR23" s="64"/>
      <c r="ICS23" s="64"/>
      <c r="ICT23" s="64"/>
      <c r="ICU23" s="64"/>
      <c r="ICV23" s="64"/>
      <c r="ICW23" s="64"/>
      <c r="ICX23" s="64"/>
      <c r="ICY23" s="64"/>
      <c r="ICZ23" s="64"/>
      <c r="IDA23" s="64"/>
      <c r="IDB23" s="64"/>
      <c r="IDC23" s="64"/>
      <c r="IDD23" s="64"/>
      <c r="IDE23" s="64"/>
      <c r="IDF23" s="64"/>
      <c r="IDG23" s="64"/>
      <c r="IDH23" s="64"/>
      <c r="IDI23" s="64"/>
      <c r="IDJ23" s="64"/>
      <c r="IDK23" s="64"/>
      <c r="IDL23" s="64"/>
      <c r="IDM23" s="64"/>
      <c r="IDN23" s="64"/>
      <c r="IDO23" s="64"/>
      <c r="IDP23" s="64"/>
      <c r="IDQ23" s="64"/>
      <c r="IDR23" s="64"/>
      <c r="IDS23" s="64"/>
      <c r="IDT23" s="64"/>
      <c r="IDU23" s="64"/>
      <c r="IDV23" s="64"/>
      <c r="IDW23" s="64"/>
      <c r="IDX23" s="64"/>
      <c r="IDY23" s="64"/>
      <c r="IDZ23" s="64"/>
      <c r="IEA23" s="64"/>
      <c r="IEB23" s="64"/>
      <c r="IEC23" s="64"/>
      <c r="IED23" s="64"/>
      <c r="IEE23" s="64"/>
      <c r="IEF23" s="64"/>
      <c r="IEG23" s="64"/>
      <c r="IEH23" s="64"/>
      <c r="IEI23" s="64"/>
      <c r="IEJ23" s="64"/>
      <c r="IEK23" s="64"/>
      <c r="IEL23" s="64"/>
      <c r="IEM23" s="64"/>
      <c r="IEN23" s="64"/>
      <c r="IEO23" s="64"/>
      <c r="IEP23" s="64"/>
      <c r="IEQ23" s="64"/>
      <c r="IER23" s="64"/>
      <c r="IES23" s="64"/>
      <c r="IET23" s="64"/>
      <c r="IEU23" s="64"/>
      <c r="IEV23" s="64"/>
      <c r="IEW23" s="64"/>
      <c r="IEX23" s="64"/>
      <c r="IEY23" s="64"/>
      <c r="IEZ23" s="64"/>
      <c r="IFA23" s="64"/>
      <c r="IFB23" s="64"/>
      <c r="IFC23" s="64"/>
      <c r="IFD23" s="64"/>
      <c r="IFE23" s="64"/>
      <c r="IFF23" s="64"/>
      <c r="IFG23" s="64"/>
      <c r="IFH23" s="64"/>
      <c r="IFI23" s="64"/>
      <c r="IFJ23" s="64"/>
      <c r="IFK23" s="64"/>
      <c r="IFL23" s="64"/>
      <c r="IFM23" s="64"/>
      <c r="IFN23" s="64"/>
      <c r="IFO23" s="64"/>
      <c r="IFP23" s="64"/>
      <c r="IFQ23" s="64"/>
      <c r="IFR23" s="64"/>
      <c r="IFS23" s="64"/>
      <c r="IFT23" s="64"/>
      <c r="IFU23" s="64"/>
      <c r="IFV23" s="64"/>
      <c r="IFW23" s="64"/>
      <c r="IFX23" s="64"/>
      <c r="IFY23" s="64"/>
      <c r="IFZ23" s="64"/>
      <c r="IGA23" s="64"/>
      <c r="IGB23" s="64"/>
      <c r="IGC23" s="64"/>
      <c r="IGD23" s="64"/>
      <c r="IGE23" s="64"/>
      <c r="IGF23" s="64"/>
      <c r="IGG23" s="64"/>
      <c r="IGH23" s="64"/>
      <c r="IGI23" s="64"/>
      <c r="IGJ23" s="64"/>
      <c r="IGK23" s="64"/>
      <c r="IGL23" s="64"/>
      <c r="IGM23" s="64"/>
      <c r="IGN23" s="64"/>
      <c r="IGO23" s="64"/>
      <c r="IGP23" s="64"/>
      <c r="IGQ23" s="64"/>
      <c r="IGR23" s="64"/>
      <c r="IGS23" s="64"/>
      <c r="IGT23" s="64"/>
      <c r="IGU23" s="64"/>
      <c r="IGV23" s="64"/>
      <c r="IGW23" s="64"/>
      <c r="IGX23" s="64"/>
      <c r="IGY23" s="64"/>
      <c r="IGZ23" s="64"/>
      <c r="IHA23" s="64"/>
      <c r="IHB23" s="64"/>
      <c r="IHC23" s="64"/>
      <c r="IHD23" s="64"/>
      <c r="IHE23" s="64"/>
      <c r="IHF23" s="64"/>
      <c r="IHG23" s="64"/>
      <c r="IHH23" s="64"/>
      <c r="IHI23" s="64"/>
      <c r="IHJ23" s="64"/>
      <c r="IHK23" s="64"/>
      <c r="IHL23" s="64"/>
      <c r="IHM23" s="64"/>
      <c r="IHN23" s="64"/>
      <c r="IHO23" s="64"/>
      <c r="IHP23" s="64"/>
      <c r="IHQ23" s="64"/>
      <c r="IHR23" s="64"/>
      <c r="IHS23" s="64"/>
      <c r="IHT23" s="64"/>
      <c r="IHU23" s="64"/>
      <c r="IHV23" s="64"/>
      <c r="IHW23" s="64"/>
      <c r="IHX23" s="64"/>
      <c r="IHY23" s="64"/>
      <c r="IHZ23" s="64"/>
      <c r="IIA23" s="64"/>
      <c r="IIB23" s="64"/>
      <c r="IIC23" s="64"/>
      <c r="IID23" s="64"/>
      <c r="IIE23" s="64"/>
      <c r="IIF23" s="64"/>
      <c r="IIG23" s="64"/>
      <c r="IIH23" s="64"/>
      <c r="III23" s="64"/>
      <c r="IIJ23" s="64"/>
      <c r="IIK23" s="64"/>
      <c r="IIL23" s="64"/>
      <c r="IIM23" s="64"/>
      <c r="IIN23" s="64"/>
      <c r="IIO23" s="64"/>
      <c r="IIP23" s="64"/>
      <c r="IIQ23" s="64"/>
      <c r="IIR23" s="64"/>
      <c r="IIS23" s="64"/>
      <c r="IIT23" s="64"/>
      <c r="IIU23" s="64"/>
      <c r="IIV23" s="64"/>
      <c r="IIW23" s="64"/>
      <c r="IIX23" s="64"/>
      <c r="IIY23" s="64"/>
      <c r="IIZ23" s="64"/>
      <c r="IJA23" s="64"/>
      <c r="IJB23" s="64"/>
      <c r="IJC23" s="64"/>
      <c r="IJD23" s="64"/>
      <c r="IJE23" s="64"/>
      <c r="IJF23" s="64"/>
      <c r="IJG23" s="64"/>
      <c r="IJH23" s="64"/>
      <c r="IJI23" s="64"/>
      <c r="IJJ23" s="64"/>
      <c r="IJK23" s="64"/>
      <c r="IJL23" s="64"/>
      <c r="IJM23" s="64"/>
      <c r="IJN23" s="64"/>
      <c r="IJO23" s="64"/>
      <c r="IJP23" s="64"/>
      <c r="IJQ23" s="64"/>
      <c r="IJR23" s="64"/>
      <c r="IJS23" s="64"/>
      <c r="IJT23" s="64"/>
      <c r="IJU23" s="64"/>
      <c r="IJV23" s="64"/>
      <c r="IJW23" s="64"/>
      <c r="IJX23" s="64"/>
      <c r="IJY23" s="64"/>
      <c r="IJZ23" s="64"/>
      <c r="IKA23" s="64"/>
      <c r="IKB23" s="64"/>
      <c r="IKC23" s="64"/>
      <c r="IKD23" s="64"/>
      <c r="IKE23" s="64"/>
      <c r="IKF23" s="64"/>
      <c r="IKG23" s="64"/>
      <c r="IKH23" s="64"/>
      <c r="IKI23" s="64"/>
      <c r="IKJ23" s="64"/>
      <c r="IKK23" s="64"/>
      <c r="IKL23" s="64"/>
      <c r="IKM23" s="64"/>
      <c r="IKN23" s="64"/>
      <c r="IKO23" s="64"/>
      <c r="IKP23" s="64"/>
      <c r="IKQ23" s="64"/>
      <c r="IKR23" s="64"/>
      <c r="IKS23" s="64"/>
      <c r="IKT23" s="64"/>
      <c r="IKU23" s="64"/>
      <c r="IKV23" s="64"/>
      <c r="IKW23" s="64"/>
      <c r="IKX23" s="64"/>
      <c r="IKY23" s="64"/>
      <c r="IKZ23" s="64"/>
      <c r="ILA23" s="64"/>
      <c r="ILB23" s="64"/>
      <c r="ILC23" s="64"/>
      <c r="ILD23" s="64"/>
      <c r="ILE23" s="64"/>
      <c r="ILF23" s="64"/>
      <c r="ILG23" s="64"/>
      <c r="ILH23" s="64"/>
      <c r="ILI23" s="64"/>
      <c r="ILJ23" s="64"/>
      <c r="ILK23" s="64"/>
      <c r="ILL23" s="64"/>
      <c r="ILM23" s="64"/>
      <c r="ILN23" s="64"/>
      <c r="ILO23" s="64"/>
      <c r="ILP23" s="64"/>
      <c r="ILQ23" s="64"/>
      <c r="ILR23" s="64"/>
      <c r="ILS23" s="64"/>
      <c r="ILT23" s="64"/>
      <c r="ILU23" s="64"/>
      <c r="ILV23" s="64"/>
      <c r="ILW23" s="64"/>
      <c r="ILX23" s="64"/>
      <c r="ILY23" s="64"/>
      <c r="ILZ23" s="64"/>
      <c r="IMA23" s="64"/>
      <c r="IMB23" s="64"/>
      <c r="IMC23" s="64"/>
      <c r="IMD23" s="64"/>
      <c r="IME23" s="64"/>
      <c r="IMF23" s="64"/>
      <c r="IMG23" s="64"/>
      <c r="IMH23" s="64"/>
      <c r="IMI23" s="64"/>
      <c r="IMJ23" s="64"/>
      <c r="IMK23" s="64"/>
      <c r="IML23" s="64"/>
      <c r="IMM23" s="64"/>
      <c r="IMN23" s="64"/>
      <c r="IMO23" s="64"/>
      <c r="IMP23" s="64"/>
      <c r="IMQ23" s="64"/>
      <c r="IMR23" s="64"/>
      <c r="IMS23" s="64"/>
      <c r="IMT23" s="64"/>
      <c r="IMU23" s="64"/>
      <c r="IMV23" s="64"/>
      <c r="IMW23" s="64"/>
      <c r="IMX23" s="64"/>
      <c r="IMY23" s="64"/>
      <c r="IMZ23" s="64"/>
      <c r="INA23" s="64"/>
      <c r="INB23" s="64"/>
      <c r="INC23" s="64"/>
      <c r="IND23" s="64"/>
      <c r="INE23" s="64"/>
      <c r="INF23" s="64"/>
      <c r="ING23" s="64"/>
      <c r="INH23" s="64"/>
      <c r="INI23" s="64"/>
      <c r="INJ23" s="64"/>
      <c r="INK23" s="64"/>
      <c r="INL23" s="64"/>
      <c r="INM23" s="64"/>
      <c r="INN23" s="64"/>
      <c r="INO23" s="64"/>
      <c r="INP23" s="64"/>
      <c r="INQ23" s="64"/>
      <c r="INR23" s="64"/>
      <c r="INS23" s="64"/>
      <c r="INT23" s="64"/>
      <c r="INU23" s="64"/>
      <c r="INV23" s="64"/>
      <c r="INW23" s="64"/>
      <c r="INX23" s="64"/>
      <c r="INY23" s="64"/>
      <c r="INZ23" s="64"/>
      <c r="IOA23" s="64"/>
      <c r="IOB23" s="64"/>
      <c r="IOC23" s="64"/>
      <c r="IOD23" s="64"/>
      <c r="IOE23" s="64"/>
      <c r="IOF23" s="64"/>
      <c r="IOG23" s="64"/>
      <c r="IOH23" s="64"/>
      <c r="IOI23" s="64"/>
      <c r="IOJ23" s="64"/>
      <c r="IOK23" s="64"/>
      <c r="IOL23" s="64"/>
      <c r="IOM23" s="64"/>
      <c r="ION23" s="64"/>
      <c r="IOO23" s="64"/>
      <c r="IOP23" s="64"/>
      <c r="IOQ23" s="64"/>
      <c r="IOR23" s="64"/>
      <c r="IOS23" s="64"/>
      <c r="IOT23" s="64"/>
      <c r="IOU23" s="64"/>
      <c r="IOV23" s="64"/>
      <c r="IOW23" s="64"/>
      <c r="IOX23" s="64"/>
      <c r="IOY23" s="64"/>
      <c r="IOZ23" s="64"/>
      <c r="IPA23" s="64"/>
      <c r="IPB23" s="64"/>
      <c r="IPC23" s="64"/>
      <c r="IPD23" s="64"/>
      <c r="IPE23" s="64"/>
      <c r="IPF23" s="64"/>
      <c r="IPG23" s="64"/>
      <c r="IPH23" s="64"/>
      <c r="IPI23" s="64"/>
      <c r="IPJ23" s="64"/>
      <c r="IPK23" s="64"/>
      <c r="IPL23" s="64"/>
      <c r="IPM23" s="64"/>
      <c r="IPN23" s="64"/>
      <c r="IPO23" s="64"/>
      <c r="IPP23" s="64"/>
      <c r="IPQ23" s="64"/>
      <c r="IPR23" s="64"/>
      <c r="IPS23" s="64"/>
      <c r="IPT23" s="64"/>
      <c r="IPU23" s="64"/>
      <c r="IPV23" s="64"/>
      <c r="IPW23" s="64"/>
      <c r="IPX23" s="64"/>
      <c r="IPY23" s="64"/>
      <c r="IPZ23" s="64"/>
      <c r="IQA23" s="64"/>
      <c r="IQB23" s="64"/>
      <c r="IQC23" s="64"/>
      <c r="IQD23" s="64"/>
      <c r="IQE23" s="64"/>
      <c r="IQF23" s="64"/>
      <c r="IQG23" s="64"/>
      <c r="IQH23" s="64"/>
      <c r="IQI23" s="64"/>
      <c r="IQJ23" s="64"/>
      <c r="IQK23" s="64"/>
      <c r="IQL23" s="64"/>
      <c r="IQM23" s="64"/>
      <c r="IQN23" s="64"/>
      <c r="IQO23" s="64"/>
      <c r="IQP23" s="64"/>
      <c r="IQQ23" s="64"/>
      <c r="IQR23" s="64"/>
      <c r="IQS23" s="64"/>
      <c r="IQT23" s="64"/>
      <c r="IQU23" s="64"/>
      <c r="IQV23" s="64"/>
      <c r="IQW23" s="64"/>
      <c r="IQX23" s="64"/>
      <c r="IQY23" s="64"/>
      <c r="IQZ23" s="64"/>
      <c r="IRA23" s="64"/>
      <c r="IRB23" s="64"/>
      <c r="IRC23" s="64"/>
      <c r="IRD23" s="64"/>
      <c r="IRE23" s="64"/>
      <c r="IRF23" s="64"/>
      <c r="IRG23" s="64"/>
      <c r="IRH23" s="64"/>
      <c r="IRI23" s="64"/>
      <c r="IRJ23" s="64"/>
      <c r="IRK23" s="64"/>
      <c r="IRL23" s="64"/>
      <c r="IRM23" s="64"/>
      <c r="IRN23" s="64"/>
      <c r="IRO23" s="64"/>
      <c r="IRP23" s="64"/>
      <c r="IRQ23" s="64"/>
      <c r="IRR23" s="64"/>
      <c r="IRS23" s="64"/>
      <c r="IRT23" s="64"/>
      <c r="IRU23" s="64"/>
      <c r="IRV23" s="64"/>
      <c r="IRW23" s="64"/>
      <c r="IRX23" s="64"/>
      <c r="IRY23" s="64"/>
      <c r="IRZ23" s="64"/>
      <c r="ISA23" s="64"/>
      <c r="ISB23" s="64"/>
      <c r="ISC23" s="64"/>
      <c r="ISD23" s="64"/>
      <c r="ISE23" s="64"/>
      <c r="ISF23" s="64"/>
      <c r="ISG23" s="64"/>
      <c r="ISH23" s="64"/>
      <c r="ISI23" s="64"/>
      <c r="ISJ23" s="64"/>
      <c r="ISK23" s="64"/>
      <c r="ISL23" s="64"/>
      <c r="ISM23" s="64"/>
      <c r="ISN23" s="64"/>
      <c r="ISO23" s="64"/>
      <c r="ISP23" s="64"/>
      <c r="ISQ23" s="64"/>
      <c r="ISR23" s="64"/>
      <c r="ISS23" s="64"/>
      <c r="IST23" s="64"/>
      <c r="ISU23" s="64"/>
      <c r="ISV23" s="64"/>
      <c r="ISW23" s="64"/>
      <c r="ISX23" s="64"/>
      <c r="ISY23" s="64"/>
      <c r="ISZ23" s="64"/>
      <c r="ITA23" s="64"/>
      <c r="ITB23" s="64"/>
      <c r="ITC23" s="64"/>
      <c r="ITD23" s="64"/>
      <c r="ITE23" s="64"/>
      <c r="ITF23" s="64"/>
      <c r="ITG23" s="64"/>
      <c r="ITH23" s="64"/>
      <c r="ITI23" s="64"/>
      <c r="ITJ23" s="64"/>
      <c r="ITK23" s="64"/>
      <c r="ITL23" s="64"/>
      <c r="ITM23" s="64"/>
      <c r="ITN23" s="64"/>
      <c r="ITO23" s="64"/>
      <c r="ITP23" s="64"/>
      <c r="ITQ23" s="64"/>
      <c r="ITR23" s="64"/>
      <c r="ITS23" s="64"/>
      <c r="ITT23" s="64"/>
      <c r="ITU23" s="64"/>
      <c r="ITV23" s="64"/>
      <c r="ITW23" s="64"/>
      <c r="ITX23" s="64"/>
      <c r="ITY23" s="64"/>
      <c r="ITZ23" s="64"/>
      <c r="IUA23" s="64"/>
      <c r="IUB23" s="64"/>
      <c r="IUC23" s="64"/>
      <c r="IUD23" s="64"/>
      <c r="IUE23" s="64"/>
      <c r="IUF23" s="64"/>
      <c r="IUG23" s="64"/>
      <c r="IUH23" s="64"/>
      <c r="IUI23" s="64"/>
      <c r="IUJ23" s="64"/>
      <c r="IUK23" s="64"/>
      <c r="IUL23" s="64"/>
      <c r="IUM23" s="64"/>
      <c r="IUN23" s="64"/>
      <c r="IUO23" s="64"/>
      <c r="IUP23" s="64"/>
      <c r="IUQ23" s="64"/>
      <c r="IUR23" s="64"/>
      <c r="IUS23" s="64"/>
      <c r="IUT23" s="64"/>
      <c r="IUU23" s="64"/>
      <c r="IUV23" s="64"/>
      <c r="IUW23" s="64"/>
      <c r="IUX23" s="64"/>
      <c r="IUY23" s="64"/>
      <c r="IUZ23" s="64"/>
      <c r="IVA23" s="64"/>
      <c r="IVB23" s="64"/>
      <c r="IVC23" s="64"/>
      <c r="IVD23" s="64"/>
      <c r="IVE23" s="64"/>
      <c r="IVF23" s="64"/>
      <c r="IVG23" s="64"/>
      <c r="IVH23" s="64"/>
      <c r="IVI23" s="64"/>
      <c r="IVJ23" s="64"/>
      <c r="IVK23" s="64"/>
      <c r="IVL23" s="64"/>
      <c r="IVM23" s="64"/>
      <c r="IVN23" s="64"/>
      <c r="IVO23" s="64"/>
      <c r="IVP23" s="64"/>
      <c r="IVQ23" s="64"/>
      <c r="IVR23" s="64"/>
      <c r="IVS23" s="64"/>
      <c r="IVT23" s="64"/>
      <c r="IVU23" s="64"/>
      <c r="IVV23" s="64"/>
      <c r="IVW23" s="64"/>
      <c r="IVX23" s="64"/>
      <c r="IVY23" s="64"/>
      <c r="IVZ23" s="64"/>
      <c r="IWA23" s="64"/>
      <c r="IWB23" s="64"/>
      <c r="IWC23" s="64"/>
      <c r="IWD23" s="64"/>
      <c r="IWE23" s="64"/>
      <c r="IWF23" s="64"/>
      <c r="IWG23" s="64"/>
      <c r="IWH23" s="64"/>
      <c r="IWI23" s="64"/>
      <c r="IWJ23" s="64"/>
      <c r="IWK23" s="64"/>
      <c r="IWL23" s="64"/>
      <c r="IWM23" s="64"/>
      <c r="IWN23" s="64"/>
      <c r="IWO23" s="64"/>
      <c r="IWP23" s="64"/>
      <c r="IWQ23" s="64"/>
      <c r="IWR23" s="64"/>
      <c r="IWS23" s="64"/>
      <c r="IWT23" s="64"/>
      <c r="IWU23" s="64"/>
      <c r="IWV23" s="64"/>
      <c r="IWW23" s="64"/>
      <c r="IWX23" s="64"/>
      <c r="IWY23" s="64"/>
      <c r="IWZ23" s="64"/>
      <c r="IXA23" s="64"/>
      <c r="IXB23" s="64"/>
      <c r="IXC23" s="64"/>
      <c r="IXD23" s="64"/>
      <c r="IXE23" s="64"/>
      <c r="IXF23" s="64"/>
      <c r="IXG23" s="64"/>
      <c r="IXH23" s="64"/>
      <c r="IXI23" s="64"/>
      <c r="IXJ23" s="64"/>
      <c r="IXK23" s="64"/>
      <c r="IXL23" s="64"/>
      <c r="IXM23" s="64"/>
      <c r="IXN23" s="64"/>
      <c r="IXO23" s="64"/>
      <c r="IXP23" s="64"/>
      <c r="IXQ23" s="64"/>
      <c r="IXR23" s="64"/>
      <c r="IXS23" s="64"/>
      <c r="IXT23" s="64"/>
      <c r="IXU23" s="64"/>
      <c r="IXV23" s="64"/>
      <c r="IXW23" s="64"/>
      <c r="IXX23" s="64"/>
      <c r="IXY23" s="64"/>
      <c r="IXZ23" s="64"/>
      <c r="IYA23" s="64"/>
      <c r="IYB23" s="64"/>
      <c r="IYC23" s="64"/>
      <c r="IYD23" s="64"/>
      <c r="IYE23" s="64"/>
      <c r="IYF23" s="64"/>
      <c r="IYG23" s="64"/>
      <c r="IYH23" s="64"/>
      <c r="IYI23" s="64"/>
      <c r="IYJ23" s="64"/>
      <c r="IYK23" s="64"/>
      <c r="IYL23" s="64"/>
      <c r="IYM23" s="64"/>
      <c r="IYN23" s="64"/>
      <c r="IYO23" s="64"/>
      <c r="IYP23" s="64"/>
      <c r="IYQ23" s="64"/>
      <c r="IYR23" s="64"/>
      <c r="IYS23" s="64"/>
      <c r="IYT23" s="64"/>
      <c r="IYU23" s="64"/>
      <c r="IYV23" s="64"/>
      <c r="IYW23" s="64"/>
      <c r="IYX23" s="64"/>
      <c r="IYY23" s="64"/>
      <c r="IYZ23" s="64"/>
      <c r="IZA23" s="64"/>
      <c r="IZB23" s="64"/>
      <c r="IZC23" s="64"/>
      <c r="IZD23" s="64"/>
      <c r="IZE23" s="64"/>
      <c r="IZF23" s="64"/>
      <c r="IZG23" s="64"/>
      <c r="IZH23" s="64"/>
      <c r="IZI23" s="64"/>
      <c r="IZJ23" s="64"/>
      <c r="IZK23" s="64"/>
      <c r="IZL23" s="64"/>
      <c r="IZM23" s="64"/>
      <c r="IZN23" s="64"/>
      <c r="IZO23" s="64"/>
      <c r="IZP23" s="64"/>
      <c r="IZQ23" s="64"/>
      <c r="IZR23" s="64"/>
      <c r="IZS23" s="64"/>
      <c r="IZT23" s="64"/>
      <c r="IZU23" s="64"/>
      <c r="IZV23" s="64"/>
      <c r="IZW23" s="64"/>
      <c r="IZX23" s="64"/>
      <c r="IZY23" s="64"/>
      <c r="IZZ23" s="64"/>
      <c r="JAA23" s="64"/>
      <c r="JAB23" s="64"/>
      <c r="JAC23" s="64"/>
      <c r="JAD23" s="64"/>
      <c r="JAE23" s="64"/>
      <c r="JAF23" s="64"/>
      <c r="JAG23" s="64"/>
      <c r="JAH23" s="64"/>
      <c r="JAI23" s="64"/>
      <c r="JAJ23" s="64"/>
      <c r="JAK23" s="64"/>
      <c r="JAL23" s="64"/>
      <c r="JAM23" s="64"/>
      <c r="JAN23" s="64"/>
      <c r="JAO23" s="64"/>
      <c r="JAP23" s="64"/>
      <c r="JAQ23" s="64"/>
      <c r="JAR23" s="64"/>
      <c r="JAS23" s="64"/>
      <c r="JAT23" s="64"/>
      <c r="JAU23" s="64"/>
      <c r="JAV23" s="64"/>
      <c r="JAW23" s="64"/>
      <c r="JAX23" s="64"/>
      <c r="JAY23" s="64"/>
      <c r="JAZ23" s="64"/>
      <c r="JBA23" s="64"/>
      <c r="JBB23" s="64"/>
      <c r="JBC23" s="64"/>
      <c r="JBD23" s="64"/>
      <c r="JBE23" s="64"/>
      <c r="JBF23" s="64"/>
      <c r="JBG23" s="64"/>
      <c r="JBH23" s="64"/>
      <c r="JBI23" s="64"/>
      <c r="JBJ23" s="64"/>
      <c r="JBK23" s="64"/>
      <c r="JBL23" s="64"/>
      <c r="JBM23" s="64"/>
      <c r="JBN23" s="64"/>
      <c r="JBO23" s="64"/>
      <c r="JBP23" s="64"/>
      <c r="JBQ23" s="64"/>
      <c r="JBR23" s="64"/>
      <c r="JBS23" s="64"/>
      <c r="JBT23" s="64"/>
      <c r="JBU23" s="64"/>
      <c r="JBV23" s="64"/>
      <c r="JBW23" s="64"/>
      <c r="JBX23" s="64"/>
      <c r="JBY23" s="64"/>
      <c r="JBZ23" s="64"/>
      <c r="JCA23" s="64"/>
      <c r="JCB23" s="64"/>
      <c r="JCC23" s="64"/>
      <c r="JCD23" s="64"/>
      <c r="JCE23" s="64"/>
      <c r="JCF23" s="64"/>
      <c r="JCG23" s="64"/>
      <c r="JCH23" s="64"/>
      <c r="JCI23" s="64"/>
      <c r="JCJ23" s="64"/>
      <c r="JCK23" s="64"/>
      <c r="JCL23" s="64"/>
      <c r="JCM23" s="64"/>
      <c r="JCN23" s="64"/>
      <c r="JCO23" s="64"/>
      <c r="JCP23" s="64"/>
      <c r="JCQ23" s="64"/>
      <c r="JCR23" s="64"/>
      <c r="JCS23" s="64"/>
      <c r="JCT23" s="64"/>
      <c r="JCU23" s="64"/>
      <c r="JCV23" s="64"/>
      <c r="JCW23" s="64"/>
      <c r="JCX23" s="64"/>
      <c r="JCY23" s="64"/>
      <c r="JCZ23" s="64"/>
      <c r="JDA23" s="64"/>
      <c r="JDB23" s="64"/>
      <c r="JDC23" s="64"/>
      <c r="JDD23" s="64"/>
      <c r="JDE23" s="64"/>
      <c r="JDF23" s="64"/>
      <c r="JDG23" s="64"/>
      <c r="JDH23" s="64"/>
      <c r="JDI23" s="64"/>
      <c r="JDJ23" s="64"/>
      <c r="JDK23" s="64"/>
      <c r="JDL23" s="64"/>
      <c r="JDM23" s="64"/>
      <c r="JDN23" s="64"/>
      <c r="JDO23" s="64"/>
      <c r="JDP23" s="64"/>
      <c r="JDQ23" s="64"/>
      <c r="JDR23" s="64"/>
      <c r="JDS23" s="64"/>
      <c r="JDT23" s="64"/>
      <c r="JDU23" s="64"/>
      <c r="JDV23" s="64"/>
      <c r="JDW23" s="64"/>
      <c r="JDX23" s="64"/>
      <c r="JDY23" s="64"/>
      <c r="JDZ23" s="64"/>
      <c r="JEA23" s="64"/>
      <c r="JEB23" s="64"/>
      <c r="JEC23" s="64"/>
      <c r="JED23" s="64"/>
      <c r="JEE23" s="64"/>
      <c r="JEF23" s="64"/>
      <c r="JEG23" s="64"/>
      <c r="JEH23" s="64"/>
      <c r="JEI23" s="64"/>
      <c r="JEJ23" s="64"/>
      <c r="JEK23" s="64"/>
      <c r="JEL23" s="64"/>
      <c r="JEM23" s="64"/>
      <c r="JEN23" s="64"/>
      <c r="JEO23" s="64"/>
      <c r="JEP23" s="64"/>
      <c r="JEQ23" s="64"/>
      <c r="JER23" s="64"/>
      <c r="JES23" s="64"/>
      <c r="JET23" s="64"/>
      <c r="JEU23" s="64"/>
      <c r="JEV23" s="64"/>
      <c r="JEW23" s="64"/>
      <c r="JEX23" s="64"/>
      <c r="JEY23" s="64"/>
      <c r="JEZ23" s="64"/>
      <c r="JFA23" s="64"/>
      <c r="JFB23" s="64"/>
      <c r="JFC23" s="64"/>
      <c r="JFD23" s="64"/>
      <c r="JFE23" s="64"/>
      <c r="JFF23" s="64"/>
      <c r="JFG23" s="64"/>
      <c r="JFH23" s="64"/>
      <c r="JFI23" s="64"/>
      <c r="JFJ23" s="64"/>
      <c r="JFK23" s="64"/>
      <c r="JFL23" s="64"/>
      <c r="JFM23" s="64"/>
      <c r="JFN23" s="64"/>
      <c r="JFO23" s="64"/>
      <c r="JFP23" s="64"/>
      <c r="JFQ23" s="64"/>
      <c r="JFR23" s="64"/>
      <c r="JFS23" s="64"/>
      <c r="JFT23" s="64"/>
      <c r="JFU23" s="64"/>
      <c r="JFV23" s="64"/>
      <c r="JFW23" s="64"/>
      <c r="JFX23" s="64"/>
      <c r="JFY23" s="64"/>
      <c r="JFZ23" s="64"/>
      <c r="JGA23" s="64"/>
      <c r="JGB23" s="64"/>
      <c r="JGC23" s="64"/>
      <c r="JGD23" s="64"/>
      <c r="JGE23" s="64"/>
      <c r="JGF23" s="64"/>
      <c r="JGG23" s="64"/>
      <c r="JGH23" s="64"/>
      <c r="JGI23" s="64"/>
      <c r="JGJ23" s="64"/>
      <c r="JGK23" s="64"/>
      <c r="JGL23" s="64"/>
      <c r="JGM23" s="64"/>
      <c r="JGN23" s="64"/>
      <c r="JGO23" s="64"/>
      <c r="JGP23" s="64"/>
      <c r="JGQ23" s="64"/>
      <c r="JGR23" s="64"/>
      <c r="JGS23" s="64"/>
      <c r="JGT23" s="64"/>
      <c r="JGU23" s="64"/>
      <c r="JGV23" s="64"/>
      <c r="JGW23" s="64"/>
      <c r="JGX23" s="64"/>
      <c r="JGY23" s="64"/>
      <c r="JGZ23" s="64"/>
      <c r="JHA23" s="64"/>
      <c r="JHB23" s="64"/>
      <c r="JHC23" s="64"/>
      <c r="JHD23" s="64"/>
      <c r="JHE23" s="64"/>
      <c r="JHF23" s="64"/>
      <c r="JHG23" s="64"/>
      <c r="JHH23" s="64"/>
      <c r="JHI23" s="64"/>
      <c r="JHJ23" s="64"/>
      <c r="JHK23" s="64"/>
      <c r="JHL23" s="64"/>
      <c r="JHM23" s="64"/>
      <c r="JHN23" s="64"/>
      <c r="JHO23" s="64"/>
      <c r="JHP23" s="64"/>
      <c r="JHQ23" s="64"/>
      <c r="JHR23" s="64"/>
      <c r="JHS23" s="64"/>
      <c r="JHT23" s="64"/>
      <c r="JHU23" s="64"/>
      <c r="JHV23" s="64"/>
      <c r="JHW23" s="64"/>
      <c r="JHX23" s="64"/>
      <c r="JHY23" s="64"/>
      <c r="JHZ23" s="64"/>
      <c r="JIA23" s="64"/>
      <c r="JIB23" s="64"/>
      <c r="JIC23" s="64"/>
      <c r="JID23" s="64"/>
      <c r="JIE23" s="64"/>
      <c r="JIF23" s="64"/>
      <c r="JIG23" s="64"/>
      <c r="JIH23" s="64"/>
      <c r="JII23" s="64"/>
      <c r="JIJ23" s="64"/>
      <c r="JIK23" s="64"/>
      <c r="JIL23" s="64"/>
      <c r="JIM23" s="64"/>
      <c r="JIN23" s="64"/>
      <c r="JIO23" s="64"/>
      <c r="JIP23" s="64"/>
      <c r="JIQ23" s="64"/>
      <c r="JIR23" s="64"/>
      <c r="JIS23" s="64"/>
      <c r="JIT23" s="64"/>
      <c r="JIU23" s="64"/>
      <c r="JIV23" s="64"/>
      <c r="JIW23" s="64"/>
      <c r="JIX23" s="64"/>
      <c r="JIY23" s="64"/>
      <c r="JIZ23" s="64"/>
      <c r="JJA23" s="64"/>
      <c r="JJB23" s="64"/>
      <c r="JJC23" s="64"/>
      <c r="JJD23" s="64"/>
      <c r="JJE23" s="64"/>
      <c r="JJF23" s="64"/>
      <c r="JJG23" s="64"/>
      <c r="JJH23" s="64"/>
      <c r="JJI23" s="64"/>
      <c r="JJJ23" s="64"/>
      <c r="JJK23" s="64"/>
      <c r="JJL23" s="64"/>
      <c r="JJM23" s="64"/>
      <c r="JJN23" s="64"/>
      <c r="JJO23" s="64"/>
      <c r="JJP23" s="64"/>
      <c r="JJQ23" s="64"/>
      <c r="JJR23" s="64"/>
      <c r="JJS23" s="64"/>
      <c r="JJT23" s="64"/>
      <c r="JJU23" s="64"/>
      <c r="JJV23" s="64"/>
      <c r="JJW23" s="64"/>
      <c r="JJX23" s="64"/>
      <c r="JJY23" s="64"/>
      <c r="JJZ23" s="64"/>
      <c r="JKA23" s="64"/>
      <c r="JKB23" s="64"/>
      <c r="JKC23" s="64"/>
      <c r="JKD23" s="64"/>
      <c r="JKE23" s="64"/>
      <c r="JKF23" s="64"/>
      <c r="JKG23" s="64"/>
      <c r="JKH23" s="64"/>
      <c r="JKI23" s="64"/>
      <c r="JKJ23" s="64"/>
      <c r="JKK23" s="64"/>
      <c r="JKL23" s="64"/>
      <c r="JKM23" s="64"/>
      <c r="JKN23" s="64"/>
      <c r="JKO23" s="64"/>
      <c r="JKP23" s="64"/>
      <c r="JKQ23" s="64"/>
      <c r="JKR23" s="64"/>
      <c r="JKS23" s="64"/>
      <c r="JKT23" s="64"/>
      <c r="JKU23" s="64"/>
      <c r="JKV23" s="64"/>
      <c r="JKW23" s="64"/>
      <c r="JKX23" s="64"/>
      <c r="JKY23" s="64"/>
      <c r="JKZ23" s="64"/>
      <c r="JLA23" s="64"/>
      <c r="JLB23" s="64"/>
      <c r="JLC23" s="64"/>
      <c r="JLD23" s="64"/>
      <c r="JLE23" s="64"/>
      <c r="JLF23" s="64"/>
      <c r="JLG23" s="64"/>
      <c r="JLH23" s="64"/>
      <c r="JLI23" s="64"/>
      <c r="JLJ23" s="64"/>
      <c r="JLK23" s="64"/>
      <c r="JLL23" s="64"/>
      <c r="JLM23" s="64"/>
      <c r="JLN23" s="64"/>
      <c r="JLO23" s="64"/>
      <c r="JLP23" s="64"/>
      <c r="JLQ23" s="64"/>
      <c r="JLR23" s="64"/>
      <c r="JLS23" s="64"/>
      <c r="JLT23" s="64"/>
      <c r="JLU23" s="64"/>
      <c r="JLV23" s="64"/>
      <c r="JLW23" s="64"/>
      <c r="JLX23" s="64"/>
      <c r="JLY23" s="64"/>
      <c r="JLZ23" s="64"/>
      <c r="JMA23" s="64"/>
      <c r="JMB23" s="64"/>
      <c r="JMC23" s="64"/>
      <c r="JMD23" s="64"/>
      <c r="JME23" s="64"/>
      <c r="JMF23" s="64"/>
      <c r="JMG23" s="64"/>
      <c r="JMH23" s="64"/>
      <c r="JMI23" s="64"/>
      <c r="JMJ23" s="64"/>
      <c r="JMK23" s="64"/>
      <c r="JML23" s="64"/>
      <c r="JMM23" s="64"/>
      <c r="JMN23" s="64"/>
      <c r="JMO23" s="64"/>
      <c r="JMP23" s="64"/>
      <c r="JMQ23" s="64"/>
      <c r="JMR23" s="64"/>
      <c r="JMS23" s="64"/>
      <c r="JMT23" s="64"/>
      <c r="JMU23" s="64"/>
      <c r="JMV23" s="64"/>
      <c r="JMW23" s="64"/>
      <c r="JMX23" s="64"/>
      <c r="JMY23" s="64"/>
      <c r="JMZ23" s="64"/>
      <c r="JNA23" s="64"/>
      <c r="JNB23" s="64"/>
      <c r="JNC23" s="64"/>
      <c r="JND23" s="64"/>
      <c r="JNE23" s="64"/>
      <c r="JNF23" s="64"/>
      <c r="JNG23" s="64"/>
      <c r="JNH23" s="64"/>
      <c r="JNI23" s="64"/>
      <c r="JNJ23" s="64"/>
      <c r="JNK23" s="64"/>
      <c r="JNL23" s="64"/>
      <c r="JNM23" s="64"/>
      <c r="JNN23" s="64"/>
      <c r="JNO23" s="64"/>
      <c r="JNP23" s="64"/>
      <c r="JNQ23" s="64"/>
      <c r="JNR23" s="64"/>
      <c r="JNS23" s="64"/>
      <c r="JNT23" s="64"/>
      <c r="JNU23" s="64"/>
      <c r="JNV23" s="64"/>
      <c r="JNW23" s="64"/>
      <c r="JNX23" s="64"/>
      <c r="JNY23" s="64"/>
      <c r="JNZ23" s="64"/>
      <c r="JOA23" s="64"/>
      <c r="JOB23" s="64"/>
      <c r="JOC23" s="64"/>
      <c r="JOD23" s="64"/>
      <c r="JOE23" s="64"/>
      <c r="JOF23" s="64"/>
      <c r="JOG23" s="64"/>
      <c r="JOH23" s="64"/>
      <c r="JOI23" s="64"/>
      <c r="JOJ23" s="64"/>
      <c r="JOK23" s="64"/>
      <c r="JOL23" s="64"/>
      <c r="JOM23" s="64"/>
      <c r="JON23" s="64"/>
      <c r="JOO23" s="64"/>
      <c r="JOP23" s="64"/>
      <c r="JOQ23" s="64"/>
      <c r="JOR23" s="64"/>
      <c r="JOS23" s="64"/>
      <c r="JOT23" s="64"/>
      <c r="JOU23" s="64"/>
      <c r="JOV23" s="64"/>
      <c r="JOW23" s="64"/>
      <c r="JOX23" s="64"/>
      <c r="JOY23" s="64"/>
      <c r="JOZ23" s="64"/>
      <c r="JPA23" s="64"/>
      <c r="JPB23" s="64"/>
      <c r="JPC23" s="64"/>
      <c r="JPD23" s="64"/>
      <c r="JPE23" s="64"/>
      <c r="JPF23" s="64"/>
      <c r="JPG23" s="64"/>
      <c r="JPH23" s="64"/>
      <c r="JPI23" s="64"/>
      <c r="JPJ23" s="64"/>
      <c r="JPK23" s="64"/>
      <c r="JPL23" s="64"/>
      <c r="JPM23" s="64"/>
      <c r="JPN23" s="64"/>
      <c r="JPO23" s="64"/>
      <c r="JPP23" s="64"/>
      <c r="JPQ23" s="64"/>
      <c r="JPR23" s="64"/>
      <c r="JPS23" s="64"/>
      <c r="JPT23" s="64"/>
      <c r="JPU23" s="64"/>
      <c r="JPV23" s="64"/>
      <c r="JPW23" s="64"/>
      <c r="JPX23" s="64"/>
      <c r="JPY23" s="64"/>
      <c r="JPZ23" s="64"/>
      <c r="JQA23" s="64"/>
      <c r="JQB23" s="64"/>
      <c r="JQC23" s="64"/>
      <c r="JQD23" s="64"/>
      <c r="JQE23" s="64"/>
      <c r="JQF23" s="64"/>
      <c r="JQG23" s="64"/>
      <c r="JQH23" s="64"/>
      <c r="JQI23" s="64"/>
      <c r="JQJ23" s="64"/>
      <c r="JQK23" s="64"/>
      <c r="JQL23" s="64"/>
      <c r="JQM23" s="64"/>
      <c r="JQN23" s="64"/>
      <c r="JQO23" s="64"/>
      <c r="JQP23" s="64"/>
      <c r="JQQ23" s="64"/>
      <c r="JQR23" s="64"/>
      <c r="JQS23" s="64"/>
      <c r="JQT23" s="64"/>
      <c r="JQU23" s="64"/>
      <c r="JQV23" s="64"/>
      <c r="JQW23" s="64"/>
      <c r="JQX23" s="64"/>
      <c r="JQY23" s="64"/>
      <c r="JQZ23" s="64"/>
      <c r="JRA23" s="64"/>
      <c r="JRB23" s="64"/>
      <c r="JRC23" s="64"/>
      <c r="JRD23" s="64"/>
      <c r="JRE23" s="64"/>
      <c r="JRF23" s="64"/>
      <c r="JRG23" s="64"/>
      <c r="JRH23" s="64"/>
      <c r="JRI23" s="64"/>
      <c r="JRJ23" s="64"/>
      <c r="JRK23" s="64"/>
      <c r="JRL23" s="64"/>
      <c r="JRM23" s="64"/>
      <c r="JRN23" s="64"/>
      <c r="JRO23" s="64"/>
      <c r="JRP23" s="64"/>
      <c r="JRQ23" s="64"/>
      <c r="JRR23" s="64"/>
      <c r="JRS23" s="64"/>
      <c r="JRT23" s="64"/>
      <c r="JRU23" s="64"/>
      <c r="JRV23" s="64"/>
      <c r="JRW23" s="64"/>
      <c r="JRX23" s="64"/>
      <c r="JRY23" s="64"/>
      <c r="JRZ23" s="64"/>
      <c r="JSA23" s="64"/>
      <c r="JSB23" s="64"/>
      <c r="JSC23" s="64"/>
      <c r="JSD23" s="64"/>
      <c r="JSE23" s="64"/>
      <c r="JSF23" s="64"/>
      <c r="JSG23" s="64"/>
      <c r="JSH23" s="64"/>
      <c r="JSI23" s="64"/>
      <c r="JSJ23" s="64"/>
      <c r="JSK23" s="64"/>
      <c r="JSL23" s="64"/>
      <c r="JSM23" s="64"/>
      <c r="JSN23" s="64"/>
      <c r="JSO23" s="64"/>
      <c r="JSP23" s="64"/>
      <c r="JSQ23" s="64"/>
      <c r="JSR23" s="64"/>
      <c r="JSS23" s="64"/>
      <c r="JST23" s="64"/>
      <c r="JSU23" s="64"/>
      <c r="JSV23" s="64"/>
      <c r="JSW23" s="64"/>
      <c r="JSX23" s="64"/>
      <c r="JSY23" s="64"/>
      <c r="JSZ23" s="64"/>
      <c r="JTA23" s="64"/>
      <c r="JTB23" s="64"/>
      <c r="JTC23" s="64"/>
      <c r="JTD23" s="64"/>
      <c r="JTE23" s="64"/>
      <c r="JTF23" s="64"/>
      <c r="JTG23" s="64"/>
      <c r="JTH23" s="64"/>
      <c r="JTI23" s="64"/>
      <c r="JTJ23" s="64"/>
      <c r="JTK23" s="64"/>
      <c r="JTL23" s="64"/>
      <c r="JTM23" s="64"/>
      <c r="JTN23" s="64"/>
      <c r="JTO23" s="64"/>
      <c r="JTP23" s="64"/>
      <c r="JTQ23" s="64"/>
      <c r="JTR23" s="64"/>
      <c r="JTS23" s="64"/>
      <c r="JTT23" s="64"/>
      <c r="JTU23" s="64"/>
      <c r="JTV23" s="64"/>
      <c r="JTW23" s="64"/>
      <c r="JTX23" s="64"/>
      <c r="JTY23" s="64"/>
      <c r="JTZ23" s="64"/>
      <c r="JUA23" s="64"/>
      <c r="JUB23" s="64"/>
      <c r="JUC23" s="64"/>
      <c r="JUD23" s="64"/>
      <c r="JUE23" s="64"/>
      <c r="JUF23" s="64"/>
      <c r="JUG23" s="64"/>
      <c r="JUH23" s="64"/>
      <c r="JUI23" s="64"/>
      <c r="JUJ23" s="64"/>
      <c r="JUK23" s="64"/>
      <c r="JUL23" s="64"/>
      <c r="JUM23" s="64"/>
      <c r="JUN23" s="64"/>
      <c r="JUO23" s="64"/>
      <c r="JUP23" s="64"/>
      <c r="JUQ23" s="64"/>
      <c r="JUR23" s="64"/>
      <c r="JUS23" s="64"/>
      <c r="JUT23" s="64"/>
      <c r="JUU23" s="64"/>
      <c r="JUV23" s="64"/>
      <c r="JUW23" s="64"/>
      <c r="JUX23" s="64"/>
      <c r="JUY23" s="64"/>
      <c r="JUZ23" s="64"/>
      <c r="JVA23" s="64"/>
      <c r="JVB23" s="64"/>
      <c r="JVC23" s="64"/>
      <c r="JVD23" s="64"/>
      <c r="JVE23" s="64"/>
      <c r="JVF23" s="64"/>
      <c r="JVG23" s="64"/>
      <c r="JVH23" s="64"/>
      <c r="JVI23" s="64"/>
      <c r="JVJ23" s="64"/>
      <c r="JVK23" s="64"/>
      <c r="JVL23" s="64"/>
      <c r="JVM23" s="64"/>
      <c r="JVN23" s="64"/>
      <c r="JVO23" s="64"/>
      <c r="JVP23" s="64"/>
      <c r="JVQ23" s="64"/>
      <c r="JVR23" s="64"/>
      <c r="JVS23" s="64"/>
      <c r="JVT23" s="64"/>
      <c r="JVU23" s="64"/>
      <c r="JVV23" s="64"/>
      <c r="JVW23" s="64"/>
      <c r="JVX23" s="64"/>
      <c r="JVY23" s="64"/>
      <c r="JVZ23" s="64"/>
      <c r="JWA23" s="64"/>
      <c r="JWB23" s="64"/>
      <c r="JWC23" s="64"/>
      <c r="JWD23" s="64"/>
      <c r="JWE23" s="64"/>
      <c r="JWF23" s="64"/>
      <c r="JWG23" s="64"/>
      <c r="JWH23" s="64"/>
      <c r="JWI23" s="64"/>
      <c r="JWJ23" s="64"/>
      <c r="JWK23" s="64"/>
      <c r="JWL23" s="64"/>
      <c r="JWM23" s="64"/>
      <c r="JWN23" s="64"/>
      <c r="JWO23" s="64"/>
      <c r="JWP23" s="64"/>
      <c r="JWQ23" s="64"/>
      <c r="JWR23" s="64"/>
      <c r="JWS23" s="64"/>
      <c r="JWT23" s="64"/>
      <c r="JWU23" s="64"/>
      <c r="JWV23" s="64"/>
      <c r="JWW23" s="64"/>
      <c r="JWX23" s="64"/>
      <c r="JWY23" s="64"/>
      <c r="JWZ23" s="64"/>
      <c r="JXA23" s="64"/>
      <c r="JXB23" s="64"/>
      <c r="JXC23" s="64"/>
      <c r="JXD23" s="64"/>
      <c r="JXE23" s="64"/>
      <c r="JXF23" s="64"/>
      <c r="JXG23" s="64"/>
      <c r="JXH23" s="64"/>
      <c r="JXI23" s="64"/>
      <c r="JXJ23" s="64"/>
      <c r="JXK23" s="64"/>
      <c r="JXL23" s="64"/>
      <c r="JXM23" s="64"/>
      <c r="JXN23" s="64"/>
      <c r="JXO23" s="64"/>
      <c r="JXP23" s="64"/>
      <c r="JXQ23" s="64"/>
      <c r="JXR23" s="64"/>
      <c r="JXS23" s="64"/>
      <c r="JXT23" s="64"/>
      <c r="JXU23" s="64"/>
      <c r="JXV23" s="64"/>
      <c r="JXW23" s="64"/>
      <c r="JXX23" s="64"/>
      <c r="JXY23" s="64"/>
      <c r="JXZ23" s="64"/>
      <c r="JYA23" s="64"/>
      <c r="JYB23" s="64"/>
      <c r="JYC23" s="64"/>
      <c r="JYD23" s="64"/>
      <c r="JYE23" s="64"/>
      <c r="JYF23" s="64"/>
      <c r="JYG23" s="64"/>
      <c r="JYH23" s="64"/>
      <c r="JYI23" s="64"/>
      <c r="JYJ23" s="64"/>
      <c r="JYK23" s="64"/>
      <c r="JYL23" s="64"/>
      <c r="JYM23" s="64"/>
      <c r="JYN23" s="64"/>
      <c r="JYO23" s="64"/>
      <c r="JYP23" s="64"/>
      <c r="JYQ23" s="64"/>
      <c r="JYR23" s="64"/>
      <c r="JYS23" s="64"/>
      <c r="JYT23" s="64"/>
      <c r="JYU23" s="64"/>
      <c r="JYV23" s="64"/>
      <c r="JYW23" s="64"/>
      <c r="JYX23" s="64"/>
      <c r="JYY23" s="64"/>
      <c r="JYZ23" s="64"/>
      <c r="JZA23" s="64"/>
      <c r="JZB23" s="64"/>
      <c r="JZC23" s="64"/>
      <c r="JZD23" s="64"/>
      <c r="JZE23" s="64"/>
      <c r="JZF23" s="64"/>
      <c r="JZG23" s="64"/>
      <c r="JZH23" s="64"/>
      <c r="JZI23" s="64"/>
      <c r="JZJ23" s="64"/>
      <c r="JZK23" s="64"/>
      <c r="JZL23" s="64"/>
      <c r="JZM23" s="64"/>
      <c r="JZN23" s="64"/>
      <c r="JZO23" s="64"/>
      <c r="JZP23" s="64"/>
      <c r="JZQ23" s="64"/>
      <c r="JZR23" s="64"/>
      <c r="JZS23" s="64"/>
      <c r="JZT23" s="64"/>
      <c r="JZU23" s="64"/>
      <c r="JZV23" s="64"/>
      <c r="JZW23" s="64"/>
      <c r="JZX23" s="64"/>
      <c r="JZY23" s="64"/>
      <c r="JZZ23" s="64"/>
      <c r="KAA23" s="64"/>
      <c r="KAB23" s="64"/>
      <c r="KAC23" s="64"/>
      <c r="KAD23" s="64"/>
      <c r="KAE23" s="64"/>
      <c r="KAF23" s="64"/>
      <c r="KAG23" s="64"/>
      <c r="KAH23" s="64"/>
      <c r="KAI23" s="64"/>
      <c r="KAJ23" s="64"/>
      <c r="KAK23" s="64"/>
      <c r="KAL23" s="64"/>
      <c r="KAM23" s="64"/>
      <c r="KAN23" s="64"/>
      <c r="KAO23" s="64"/>
      <c r="KAP23" s="64"/>
      <c r="KAQ23" s="64"/>
      <c r="KAR23" s="64"/>
      <c r="KAS23" s="64"/>
      <c r="KAT23" s="64"/>
      <c r="KAU23" s="64"/>
      <c r="KAV23" s="64"/>
      <c r="KAW23" s="64"/>
      <c r="KAX23" s="64"/>
      <c r="KAY23" s="64"/>
      <c r="KAZ23" s="64"/>
      <c r="KBA23" s="64"/>
      <c r="KBB23" s="64"/>
      <c r="KBC23" s="64"/>
      <c r="KBD23" s="64"/>
      <c r="KBE23" s="64"/>
      <c r="KBF23" s="64"/>
      <c r="KBG23" s="64"/>
      <c r="KBH23" s="64"/>
      <c r="KBI23" s="64"/>
      <c r="KBJ23" s="64"/>
      <c r="KBK23" s="64"/>
      <c r="KBL23" s="64"/>
      <c r="KBM23" s="64"/>
      <c r="KBN23" s="64"/>
      <c r="KBO23" s="64"/>
      <c r="KBP23" s="64"/>
      <c r="KBQ23" s="64"/>
      <c r="KBR23" s="64"/>
      <c r="KBS23" s="64"/>
      <c r="KBT23" s="64"/>
      <c r="KBU23" s="64"/>
      <c r="KBV23" s="64"/>
      <c r="KBW23" s="64"/>
      <c r="KBX23" s="64"/>
      <c r="KBY23" s="64"/>
      <c r="KBZ23" s="64"/>
      <c r="KCA23" s="64"/>
      <c r="KCB23" s="64"/>
      <c r="KCC23" s="64"/>
      <c r="KCD23" s="64"/>
      <c r="KCE23" s="64"/>
      <c r="KCF23" s="64"/>
      <c r="KCG23" s="64"/>
      <c r="KCH23" s="64"/>
      <c r="KCI23" s="64"/>
      <c r="KCJ23" s="64"/>
      <c r="KCK23" s="64"/>
      <c r="KCL23" s="64"/>
      <c r="KCM23" s="64"/>
      <c r="KCN23" s="64"/>
      <c r="KCO23" s="64"/>
      <c r="KCP23" s="64"/>
      <c r="KCQ23" s="64"/>
      <c r="KCR23" s="64"/>
      <c r="KCS23" s="64"/>
      <c r="KCT23" s="64"/>
      <c r="KCU23" s="64"/>
      <c r="KCV23" s="64"/>
      <c r="KCW23" s="64"/>
      <c r="KCX23" s="64"/>
      <c r="KCY23" s="64"/>
      <c r="KCZ23" s="64"/>
      <c r="KDA23" s="64"/>
      <c r="KDB23" s="64"/>
      <c r="KDC23" s="64"/>
      <c r="KDD23" s="64"/>
      <c r="KDE23" s="64"/>
      <c r="KDF23" s="64"/>
      <c r="KDG23" s="64"/>
      <c r="KDH23" s="64"/>
      <c r="KDI23" s="64"/>
      <c r="KDJ23" s="64"/>
      <c r="KDK23" s="64"/>
      <c r="KDL23" s="64"/>
      <c r="KDM23" s="64"/>
      <c r="KDN23" s="64"/>
      <c r="KDO23" s="64"/>
      <c r="KDP23" s="64"/>
      <c r="KDQ23" s="64"/>
      <c r="KDR23" s="64"/>
      <c r="KDS23" s="64"/>
      <c r="KDT23" s="64"/>
      <c r="KDU23" s="64"/>
      <c r="KDV23" s="64"/>
      <c r="KDW23" s="64"/>
      <c r="KDX23" s="64"/>
      <c r="KDY23" s="64"/>
      <c r="KDZ23" s="64"/>
      <c r="KEA23" s="64"/>
      <c r="KEB23" s="64"/>
      <c r="KEC23" s="64"/>
      <c r="KED23" s="64"/>
      <c r="KEE23" s="64"/>
      <c r="KEF23" s="64"/>
      <c r="KEG23" s="64"/>
      <c r="KEH23" s="64"/>
      <c r="KEI23" s="64"/>
      <c r="KEJ23" s="64"/>
      <c r="KEK23" s="64"/>
      <c r="KEL23" s="64"/>
      <c r="KEM23" s="64"/>
      <c r="KEN23" s="64"/>
      <c r="KEO23" s="64"/>
      <c r="KEP23" s="64"/>
      <c r="KEQ23" s="64"/>
      <c r="KER23" s="64"/>
      <c r="KES23" s="64"/>
      <c r="KET23" s="64"/>
      <c r="KEU23" s="64"/>
      <c r="KEV23" s="64"/>
      <c r="KEW23" s="64"/>
      <c r="KEX23" s="64"/>
      <c r="KEY23" s="64"/>
      <c r="KEZ23" s="64"/>
      <c r="KFA23" s="64"/>
      <c r="KFB23" s="64"/>
      <c r="KFC23" s="64"/>
      <c r="KFD23" s="64"/>
      <c r="KFE23" s="64"/>
      <c r="KFF23" s="64"/>
      <c r="KFG23" s="64"/>
      <c r="KFH23" s="64"/>
      <c r="KFI23" s="64"/>
      <c r="KFJ23" s="64"/>
      <c r="KFK23" s="64"/>
      <c r="KFL23" s="64"/>
      <c r="KFM23" s="64"/>
      <c r="KFN23" s="64"/>
      <c r="KFO23" s="64"/>
      <c r="KFP23" s="64"/>
      <c r="KFQ23" s="64"/>
      <c r="KFR23" s="64"/>
      <c r="KFS23" s="64"/>
      <c r="KFT23" s="64"/>
      <c r="KFU23" s="64"/>
      <c r="KFV23" s="64"/>
      <c r="KFW23" s="64"/>
      <c r="KFX23" s="64"/>
      <c r="KFY23" s="64"/>
      <c r="KFZ23" s="64"/>
      <c r="KGA23" s="64"/>
      <c r="KGB23" s="64"/>
      <c r="KGC23" s="64"/>
      <c r="KGD23" s="64"/>
      <c r="KGE23" s="64"/>
      <c r="KGF23" s="64"/>
      <c r="KGG23" s="64"/>
      <c r="KGH23" s="64"/>
      <c r="KGI23" s="64"/>
      <c r="KGJ23" s="64"/>
      <c r="KGK23" s="64"/>
      <c r="KGL23" s="64"/>
      <c r="KGM23" s="64"/>
      <c r="KGN23" s="64"/>
      <c r="KGO23" s="64"/>
      <c r="KGP23" s="64"/>
      <c r="KGQ23" s="64"/>
      <c r="KGR23" s="64"/>
      <c r="KGS23" s="64"/>
      <c r="KGT23" s="64"/>
      <c r="KGU23" s="64"/>
      <c r="KGV23" s="64"/>
      <c r="KGW23" s="64"/>
      <c r="KGX23" s="64"/>
      <c r="KGY23" s="64"/>
      <c r="KGZ23" s="64"/>
      <c r="KHA23" s="64"/>
      <c r="KHB23" s="64"/>
      <c r="KHC23" s="64"/>
      <c r="KHD23" s="64"/>
      <c r="KHE23" s="64"/>
      <c r="KHF23" s="64"/>
      <c r="KHG23" s="64"/>
      <c r="KHH23" s="64"/>
      <c r="KHI23" s="64"/>
      <c r="KHJ23" s="64"/>
      <c r="KHK23" s="64"/>
      <c r="KHL23" s="64"/>
      <c r="KHM23" s="64"/>
      <c r="KHN23" s="64"/>
      <c r="KHO23" s="64"/>
      <c r="KHP23" s="64"/>
      <c r="KHQ23" s="64"/>
      <c r="KHR23" s="64"/>
      <c r="KHS23" s="64"/>
      <c r="KHT23" s="64"/>
      <c r="KHU23" s="64"/>
      <c r="KHV23" s="64"/>
      <c r="KHW23" s="64"/>
      <c r="KHX23" s="64"/>
      <c r="KHY23" s="64"/>
      <c r="KHZ23" s="64"/>
      <c r="KIA23" s="64"/>
      <c r="KIB23" s="64"/>
      <c r="KIC23" s="64"/>
      <c r="KID23" s="64"/>
      <c r="KIE23" s="64"/>
      <c r="KIF23" s="64"/>
      <c r="KIG23" s="64"/>
      <c r="KIH23" s="64"/>
      <c r="KII23" s="64"/>
      <c r="KIJ23" s="64"/>
      <c r="KIK23" s="64"/>
      <c r="KIL23" s="64"/>
      <c r="KIM23" s="64"/>
      <c r="KIN23" s="64"/>
      <c r="KIO23" s="64"/>
      <c r="KIP23" s="64"/>
      <c r="KIQ23" s="64"/>
      <c r="KIR23" s="64"/>
      <c r="KIS23" s="64"/>
      <c r="KIT23" s="64"/>
      <c r="KIU23" s="64"/>
      <c r="KIV23" s="64"/>
      <c r="KIW23" s="64"/>
      <c r="KIX23" s="64"/>
      <c r="KIY23" s="64"/>
      <c r="KIZ23" s="64"/>
      <c r="KJA23" s="64"/>
      <c r="KJB23" s="64"/>
      <c r="KJC23" s="64"/>
      <c r="KJD23" s="64"/>
      <c r="KJE23" s="64"/>
      <c r="KJF23" s="64"/>
      <c r="KJG23" s="64"/>
      <c r="KJH23" s="64"/>
      <c r="KJI23" s="64"/>
      <c r="KJJ23" s="64"/>
      <c r="KJK23" s="64"/>
      <c r="KJL23" s="64"/>
      <c r="KJM23" s="64"/>
      <c r="KJN23" s="64"/>
      <c r="KJO23" s="64"/>
      <c r="KJP23" s="64"/>
      <c r="KJQ23" s="64"/>
      <c r="KJR23" s="64"/>
      <c r="KJS23" s="64"/>
      <c r="KJT23" s="64"/>
      <c r="KJU23" s="64"/>
      <c r="KJV23" s="64"/>
      <c r="KJW23" s="64"/>
      <c r="KJX23" s="64"/>
      <c r="KJY23" s="64"/>
      <c r="KJZ23" s="64"/>
      <c r="KKA23" s="64"/>
      <c r="KKB23" s="64"/>
      <c r="KKC23" s="64"/>
      <c r="KKD23" s="64"/>
      <c r="KKE23" s="64"/>
      <c r="KKF23" s="64"/>
      <c r="KKG23" s="64"/>
      <c r="KKH23" s="64"/>
      <c r="KKI23" s="64"/>
      <c r="KKJ23" s="64"/>
      <c r="KKK23" s="64"/>
      <c r="KKL23" s="64"/>
      <c r="KKM23" s="64"/>
      <c r="KKN23" s="64"/>
      <c r="KKO23" s="64"/>
      <c r="KKP23" s="64"/>
      <c r="KKQ23" s="64"/>
      <c r="KKR23" s="64"/>
      <c r="KKS23" s="64"/>
      <c r="KKT23" s="64"/>
      <c r="KKU23" s="64"/>
      <c r="KKV23" s="64"/>
      <c r="KKW23" s="64"/>
      <c r="KKX23" s="64"/>
      <c r="KKY23" s="64"/>
      <c r="KKZ23" s="64"/>
      <c r="KLA23" s="64"/>
      <c r="KLB23" s="64"/>
      <c r="KLC23" s="64"/>
      <c r="KLD23" s="64"/>
      <c r="KLE23" s="64"/>
      <c r="KLF23" s="64"/>
      <c r="KLG23" s="64"/>
      <c r="KLH23" s="64"/>
      <c r="KLI23" s="64"/>
      <c r="KLJ23" s="64"/>
      <c r="KLK23" s="64"/>
      <c r="KLL23" s="64"/>
      <c r="KLM23" s="64"/>
      <c r="KLN23" s="64"/>
      <c r="KLO23" s="64"/>
      <c r="KLP23" s="64"/>
      <c r="KLQ23" s="64"/>
      <c r="KLR23" s="64"/>
      <c r="KLS23" s="64"/>
      <c r="KLT23" s="64"/>
      <c r="KLU23" s="64"/>
      <c r="KLV23" s="64"/>
      <c r="KLW23" s="64"/>
      <c r="KLX23" s="64"/>
      <c r="KLY23" s="64"/>
      <c r="KLZ23" s="64"/>
      <c r="KMA23" s="64"/>
      <c r="KMB23" s="64"/>
      <c r="KMC23" s="64"/>
      <c r="KMD23" s="64"/>
      <c r="KME23" s="64"/>
      <c r="KMF23" s="64"/>
      <c r="KMG23" s="64"/>
      <c r="KMH23" s="64"/>
      <c r="KMI23" s="64"/>
      <c r="KMJ23" s="64"/>
      <c r="KMK23" s="64"/>
      <c r="KML23" s="64"/>
      <c r="KMM23" s="64"/>
      <c r="KMN23" s="64"/>
      <c r="KMO23" s="64"/>
      <c r="KMP23" s="64"/>
      <c r="KMQ23" s="64"/>
      <c r="KMR23" s="64"/>
      <c r="KMS23" s="64"/>
      <c r="KMT23" s="64"/>
      <c r="KMU23" s="64"/>
      <c r="KMV23" s="64"/>
      <c r="KMW23" s="64"/>
      <c r="KMX23" s="64"/>
      <c r="KMY23" s="64"/>
      <c r="KMZ23" s="64"/>
      <c r="KNA23" s="64"/>
      <c r="KNB23" s="64"/>
      <c r="KNC23" s="64"/>
      <c r="KND23" s="64"/>
      <c r="KNE23" s="64"/>
      <c r="KNF23" s="64"/>
      <c r="KNG23" s="64"/>
      <c r="KNH23" s="64"/>
      <c r="KNI23" s="64"/>
      <c r="KNJ23" s="64"/>
      <c r="KNK23" s="64"/>
      <c r="KNL23" s="64"/>
      <c r="KNM23" s="64"/>
      <c r="KNN23" s="64"/>
      <c r="KNO23" s="64"/>
      <c r="KNP23" s="64"/>
      <c r="KNQ23" s="64"/>
      <c r="KNR23" s="64"/>
      <c r="KNS23" s="64"/>
      <c r="KNT23" s="64"/>
      <c r="KNU23" s="64"/>
      <c r="KNV23" s="64"/>
      <c r="KNW23" s="64"/>
      <c r="KNX23" s="64"/>
      <c r="KNY23" s="64"/>
      <c r="KNZ23" s="64"/>
      <c r="KOA23" s="64"/>
      <c r="KOB23" s="64"/>
      <c r="KOC23" s="64"/>
      <c r="KOD23" s="64"/>
      <c r="KOE23" s="64"/>
      <c r="KOF23" s="64"/>
      <c r="KOG23" s="64"/>
      <c r="KOH23" s="64"/>
      <c r="KOI23" s="64"/>
      <c r="KOJ23" s="64"/>
      <c r="KOK23" s="64"/>
      <c r="KOL23" s="64"/>
      <c r="KOM23" s="64"/>
      <c r="KON23" s="64"/>
      <c r="KOO23" s="64"/>
      <c r="KOP23" s="64"/>
      <c r="KOQ23" s="64"/>
      <c r="KOR23" s="64"/>
      <c r="KOS23" s="64"/>
      <c r="KOT23" s="64"/>
      <c r="KOU23" s="64"/>
      <c r="KOV23" s="64"/>
      <c r="KOW23" s="64"/>
      <c r="KOX23" s="64"/>
      <c r="KOY23" s="64"/>
      <c r="KOZ23" s="64"/>
      <c r="KPA23" s="64"/>
      <c r="KPB23" s="64"/>
      <c r="KPC23" s="64"/>
      <c r="KPD23" s="64"/>
      <c r="KPE23" s="64"/>
      <c r="KPF23" s="64"/>
      <c r="KPG23" s="64"/>
      <c r="KPH23" s="64"/>
      <c r="KPI23" s="64"/>
      <c r="KPJ23" s="64"/>
      <c r="KPK23" s="64"/>
      <c r="KPL23" s="64"/>
      <c r="KPM23" s="64"/>
      <c r="KPN23" s="64"/>
      <c r="KPO23" s="64"/>
      <c r="KPP23" s="64"/>
      <c r="KPQ23" s="64"/>
      <c r="KPR23" s="64"/>
      <c r="KPS23" s="64"/>
      <c r="KPT23" s="64"/>
      <c r="KPU23" s="64"/>
      <c r="KPV23" s="64"/>
      <c r="KPW23" s="64"/>
      <c r="KPX23" s="64"/>
      <c r="KPY23" s="64"/>
      <c r="KPZ23" s="64"/>
      <c r="KQA23" s="64"/>
      <c r="KQB23" s="64"/>
      <c r="KQC23" s="64"/>
      <c r="KQD23" s="64"/>
      <c r="KQE23" s="64"/>
      <c r="KQF23" s="64"/>
      <c r="KQG23" s="64"/>
      <c r="KQH23" s="64"/>
      <c r="KQI23" s="64"/>
      <c r="KQJ23" s="64"/>
      <c r="KQK23" s="64"/>
      <c r="KQL23" s="64"/>
      <c r="KQM23" s="64"/>
      <c r="KQN23" s="64"/>
      <c r="KQO23" s="64"/>
      <c r="KQP23" s="64"/>
      <c r="KQQ23" s="64"/>
      <c r="KQR23" s="64"/>
      <c r="KQS23" s="64"/>
      <c r="KQT23" s="64"/>
      <c r="KQU23" s="64"/>
      <c r="KQV23" s="64"/>
      <c r="KQW23" s="64"/>
      <c r="KQX23" s="64"/>
      <c r="KQY23" s="64"/>
      <c r="KQZ23" s="64"/>
      <c r="KRA23" s="64"/>
      <c r="KRB23" s="64"/>
      <c r="KRC23" s="64"/>
      <c r="KRD23" s="64"/>
      <c r="KRE23" s="64"/>
      <c r="KRF23" s="64"/>
      <c r="KRG23" s="64"/>
      <c r="KRH23" s="64"/>
      <c r="KRI23" s="64"/>
      <c r="KRJ23" s="64"/>
      <c r="KRK23" s="64"/>
      <c r="KRL23" s="64"/>
      <c r="KRM23" s="64"/>
      <c r="KRN23" s="64"/>
      <c r="KRO23" s="64"/>
      <c r="KRP23" s="64"/>
      <c r="KRQ23" s="64"/>
      <c r="KRR23" s="64"/>
      <c r="KRS23" s="64"/>
      <c r="KRT23" s="64"/>
      <c r="KRU23" s="64"/>
      <c r="KRV23" s="64"/>
      <c r="KRW23" s="64"/>
      <c r="KRX23" s="64"/>
      <c r="KRY23" s="64"/>
      <c r="KRZ23" s="64"/>
      <c r="KSA23" s="64"/>
      <c r="KSB23" s="64"/>
      <c r="KSC23" s="64"/>
      <c r="KSD23" s="64"/>
      <c r="KSE23" s="64"/>
      <c r="KSF23" s="64"/>
      <c r="KSG23" s="64"/>
      <c r="KSH23" s="64"/>
      <c r="KSI23" s="64"/>
      <c r="KSJ23" s="64"/>
      <c r="KSK23" s="64"/>
      <c r="KSL23" s="64"/>
      <c r="KSM23" s="64"/>
      <c r="KSN23" s="64"/>
      <c r="KSO23" s="64"/>
      <c r="KSP23" s="64"/>
      <c r="KSQ23" s="64"/>
      <c r="KSR23" s="64"/>
      <c r="KSS23" s="64"/>
      <c r="KST23" s="64"/>
      <c r="KSU23" s="64"/>
      <c r="KSV23" s="64"/>
      <c r="KSW23" s="64"/>
      <c r="KSX23" s="64"/>
      <c r="KSY23" s="64"/>
      <c r="KSZ23" s="64"/>
      <c r="KTA23" s="64"/>
      <c r="KTB23" s="64"/>
      <c r="KTC23" s="64"/>
      <c r="KTD23" s="64"/>
      <c r="KTE23" s="64"/>
      <c r="KTF23" s="64"/>
      <c r="KTG23" s="64"/>
      <c r="KTH23" s="64"/>
      <c r="KTI23" s="64"/>
      <c r="KTJ23" s="64"/>
      <c r="KTK23" s="64"/>
      <c r="KTL23" s="64"/>
      <c r="KTM23" s="64"/>
      <c r="KTN23" s="64"/>
      <c r="KTO23" s="64"/>
      <c r="KTP23" s="64"/>
      <c r="KTQ23" s="64"/>
      <c r="KTR23" s="64"/>
      <c r="KTS23" s="64"/>
      <c r="KTT23" s="64"/>
      <c r="KTU23" s="64"/>
      <c r="KTV23" s="64"/>
      <c r="KTW23" s="64"/>
      <c r="KTX23" s="64"/>
      <c r="KTY23" s="64"/>
      <c r="KTZ23" s="64"/>
      <c r="KUA23" s="64"/>
      <c r="KUB23" s="64"/>
      <c r="KUC23" s="64"/>
      <c r="KUD23" s="64"/>
      <c r="KUE23" s="64"/>
      <c r="KUF23" s="64"/>
      <c r="KUG23" s="64"/>
      <c r="KUH23" s="64"/>
      <c r="KUI23" s="64"/>
      <c r="KUJ23" s="64"/>
      <c r="KUK23" s="64"/>
      <c r="KUL23" s="64"/>
      <c r="KUM23" s="64"/>
      <c r="KUN23" s="64"/>
      <c r="KUO23" s="64"/>
      <c r="KUP23" s="64"/>
      <c r="KUQ23" s="64"/>
      <c r="KUR23" s="64"/>
      <c r="KUS23" s="64"/>
      <c r="KUT23" s="64"/>
      <c r="KUU23" s="64"/>
      <c r="KUV23" s="64"/>
      <c r="KUW23" s="64"/>
      <c r="KUX23" s="64"/>
      <c r="KUY23" s="64"/>
      <c r="KUZ23" s="64"/>
      <c r="KVA23" s="64"/>
      <c r="KVB23" s="64"/>
      <c r="KVC23" s="64"/>
      <c r="KVD23" s="64"/>
      <c r="KVE23" s="64"/>
      <c r="KVF23" s="64"/>
      <c r="KVG23" s="64"/>
      <c r="KVH23" s="64"/>
      <c r="KVI23" s="64"/>
      <c r="KVJ23" s="64"/>
      <c r="KVK23" s="64"/>
      <c r="KVL23" s="64"/>
      <c r="KVM23" s="64"/>
      <c r="KVN23" s="64"/>
      <c r="KVO23" s="64"/>
      <c r="KVP23" s="64"/>
      <c r="KVQ23" s="64"/>
      <c r="KVR23" s="64"/>
      <c r="KVS23" s="64"/>
      <c r="KVT23" s="64"/>
      <c r="KVU23" s="64"/>
      <c r="KVV23" s="64"/>
      <c r="KVW23" s="64"/>
      <c r="KVX23" s="64"/>
      <c r="KVY23" s="64"/>
      <c r="KVZ23" s="64"/>
      <c r="KWA23" s="64"/>
      <c r="KWB23" s="64"/>
      <c r="KWC23" s="64"/>
      <c r="KWD23" s="64"/>
      <c r="KWE23" s="64"/>
      <c r="KWF23" s="64"/>
      <c r="KWG23" s="64"/>
      <c r="KWH23" s="64"/>
      <c r="KWI23" s="64"/>
      <c r="KWJ23" s="64"/>
      <c r="KWK23" s="64"/>
      <c r="KWL23" s="64"/>
      <c r="KWM23" s="64"/>
      <c r="KWN23" s="64"/>
      <c r="KWO23" s="64"/>
      <c r="KWP23" s="64"/>
      <c r="KWQ23" s="64"/>
      <c r="KWR23" s="64"/>
      <c r="KWS23" s="64"/>
      <c r="KWT23" s="64"/>
      <c r="KWU23" s="64"/>
      <c r="KWV23" s="64"/>
      <c r="KWW23" s="64"/>
      <c r="KWX23" s="64"/>
      <c r="KWY23" s="64"/>
      <c r="KWZ23" s="64"/>
      <c r="KXA23" s="64"/>
      <c r="KXB23" s="64"/>
      <c r="KXC23" s="64"/>
      <c r="KXD23" s="64"/>
      <c r="KXE23" s="64"/>
      <c r="KXF23" s="64"/>
      <c r="KXG23" s="64"/>
      <c r="KXH23" s="64"/>
      <c r="KXI23" s="64"/>
      <c r="KXJ23" s="64"/>
      <c r="KXK23" s="64"/>
      <c r="KXL23" s="64"/>
      <c r="KXM23" s="64"/>
      <c r="KXN23" s="64"/>
      <c r="KXO23" s="64"/>
      <c r="KXP23" s="64"/>
      <c r="KXQ23" s="64"/>
      <c r="KXR23" s="64"/>
      <c r="KXS23" s="64"/>
      <c r="KXT23" s="64"/>
      <c r="KXU23" s="64"/>
      <c r="KXV23" s="64"/>
      <c r="KXW23" s="64"/>
      <c r="KXX23" s="64"/>
      <c r="KXY23" s="64"/>
      <c r="KXZ23" s="64"/>
      <c r="KYA23" s="64"/>
      <c r="KYB23" s="64"/>
      <c r="KYC23" s="64"/>
      <c r="KYD23" s="64"/>
      <c r="KYE23" s="64"/>
      <c r="KYF23" s="64"/>
      <c r="KYG23" s="64"/>
      <c r="KYH23" s="64"/>
      <c r="KYI23" s="64"/>
      <c r="KYJ23" s="64"/>
      <c r="KYK23" s="64"/>
      <c r="KYL23" s="64"/>
      <c r="KYM23" s="64"/>
      <c r="KYN23" s="64"/>
      <c r="KYO23" s="64"/>
      <c r="KYP23" s="64"/>
      <c r="KYQ23" s="64"/>
      <c r="KYR23" s="64"/>
      <c r="KYS23" s="64"/>
      <c r="KYT23" s="64"/>
      <c r="KYU23" s="64"/>
      <c r="KYV23" s="64"/>
      <c r="KYW23" s="64"/>
      <c r="KYX23" s="64"/>
      <c r="KYY23" s="64"/>
      <c r="KYZ23" s="64"/>
      <c r="KZA23" s="64"/>
      <c r="KZB23" s="64"/>
      <c r="KZC23" s="64"/>
      <c r="KZD23" s="64"/>
      <c r="KZE23" s="64"/>
      <c r="KZF23" s="64"/>
      <c r="KZG23" s="64"/>
      <c r="KZH23" s="64"/>
      <c r="KZI23" s="64"/>
      <c r="KZJ23" s="64"/>
      <c r="KZK23" s="64"/>
      <c r="KZL23" s="64"/>
      <c r="KZM23" s="64"/>
      <c r="KZN23" s="64"/>
      <c r="KZO23" s="64"/>
      <c r="KZP23" s="64"/>
      <c r="KZQ23" s="64"/>
      <c r="KZR23" s="64"/>
      <c r="KZS23" s="64"/>
      <c r="KZT23" s="64"/>
      <c r="KZU23" s="64"/>
      <c r="KZV23" s="64"/>
      <c r="KZW23" s="64"/>
      <c r="KZX23" s="64"/>
      <c r="KZY23" s="64"/>
      <c r="KZZ23" s="64"/>
      <c r="LAA23" s="64"/>
      <c r="LAB23" s="64"/>
      <c r="LAC23" s="64"/>
      <c r="LAD23" s="64"/>
      <c r="LAE23" s="64"/>
      <c r="LAF23" s="64"/>
      <c r="LAG23" s="64"/>
      <c r="LAH23" s="64"/>
      <c r="LAI23" s="64"/>
      <c r="LAJ23" s="64"/>
      <c r="LAK23" s="64"/>
      <c r="LAL23" s="64"/>
      <c r="LAM23" s="64"/>
      <c r="LAN23" s="64"/>
      <c r="LAO23" s="64"/>
      <c r="LAP23" s="64"/>
      <c r="LAQ23" s="64"/>
      <c r="LAR23" s="64"/>
      <c r="LAS23" s="64"/>
      <c r="LAT23" s="64"/>
      <c r="LAU23" s="64"/>
      <c r="LAV23" s="64"/>
      <c r="LAW23" s="64"/>
      <c r="LAX23" s="64"/>
      <c r="LAY23" s="64"/>
      <c r="LAZ23" s="64"/>
      <c r="LBA23" s="64"/>
      <c r="LBB23" s="64"/>
      <c r="LBC23" s="64"/>
      <c r="LBD23" s="64"/>
      <c r="LBE23" s="64"/>
      <c r="LBF23" s="64"/>
      <c r="LBG23" s="64"/>
      <c r="LBH23" s="64"/>
      <c r="LBI23" s="64"/>
      <c r="LBJ23" s="64"/>
      <c r="LBK23" s="64"/>
      <c r="LBL23" s="64"/>
      <c r="LBM23" s="64"/>
      <c r="LBN23" s="64"/>
      <c r="LBO23" s="64"/>
      <c r="LBP23" s="64"/>
      <c r="LBQ23" s="64"/>
      <c r="LBR23" s="64"/>
      <c r="LBS23" s="64"/>
      <c r="LBT23" s="64"/>
      <c r="LBU23" s="64"/>
      <c r="LBV23" s="64"/>
      <c r="LBW23" s="64"/>
      <c r="LBX23" s="64"/>
      <c r="LBY23" s="64"/>
      <c r="LBZ23" s="64"/>
      <c r="LCA23" s="64"/>
      <c r="LCB23" s="64"/>
      <c r="LCC23" s="64"/>
      <c r="LCD23" s="64"/>
      <c r="LCE23" s="64"/>
      <c r="LCF23" s="64"/>
      <c r="LCG23" s="64"/>
      <c r="LCH23" s="64"/>
      <c r="LCI23" s="64"/>
      <c r="LCJ23" s="64"/>
      <c r="LCK23" s="64"/>
      <c r="LCL23" s="64"/>
      <c r="LCM23" s="64"/>
      <c r="LCN23" s="64"/>
      <c r="LCO23" s="64"/>
      <c r="LCP23" s="64"/>
      <c r="LCQ23" s="64"/>
      <c r="LCR23" s="64"/>
      <c r="LCS23" s="64"/>
      <c r="LCT23" s="64"/>
      <c r="LCU23" s="64"/>
      <c r="LCV23" s="64"/>
      <c r="LCW23" s="64"/>
      <c r="LCX23" s="64"/>
      <c r="LCY23" s="64"/>
      <c r="LCZ23" s="64"/>
      <c r="LDA23" s="64"/>
      <c r="LDB23" s="64"/>
      <c r="LDC23" s="64"/>
      <c r="LDD23" s="64"/>
      <c r="LDE23" s="64"/>
      <c r="LDF23" s="64"/>
      <c r="LDG23" s="64"/>
      <c r="LDH23" s="64"/>
      <c r="LDI23" s="64"/>
      <c r="LDJ23" s="64"/>
      <c r="LDK23" s="64"/>
      <c r="LDL23" s="64"/>
      <c r="LDM23" s="64"/>
      <c r="LDN23" s="64"/>
      <c r="LDO23" s="64"/>
      <c r="LDP23" s="64"/>
      <c r="LDQ23" s="64"/>
      <c r="LDR23" s="64"/>
      <c r="LDS23" s="64"/>
      <c r="LDT23" s="64"/>
      <c r="LDU23" s="64"/>
      <c r="LDV23" s="64"/>
      <c r="LDW23" s="64"/>
      <c r="LDX23" s="64"/>
      <c r="LDY23" s="64"/>
      <c r="LDZ23" s="64"/>
      <c r="LEA23" s="64"/>
      <c r="LEB23" s="64"/>
      <c r="LEC23" s="64"/>
      <c r="LED23" s="64"/>
      <c r="LEE23" s="64"/>
      <c r="LEF23" s="64"/>
      <c r="LEG23" s="64"/>
      <c r="LEH23" s="64"/>
      <c r="LEI23" s="64"/>
      <c r="LEJ23" s="64"/>
      <c r="LEK23" s="64"/>
      <c r="LEL23" s="64"/>
      <c r="LEM23" s="64"/>
      <c r="LEN23" s="64"/>
      <c r="LEO23" s="64"/>
      <c r="LEP23" s="64"/>
      <c r="LEQ23" s="64"/>
      <c r="LER23" s="64"/>
      <c r="LES23" s="64"/>
      <c r="LET23" s="64"/>
      <c r="LEU23" s="64"/>
      <c r="LEV23" s="64"/>
      <c r="LEW23" s="64"/>
      <c r="LEX23" s="64"/>
      <c r="LEY23" s="64"/>
      <c r="LEZ23" s="64"/>
      <c r="LFA23" s="64"/>
      <c r="LFB23" s="64"/>
      <c r="LFC23" s="64"/>
      <c r="LFD23" s="64"/>
      <c r="LFE23" s="64"/>
      <c r="LFF23" s="64"/>
      <c r="LFG23" s="64"/>
      <c r="LFH23" s="64"/>
      <c r="LFI23" s="64"/>
      <c r="LFJ23" s="64"/>
      <c r="LFK23" s="64"/>
      <c r="LFL23" s="64"/>
      <c r="LFM23" s="64"/>
      <c r="LFN23" s="64"/>
      <c r="LFO23" s="64"/>
      <c r="LFP23" s="64"/>
      <c r="LFQ23" s="64"/>
      <c r="LFR23" s="64"/>
      <c r="LFS23" s="64"/>
      <c r="LFT23" s="64"/>
      <c r="LFU23" s="64"/>
      <c r="LFV23" s="64"/>
      <c r="LFW23" s="64"/>
      <c r="LFX23" s="64"/>
      <c r="LFY23" s="64"/>
      <c r="LFZ23" s="64"/>
      <c r="LGA23" s="64"/>
      <c r="LGB23" s="64"/>
      <c r="LGC23" s="64"/>
      <c r="LGD23" s="64"/>
      <c r="LGE23" s="64"/>
      <c r="LGF23" s="64"/>
      <c r="LGG23" s="64"/>
      <c r="LGH23" s="64"/>
      <c r="LGI23" s="64"/>
      <c r="LGJ23" s="64"/>
      <c r="LGK23" s="64"/>
      <c r="LGL23" s="64"/>
      <c r="LGM23" s="64"/>
      <c r="LGN23" s="64"/>
      <c r="LGO23" s="64"/>
      <c r="LGP23" s="64"/>
      <c r="LGQ23" s="64"/>
      <c r="LGR23" s="64"/>
      <c r="LGS23" s="64"/>
      <c r="LGT23" s="64"/>
      <c r="LGU23" s="64"/>
      <c r="LGV23" s="64"/>
      <c r="LGW23" s="64"/>
      <c r="LGX23" s="64"/>
      <c r="LGY23" s="64"/>
      <c r="LGZ23" s="64"/>
      <c r="LHA23" s="64"/>
      <c r="LHB23" s="64"/>
      <c r="LHC23" s="64"/>
      <c r="LHD23" s="64"/>
      <c r="LHE23" s="64"/>
      <c r="LHF23" s="64"/>
      <c r="LHG23" s="64"/>
      <c r="LHH23" s="64"/>
      <c r="LHI23" s="64"/>
      <c r="LHJ23" s="64"/>
      <c r="LHK23" s="64"/>
      <c r="LHL23" s="64"/>
      <c r="LHM23" s="64"/>
      <c r="LHN23" s="64"/>
      <c r="LHO23" s="64"/>
      <c r="LHP23" s="64"/>
      <c r="LHQ23" s="64"/>
      <c r="LHR23" s="64"/>
      <c r="LHS23" s="64"/>
      <c r="LHT23" s="64"/>
      <c r="LHU23" s="64"/>
      <c r="LHV23" s="64"/>
      <c r="LHW23" s="64"/>
      <c r="LHX23" s="64"/>
      <c r="LHY23" s="64"/>
      <c r="LHZ23" s="64"/>
      <c r="LIA23" s="64"/>
      <c r="LIB23" s="64"/>
      <c r="LIC23" s="64"/>
      <c r="LID23" s="64"/>
      <c r="LIE23" s="64"/>
      <c r="LIF23" s="64"/>
      <c r="LIG23" s="64"/>
      <c r="LIH23" s="64"/>
      <c r="LII23" s="64"/>
      <c r="LIJ23" s="64"/>
      <c r="LIK23" s="64"/>
      <c r="LIL23" s="64"/>
      <c r="LIM23" s="64"/>
      <c r="LIN23" s="64"/>
      <c r="LIO23" s="64"/>
      <c r="LIP23" s="64"/>
      <c r="LIQ23" s="64"/>
      <c r="LIR23" s="64"/>
      <c r="LIS23" s="64"/>
      <c r="LIT23" s="64"/>
      <c r="LIU23" s="64"/>
      <c r="LIV23" s="64"/>
      <c r="LIW23" s="64"/>
      <c r="LIX23" s="64"/>
      <c r="LIY23" s="64"/>
      <c r="LIZ23" s="64"/>
      <c r="LJA23" s="64"/>
      <c r="LJB23" s="64"/>
      <c r="LJC23" s="64"/>
      <c r="LJD23" s="64"/>
      <c r="LJE23" s="64"/>
      <c r="LJF23" s="64"/>
      <c r="LJG23" s="64"/>
      <c r="LJH23" s="64"/>
      <c r="LJI23" s="64"/>
      <c r="LJJ23" s="64"/>
      <c r="LJK23" s="64"/>
      <c r="LJL23" s="64"/>
      <c r="LJM23" s="64"/>
      <c r="LJN23" s="64"/>
      <c r="LJO23" s="64"/>
      <c r="LJP23" s="64"/>
      <c r="LJQ23" s="64"/>
      <c r="LJR23" s="64"/>
      <c r="LJS23" s="64"/>
      <c r="LJT23" s="64"/>
      <c r="LJU23" s="64"/>
      <c r="LJV23" s="64"/>
      <c r="LJW23" s="64"/>
      <c r="LJX23" s="64"/>
      <c r="LJY23" s="64"/>
      <c r="LJZ23" s="64"/>
      <c r="LKA23" s="64"/>
      <c r="LKB23" s="64"/>
      <c r="LKC23" s="64"/>
      <c r="LKD23" s="64"/>
      <c r="LKE23" s="64"/>
      <c r="LKF23" s="64"/>
      <c r="LKG23" s="64"/>
      <c r="LKH23" s="64"/>
      <c r="LKI23" s="64"/>
      <c r="LKJ23" s="64"/>
      <c r="LKK23" s="64"/>
      <c r="LKL23" s="64"/>
      <c r="LKM23" s="64"/>
      <c r="LKN23" s="64"/>
      <c r="LKO23" s="64"/>
      <c r="LKP23" s="64"/>
      <c r="LKQ23" s="64"/>
      <c r="LKR23" s="64"/>
      <c r="LKS23" s="64"/>
      <c r="LKT23" s="64"/>
      <c r="LKU23" s="64"/>
      <c r="LKV23" s="64"/>
      <c r="LKW23" s="64"/>
      <c r="LKX23" s="64"/>
      <c r="LKY23" s="64"/>
      <c r="LKZ23" s="64"/>
      <c r="LLA23" s="64"/>
      <c r="LLB23" s="64"/>
      <c r="LLC23" s="64"/>
      <c r="LLD23" s="64"/>
      <c r="LLE23" s="64"/>
      <c r="LLF23" s="64"/>
      <c r="LLG23" s="64"/>
      <c r="LLH23" s="64"/>
      <c r="LLI23" s="64"/>
      <c r="LLJ23" s="64"/>
      <c r="LLK23" s="64"/>
      <c r="LLL23" s="64"/>
      <c r="LLM23" s="64"/>
      <c r="LLN23" s="64"/>
      <c r="LLO23" s="64"/>
      <c r="LLP23" s="64"/>
      <c r="LLQ23" s="64"/>
      <c r="LLR23" s="64"/>
      <c r="LLS23" s="64"/>
      <c r="LLT23" s="64"/>
      <c r="LLU23" s="64"/>
      <c r="LLV23" s="64"/>
      <c r="LLW23" s="64"/>
      <c r="LLX23" s="64"/>
      <c r="LLY23" s="64"/>
      <c r="LLZ23" s="64"/>
      <c r="LMA23" s="64"/>
      <c r="LMB23" s="64"/>
      <c r="LMC23" s="64"/>
      <c r="LMD23" s="64"/>
      <c r="LME23" s="64"/>
      <c r="LMF23" s="64"/>
      <c r="LMG23" s="64"/>
      <c r="LMH23" s="64"/>
      <c r="LMI23" s="64"/>
      <c r="LMJ23" s="64"/>
      <c r="LMK23" s="64"/>
      <c r="LML23" s="64"/>
      <c r="LMM23" s="64"/>
      <c r="LMN23" s="64"/>
      <c r="LMO23" s="64"/>
      <c r="LMP23" s="64"/>
      <c r="LMQ23" s="64"/>
      <c r="LMR23" s="64"/>
      <c r="LMS23" s="64"/>
      <c r="LMT23" s="64"/>
      <c r="LMU23" s="64"/>
      <c r="LMV23" s="64"/>
      <c r="LMW23" s="64"/>
      <c r="LMX23" s="64"/>
      <c r="LMY23" s="64"/>
      <c r="LMZ23" s="64"/>
      <c r="LNA23" s="64"/>
      <c r="LNB23" s="64"/>
      <c r="LNC23" s="64"/>
      <c r="LND23" s="64"/>
      <c r="LNE23" s="64"/>
      <c r="LNF23" s="64"/>
      <c r="LNG23" s="64"/>
      <c r="LNH23" s="64"/>
      <c r="LNI23" s="64"/>
      <c r="LNJ23" s="64"/>
      <c r="LNK23" s="64"/>
      <c r="LNL23" s="64"/>
      <c r="LNM23" s="64"/>
      <c r="LNN23" s="64"/>
      <c r="LNO23" s="64"/>
      <c r="LNP23" s="64"/>
      <c r="LNQ23" s="64"/>
      <c r="LNR23" s="64"/>
      <c r="LNS23" s="64"/>
      <c r="LNT23" s="64"/>
      <c r="LNU23" s="64"/>
      <c r="LNV23" s="64"/>
      <c r="LNW23" s="64"/>
      <c r="LNX23" s="64"/>
      <c r="LNY23" s="64"/>
      <c r="LNZ23" s="64"/>
      <c r="LOA23" s="64"/>
      <c r="LOB23" s="64"/>
      <c r="LOC23" s="64"/>
      <c r="LOD23" s="64"/>
      <c r="LOE23" s="64"/>
      <c r="LOF23" s="64"/>
      <c r="LOG23" s="64"/>
      <c r="LOH23" s="64"/>
      <c r="LOI23" s="64"/>
      <c r="LOJ23" s="64"/>
      <c r="LOK23" s="64"/>
      <c r="LOL23" s="64"/>
      <c r="LOM23" s="64"/>
      <c r="LON23" s="64"/>
      <c r="LOO23" s="64"/>
      <c r="LOP23" s="64"/>
      <c r="LOQ23" s="64"/>
      <c r="LOR23" s="64"/>
      <c r="LOS23" s="64"/>
      <c r="LOT23" s="64"/>
      <c r="LOU23" s="64"/>
      <c r="LOV23" s="64"/>
      <c r="LOW23" s="64"/>
      <c r="LOX23" s="64"/>
      <c r="LOY23" s="64"/>
      <c r="LOZ23" s="64"/>
      <c r="LPA23" s="64"/>
      <c r="LPB23" s="64"/>
      <c r="LPC23" s="64"/>
      <c r="LPD23" s="64"/>
      <c r="LPE23" s="64"/>
      <c r="LPF23" s="64"/>
      <c r="LPG23" s="64"/>
      <c r="LPH23" s="64"/>
      <c r="LPI23" s="64"/>
      <c r="LPJ23" s="64"/>
      <c r="LPK23" s="64"/>
      <c r="LPL23" s="64"/>
      <c r="LPM23" s="64"/>
      <c r="LPN23" s="64"/>
      <c r="LPO23" s="64"/>
      <c r="LPP23" s="64"/>
      <c r="LPQ23" s="64"/>
      <c r="LPR23" s="64"/>
      <c r="LPS23" s="64"/>
      <c r="LPT23" s="64"/>
      <c r="LPU23" s="64"/>
      <c r="LPV23" s="64"/>
      <c r="LPW23" s="64"/>
      <c r="LPX23" s="64"/>
      <c r="LPY23" s="64"/>
      <c r="LPZ23" s="64"/>
      <c r="LQA23" s="64"/>
      <c r="LQB23" s="64"/>
      <c r="LQC23" s="64"/>
      <c r="LQD23" s="64"/>
      <c r="LQE23" s="64"/>
      <c r="LQF23" s="64"/>
      <c r="LQG23" s="64"/>
      <c r="LQH23" s="64"/>
      <c r="LQI23" s="64"/>
      <c r="LQJ23" s="64"/>
      <c r="LQK23" s="64"/>
      <c r="LQL23" s="64"/>
      <c r="LQM23" s="64"/>
      <c r="LQN23" s="64"/>
      <c r="LQO23" s="64"/>
      <c r="LQP23" s="64"/>
      <c r="LQQ23" s="64"/>
      <c r="LQR23" s="64"/>
      <c r="LQS23" s="64"/>
      <c r="LQT23" s="64"/>
      <c r="LQU23" s="64"/>
      <c r="LQV23" s="64"/>
      <c r="LQW23" s="64"/>
      <c r="LQX23" s="64"/>
      <c r="LQY23" s="64"/>
      <c r="LQZ23" s="64"/>
      <c r="LRA23" s="64"/>
      <c r="LRB23" s="64"/>
      <c r="LRC23" s="64"/>
      <c r="LRD23" s="64"/>
      <c r="LRE23" s="64"/>
      <c r="LRF23" s="64"/>
      <c r="LRG23" s="64"/>
      <c r="LRH23" s="64"/>
      <c r="LRI23" s="64"/>
      <c r="LRJ23" s="64"/>
      <c r="LRK23" s="64"/>
      <c r="LRL23" s="64"/>
      <c r="LRM23" s="64"/>
      <c r="LRN23" s="64"/>
      <c r="LRO23" s="64"/>
      <c r="LRP23" s="64"/>
      <c r="LRQ23" s="64"/>
      <c r="LRR23" s="64"/>
      <c r="LRS23" s="64"/>
      <c r="LRT23" s="64"/>
      <c r="LRU23" s="64"/>
      <c r="LRV23" s="64"/>
      <c r="LRW23" s="64"/>
      <c r="LRX23" s="64"/>
      <c r="LRY23" s="64"/>
      <c r="LRZ23" s="64"/>
      <c r="LSA23" s="64"/>
      <c r="LSB23" s="64"/>
      <c r="LSC23" s="64"/>
      <c r="LSD23" s="64"/>
      <c r="LSE23" s="64"/>
      <c r="LSF23" s="64"/>
      <c r="LSG23" s="64"/>
      <c r="LSH23" s="64"/>
      <c r="LSI23" s="64"/>
      <c r="LSJ23" s="64"/>
      <c r="LSK23" s="64"/>
      <c r="LSL23" s="64"/>
      <c r="LSM23" s="64"/>
      <c r="LSN23" s="64"/>
      <c r="LSO23" s="64"/>
      <c r="LSP23" s="64"/>
      <c r="LSQ23" s="64"/>
      <c r="LSR23" s="64"/>
      <c r="LSS23" s="64"/>
      <c r="LST23" s="64"/>
      <c r="LSU23" s="64"/>
      <c r="LSV23" s="64"/>
      <c r="LSW23" s="64"/>
      <c r="LSX23" s="64"/>
      <c r="LSY23" s="64"/>
      <c r="LSZ23" s="64"/>
      <c r="LTA23" s="64"/>
      <c r="LTB23" s="64"/>
      <c r="LTC23" s="64"/>
      <c r="LTD23" s="64"/>
      <c r="LTE23" s="64"/>
      <c r="LTF23" s="64"/>
      <c r="LTG23" s="64"/>
      <c r="LTH23" s="64"/>
      <c r="LTI23" s="64"/>
      <c r="LTJ23" s="64"/>
      <c r="LTK23" s="64"/>
      <c r="LTL23" s="64"/>
      <c r="LTM23" s="64"/>
      <c r="LTN23" s="64"/>
      <c r="LTO23" s="64"/>
      <c r="LTP23" s="64"/>
      <c r="LTQ23" s="64"/>
      <c r="LTR23" s="64"/>
      <c r="LTS23" s="64"/>
      <c r="LTT23" s="64"/>
      <c r="LTU23" s="64"/>
      <c r="LTV23" s="64"/>
      <c r="LTW23" s="64"/>
      <c r="LTX23" s="64"/>
      <c r="LTY23" s="64"/>
      <c r="LTZ23" s="64"/>
      <c r="LUA23" s="64"/>
      <c r="LUB23" s="64"/>
      <c r="LUC23" s="64"/>
      <c r="LUD23" s="64"/>
      <c r="LUE23" s="64"/>
      <c r="LUF23" s="64"/>
      <c r="LUG23" s="64"/>
      <c r="LUH23" s="64"/>
      <c r="LUI23" s="64"/>
      <c r="LUJ23" s="64"/>
      <c r="LUK23" s="64"/>
      <c r="LUL23" s="64"/>
      <c r="LUM23" s="64"/>
      <c r="LUN23" s="64"/>
      <c r="LUO23" s="64"/>
      <c r="LUP23" s="64"/>
      <c r="LUQ23" s="64"/>
      <c r="LUR23" s="64"/>
      <c r="LUS23" s="64"/>
      <c r="LUT23" s="64"/>
      <c r="LUU23" s="64"/>
      <c r="LUV23" s="64"/>
      <c r="LUW23" s="64"/>
      <c r="LUX23" s="64"/>
      <c r="LUY23" s="64"/>
      <c r="LUZ23" s="64"/>
      <c r="LVA23" s="64"/>
      <c r="LVB23" s="64"/>
      <c r="LVC23" s="64"/>
      <c r="LVD23" s="64"/>
      <c r="LVE23" s="64"/>
      <c r="LVF23" s="64"/>
      <c r="LVG23" s="64"/>
      <c r="LVH23" s="64"/>
      <c r="LVI23" s="64"/>
      <c r="LVJ23" s="64"/>
      <c r="LVK23" s="64"/>
      <c r="LVL23" s="64"/>
      <c r="LVM23" s="64"/>
      <c r="LVN23" s="64"/>
      <c r="LVO23" s="64"/>
      <c r="LVP23" s="64"/>
      <c r="LVQ23" s="64"/>
      <c r="LVR23" s="64"/>
      <c r="LVS23" s="64"/>
      <c r="LVT23" s="64"/>
      <c r="LVU23" s="64"/>
      <c r="LVV23" s="64"/>
      <c r="LVW23" s="64"/>
      <c r="LVX23" s="64"/>
      <c r="LVY23" s="64"/>
      <c r="LVZ23" s="64"/>
      <c r="LWA23" s="64"/>
      <c r="LWB23" s="64"/>
      <c r="LWC23" s="64"/>
      <c r="LWD23" s="64"/>
      <c r="LWE23" s="64"/>
      <c r="LWF23" s="64"/>
      <c r="LWG23" s="64"/>
      <c r="LWH23" s="64"/>
      <c r="LWI23" s="64"/>
      <c r="LWJ23" s="64"/>
      <c r="LWK23" s="64"/>
      <c r="LWL23" s="64"/>
      <c r="LWM23" s="64"/>
      <c r="LWN23" s="64"/>
      <c r="LWO23" s="64"/>
      <c r="LWP23" s="64"/>
      <c r="LWQ23" s="64"/>
      <c r="LWR23" s="64"/>
      <c r="LWS23" s="64"/>
      <c r="LWT23" s="64"/>
      <c r="LWU23" s="64"/>
      <c r="LWV23" s="64"/>
      <c r="LWW23" s="64"/>
      <c r="LWX23" s="64"/>
      <c r="LWY23" s="64"/>
      <c r="LWZ23" s="64"/>
      <c r="LXA23" s="64"/>
      <c r="LXB23" s="64"/>
      <c r="LXC23" s="64"/>
      <c r="LXD23" s="64"/>
      <c r="LXE23" s="64"/>
      <c r="LXF23" s="64"/>
      <c r="LXG23" s="64"/>
      <c r="LXH23" s="64"/>
      <c r="LXI23" s="64"/>
      <c r="LXJ23" s="64"/>
      <c r="LXK23" s="64"/>
      <c r="LXL23" s="64"/>
      <c r="LXM23" s="64"/>
      <c r="LXN23" s="64"/>
      <c r="LXO23" s="64"/>
      <c r="LXP23" s="64"/>
      <c r="LXQ23" s="64"/>
      <c r="LXR23" s="64"/>
      <c r="LXS23" s="64"/>
      <c r="LXT23" s="64"/>
      <c r="LXU23" s="64"/>
      <c r="LXV23" s="64"/>
      <c r="LXW23" s="64"/>
      <c r="LXX23" s="64"/>
      <c r="LXY23" s="64"/>
      <c r="LXZ23" s="64"/>
      <c r="LYA23" s="64"/>
      <c r="LYB23" s="64"/>
      <c r="LYC23" s="64"/>
      <c r="LYD23" s="64"/>
      <c r="LYE23" s="64"/>
      <c r="LYF23" s="64"/>
      <c r="LYG23" s="64"/>
      <c r="LYH23" s="64"/>
      <c r="LYI23" s="64"/>
      <c r="LYJ23" s="64"/>
      <c r="LYK23" s="64"/>
      <c r="LYL23" s="64"/>
      <c r="LYM23" s="64"/>
      <c r="LYN23" s="64"/>
      <c r="LYO23" s="64"/>
      <c r="LYP23" s="64"/>
      <c r="LYQ23" s="64"/>
      <c r="LYR23" s="64"/>
      <c r="LYS23" s="64"/>
      <c r="LYT23" s="64"/>
      <c r="LYU23" s="64"/>
      <c r="LYV23" s="64"/>
      <c r="LYW23" s="64"/>
      <c r="LYX23" s="64"/>
      <c r="LYY23" s="64"/>
      <c r="LYZ23" s="64"/>
      <c r="LZA23" s="64"/>
      <c r="LZB23" s="64"/>
      <c r="LZC23" s="64"/>
      <c r="LZD23" s="64"/>
      <c r="LZE23" s="64"/>
      <c r="LZF23" s="64"/>
      <c r="LZG23" s="64"/>
      <c r="LZH23" s="64"/>
      <c r="LZI23" s="64"/>
      <c r="LZJ23" s="64"/>
      <c r="LZK23" s="64"/>
      <c r="LZL23" s="64"/>
      <c r="LZM23" s="64"/>
      <c r="LZN23" s="64"/>
      <c r="LZO23" s="64"/>
      <c r="LZP23" s="64"/>
      <c r="LZQ23" s="64"/>
      <c r="LZR23" s="64"/>
      <c r="LZS23" s="64"/>
      <c r="LZT23" s="64"/>
      <c r="LZU23" s="64"/>
      <c r="LZV23" s="64"/>
      <c r="LZW23" s="64"/>
      <c r="LZX23" s="64"/>
      <c r="LZY23" s="64"/>
      <c r="LZZ23" s="64"/>
      <c r="MAA23" s="64"/>
      <c r="MAB23" s="64"/>
      <c r="MAC23" s="64"/>
      <c r="MAD23" s="64"/>
      <c r="MAE23" s="64"/>
      <c r="MAF23" s="64"/>
      <c r="MAG23" s="64"/>
      <c r="MAH23" s="64"/>
      <c r="MAI23" s="64"/>
      <c r="MAJ23" s="64"/>
      <c r="MAK23" s="64"/>
      <c r="MAL23" s="64"/>
      <c r="MAM23" s="64"/>
      <c r="MAN23" s="64"/>
      <c r="MAO23" s="64"/>
      <c r="MAP23" s="64"/>
      <c r="MAQ23" s="64"/>
      <c r="MAR23" s="64"/>
      <c r="MAS23" s="64"/>
      <c r="MAT23" s="64"/>
      <c r="MAU23" s="64"/>
      <c r="MAV23" s="64"/>
      <c r="MAW23" s="64"/>
      <c r="MAX23" s="64"/>
      <c r="MAY23" s="64"/>
      <c r="MAZ23" s="64"/>
      <c r="MBA23" s="64"/>
      <c r="MBB23" s="64"/>
      <c r="MBC23" s="64"/>
      <c r="MBD23" s="64"/>
      <c r="MBE23" s="64"/>
      <c r="MBF23" s="64"/>
      <c r="MBG23" s="64"/>
      <c r="MBH23" s="64"/>
      <c r="MBI23" s="64"/>
      <c r="MBJ23" s="64"/>
      <c r="MBK23" s="64"/>
      <c r="MBL23" s="64"/>
      <c r="MBM23" s="64"/>
      <c r="MBN23" s="64"/>
      <c r="MBO23" s="64"/>
      <c r="MBP23" s="64"/>
      <c r="MBQ23" s="64"/>
      <c r="MBR23" s="64"/>
      <c r="MBS23" s="64"/>
      <c r="MBT23" s="64"/>
      <c r="MBU23" s="64"/>
      <c r="MBV23" s="64"/>
      <c r="MBW23" s="64"/>
      <c r="MBX23" s="64"/>
      <c r="MBY23" s="64"/>
      <c r="MBZ23" s="64"/>
      <c r="MCA23" s="64"/>
      <c r="MCB23" s="64"/>
      <c r="MCC23" s="64"/>
      <c r="MCD23" s="64"/>
      <c r="MCE23" s="64"/>
      <c r="MCF23" s="64"/>
      <c r="MCG23" s="64"/>
      <c r="MCH23" s="64"/>
      <c r="MCI23" s="64"/>
      <c r="MCJ23" s="64"/>
      <c r="MCK23" s="64"/>
      <c r="MCL23" s="64"/>
      <c r="MCM23" s="64"/>
      <c r="MCN23" s="64"/>
      <c r="MCO23" s="64"/>
      <c r="MCP23" s="64"/>
      <c r="MCQ23" s="64"/>
      <c r="MCR23" s="64"/>
      <c r="MCS23" s="64"/>
      <c r="MCT23" s="64"/>
      <c r="MCU23" s="64"/>
      <c r="MCV23" s="64"/>
      <c r="MCW23" s="64"/>
      <c r="MCX23" s="64"/>
      <c r="MCY23" s="64"/>
      <c r="MCZ23" s="64"/>
      <c r="MDA23" s="64"/>
      <c r="MDB23" s="64"/>
      <c r="MDC23" s="64"/>
      <c r="MDD23" s="64"/>
      <c r="MDE23" s="64"/>
      <c r="MDF23" s="64"/>
      <c r="MDG23" s="64"/>
      <c r="MDH23" s="64"/>
      <c r="MDI23" s="64"/>
      <c r="MDJ23" s="64"/>
      <c r="MDK23" s="64"/>
      <c r="MDL23" s="64"/>
      <c r="MDM23" s="64"/>
      <c r="MDN23" s="64"/>
      <c r="MDO23" s="64"/>
      <c r="MDP23" s="64"/>
      <c r="MDQ23" s="64"/>
      <c r="MDR23" s="64"/>
      <c r="MDS23" s="64"/>
      <c r="MDT23" s="64"/>
      <c r="MDU23" s="64"/>
      <c r="MDV23" s="64"/>
      <c r="MDW23" s="64"/>
      <c r="MDX23" s="64"/>
      <c r="MDY23" s="64"/>
      <c r="MDZ23" s="64"/>
      <c r="MEA23" s="64"/>
      <c r="MEB23" s="64"/>
      <c r="MEC23" s="64"/>
      <c r="MED23" s="64"/>
      <c r="MEE23" s="64"/>
      <c r="MEF23" s="64"/>
      <c r="MEG23" s="64"/>
      <c r="MEH23" s="64"/>
      <c r="MEI23" s="64"/>
      <c r="MEJ23" s="64"/>
      <c r="MEK23" s="64"/>
      <c r="MEL23" s="64"/>
      <c r="MEM23" s="64"/>
      <c r="MEN23" s="64"/>
      <c r="MEO23" s="64"/>
      <c r="MEP23" s="64"/>
      <c r="MEQ23" s="64"/>
      <c r="MER23" s="64"/>
      <c r="MES23" s="64"/>
      <c r="MET23" s="64"/>
      <c r="MEU23" s="64"/>
      <c r="MEV23" s="64"/>
      <c r="MEW23" s="64"/>
      <c r="MEX23" s="64"/>
      <c r="MEY23" s="64"/>
      <c r="MEZ23" s="64"/>
      <c r="MFA23" s="64"/>
      <c r="MFB23" s="64"/>
      <c r="MFC23" s="64"/>
      <c r="MFD23" s="64"/>
      <c r="MFE23" s="64"/>
      <c r="MFF23" s="64"/>
      <c r="MFG23" s="64"/>
      <c r="MFH23" s="64"/>
      <c r="MFI23" s="64"/>
      <c r="MFJ23" s="64"/>
      <c r="MFK23" s="64"/>
      <c r="MFL23" s="64"/>
      <c r="MFM23" s="64"/>
      <c r="MFN23" s="64"/>
      <c r="MFO23" s="64"/>
      <c r="MFP23" s="64"/>
      <c r="MFQ23" s="64"/>
      <c r="MFR23" s="64"/>
      <c r="MFS23" s="64"/>
      <c r="MFT23" s="64"/>
      <c r="MFU23" s="64"/>
      <c r="MFV23" s="64"/>
      <c r="MFW23" s="64"/>
      <c r="MFX23" s="64"/>
      <c r="MFY23" s="64"/>
      <c r="MFZ23" s="64"/>
      <c r="MGA23" s="64"/>
      <c r="MGB23" s="64"/>
      <c r="MGC23" s="64"/>
      <c r="MGD23" s="64"/>
      <c r="MGE23" s="64"/>
      <c r="MGF23" s="64"/>
      <c r="MGG23" s="64"/>
      <c r="MGH23" s="64"/>
      <c r="MGI23" s="64"/>
      <c r="MGJ23" s="64"/>
      <c r="MGK23" s="64"/>
      <c r="MGL23" s="64"/>
      <c r="MGM23" s="64"/>
      <c r="MGN23" s="64"/>
      <c r="MGO23" s="64"/>
      <c r="MGP23" s="64"/>
      <c r="MGQ23" s="64"/>
      <c r="MGR23" s="64"/>
      <c r="MGS23" s="64"/>
      <c r="MGT23" s="64"/>
      <c r="MGU23" s="64"/>
      <c r="MGV23" s="64"/>
      <c r="MGW23" s="64"/>
      <c r="MGX23" s="64"/>
      <c r="MGY23" s="64"/>
      <c r="MGZ23" s="64"/>
      <c r="MHA23" s="64"/>
      <c r="MHB23" s="64"/>
      <c r="MHC23" s="64"/>
      <c r="MHD23" s="64"/>
      <c r="MHE23" s="64"/>
      <c r="MHF23" s="64"/>
      <c r="MHG23" s="64"/>
      <c r="MHH23" s="64"/>
      <c r="MHI23" s="64"/>
      <c r="MHJ23" s="64"/>
      <c r="MHK23" s="64"/>
      <c r="MHL23" s="64"/>
      <c r="MHM23" s="64"/>
      <c r="MHN23" s="64"/>
      <c r="MHO23" s="64"/>
      <c r="MHP23" s="64"/>
      <c r="MHQ23" s="64"/>
      <c r="MHR23" s="64"/>
      <c r="MHS23" s="64"/>
      <c r="MHT23" s="64"/>
      <c r="MHU23" s="64"/>
      <c r="MHV23" s="64"/>
      <c r="MHW23" s="64"/>
      <c r="MHX23" s="64"/>
      <c r="MHY23" s="64"/>
      <c r="MHZ23" s="64"/>
      <c r="MIA23" s="64"/>
      <c r="MIB23" s="64"/>
      <c r="MIC23" s="64"/>
      <c r="MID23" s="64"/>
      <c r="MIE23" s="64"/>
      <c r="MIF23" s="64"/>
      <c r="MIG23" s="64"/>
      <c r="MIH23" s="64"/>
      <c r="MII23" s="64"/>
      <c r="MIJ23" s="64"/>
      <c r="MIK23" s="64"/>
      <c r="MIL23" s="64"/>
      <c r="MIM23" s="64"/>
      <c r="MIN23" s="64"/>
      <c r="MIO23" s="64"/>
      <c r="MIP23" s="64"/>
      <c r="MIQ23" s="64"/>
      <c r="MIR23" s="64"/>
      <c r="MIS23" s="64"/>
      <c r="MIT23" s="64"/>
      <c r="MIU23" s="64"/>
      <c r="MIV23" s="64"/>
      <c r="MIW23" s="64"/>
      <c r="MIX23" s="64"/>
      <c r="MIY23" s="64"/>
      <c r="MIZ23" s="64"/>
      <c r="MJA23" s="64"/>
      <c r="MJB23" s="64"/>
      <c r="MJC23" s="64"/>
      <c r="MJD23" s="64"/>
      <c r="MJE23" s="64"/>
      <c r="MJF23" s="64"/>
      <c r="MJG23" s="64"/>
      <c r="MJH23" s="64"/>
      <c r="MJI23" s="64"/>
      <c r="MJJ23" s="64"/>
      <c r="MJK23" s="64"/>
      <c r="MJL23" s="64"/>
      <c r="MJM23" s="64"/>
      <c r="MJN23" s="64"/>
      <c r="MJO23" s="64"/>
      <c r="MJP23" s="64"/>
      <c r="MJQ23" s="64"/>
      <c r="MJR23" s="64"/>
      <c r="MJS23" s="64"/>
      <c r="MJT23" s="64"/>
      <c r="MJU23" s="64"/>
      <c r="MJV23" s="64"/>
      <c r="MJW23" s="64"/>
      <c r="MJX23" s="64"/>
      <c r="MJY23" s="64"/>
      <c r="MJZ23" s="64"/>
      <c r="MKA23" s="64"/>
      <c r="MKB23" s="64"/>
      <c r="MKC23" s="64"/>
      <c r="MKD23" s="64"/>
      <c r="MKE23" s="64"/>
      <c r="MKF23" s="64"/>
      <c r="MKG23" s="64"/>
      <c r="MKH23" s="64"/>
      <c r="MKI23" s="64"/>
      <c r="MKJ23" s="64"/>
      <c r="MKK23" s="64"/>
      <c r="MKL23" s="64"/>
      <c r="MKM23" s="64"/>
      <c r="MKN23" s="64"/>
      <c r="MKO23" s="64"/>
      <c r="MKP23" s="64"/>
      <c r="MKQ23" s="64"/>
      <c r="MKR23" s="64"/>
      <c r="MKS23" s="64"/>
      <c r="MKT23" s="64"/>
      <c r="MKU23" s="64"/>
      <c r="MKV23" s="64"/>
      <c r="MKW23" s="64"/>
      <c r="MKX23" s="64"/>
      <c r="MKY23" s="64"/>
      <c r="MKZ23" s="64"/>
      <c r="MLA23" s="64"/>
      <c r="MLB23" s="64"/>
      <c r="MLC23" s="64"/>
      <c r="MLD23" s="64"/>
      <c r="MLE23" s="64"/>
      <c r="MLF23" s="64"/>
      <c r="MLG23" s="64"/>
      <c r="MLH23" s="64"/>
      <c r="MLI23" s="64"/>
      <c r="MLJ23" s="64"/>
      <c r="MLK23" s="64"/>
      <c r="MLL23" s="64"/>
      <c r="MLM23" s="64"/>
      <c r="MLN23" s="64"/>
      <c r="MLO23" s="64"/>
      <c r="MLP23" s="64"/>
      <c r="MLQ23" s="64"/>
      <c r="MLR23" s="64"/>
      <c r="MLS23" s="64"/>
      <c r="MLT23" s="64"/>
      <c r="MLU23" s="64"/>
      <c r="MLV23" s="64"/>
      <c r="MLW23" s="64"/>
      <c r="MLX23" s="64"/>
      <c r="MLY23" s="64"/>
      <c r="MLZ23" s="64"/>
      <c r="MMA23" s="64"/>
      <c r="MMB23" s="64"/>
      <c r="MMC23" s="64"/>
      <c r="MMD23" s="64"/>
      <c r="MME23" s="64"/>
      <c r="MMF23" s="64"/>
      <c r="MMG23" s="64"/>
      <c r="MMH23" s="64"/>
      <c r="MMI23" s="64"/>
      <c r="MMJ23" s="64"/>
      <c r="MMK23" s="64"/>
      <c r="MML23" s="64"/>
      <c r="MMM23" s="64"/>
      <c r="MMN23" s="64"/>
      <c r="MMO23" s="64"/>
      <c r="MMP23" s="64"/>
      <c r="MMQ23" s="64"/>
      <c r="MMR23" s="64"/>
      <c r="MMS23" s="64"/>
      <c r="MMT23" s="64"/>
      <c r="MMU23" s="64"/>
      <c r="MMV23" s="64"/>
      <c r="MMW23" s="64"/>
      <c r="MMX23" s="64"/>
      <c r="MMY23" s="64"/>
      <c r="MMZ23" s="64"/>
      <c r="MNA23" s="64"/>
      <c r="MNB23" s="64"/>
      <c r="MNC23" s="64"/>
      <c r="MND23" s="64"/>
      <c r="MNE23" s="64"/>
      <c r="MNF23" s="64"/>
      <c r="MNG23" s="64"/>
      <c r="MNH23" s="64"/>
      <c r="MNI23" s="64"/>
      <c r="MNJ23" s="64"/>
      <c r="MNK23" s="64"/>
      <c r="MNL23" s="64"/>
      <c r="MNM23" s="64"/>
      <c r="MNN23" s="64"/>
      <c r="MNO23" s="64"/>
      <c r="MNP23" s="64"/>
      <c r="MNQ23" s="64"/>
      <c r="MNR23" s="64"/>
      <c r="MNS23" s="64"/>
      <c r="MNT23" s="64"/>
      <c r="MNU23" s="64"/>
      <c r="MNV23" s="64"/>
      <c r="MNW23" s="64"/>
      <c r="MNX23" s="64"/>
      <c r="MNY23" s="64"/>
      <c r="MNZ23" s="64"/>
      <c r="MOA23" s="64"/>
      <c r="MOB23" s="64"/>
      <c r="MOC23" s="64"/>
      <c r="MOD23" s="64"/>
      <c r="MOE23" s="64"/>
      <c r="MOF23" s="64"/>
      <c r="MOG23" s="64"/>
      <c r="MOH23" s="64"/>
      <c r="MOI23" s="64"/>
      <c r="MOJ23" s="64"/>
      <c r="MOK23" s="64"/>
      <c r="MOL23" s="64"/>
      <c r="MOM23" s="64"/>
      <c r="MON23" s="64"/>
      <c r="MOO23" s="64"/>
      <c r="MOP23" s="64"/>
      <c r="MOQ23" s="64"/>
      <c r="MOR23" s="64"/>
      <c r="MOS23" s="64"/>
      <c r="MOT23" s="64"/>
      <c r="MOU23" s="64"/>
      <c r="MOV23" s="64"/>
      <c r="MOW23" s="64"/>
      <c r="MOX23" s="64"/>
      <c r="MOY23" s="64"/>
      <c r="MOZ23" s="64"/>
      <c r="MPA23" s="64"/>
      <c r="MPB23" s="64"/>
      <c r="MPC23" s="64"/>
      <c r="MPD23" s="64"/>
      <c r="MPE23" s="64"/>
      <c r="MPF23" s="64"/>
      <c r="MPG23" s="64"/>
      <c r="MPH23" s="64"/>
      <c r="MPI23" s="64"/>
      <c r="MPJ23" s="64"/>
      <c r="MPK23" s="64"/>
      <c r="MPL23" s="64"/>
      <c r="MPM23" s="64"/>
      <c r="MPN23" s="64"/>
      <c r="MPO23" s="64"/>
      <c r="MPP23" s="64"/>
      <c r="MPQ23" s="64"/>
      <c r="MPR23" s="64"/>
      <c r="MPS23" s="64"/>
      <c r="MPT23" s="64"/>
      <c r="MPU23" s="64"/>
      <c r="MPV23" s="64"/>
      <c r="MPW23" s="64"/>
      <c r="MPX23" s="64"/>
      <c r="MPY23" s="64"/>
      <c r="MPZ23" s="64"/>
      <c r="MQA23" s="64"/>
      <c r="MQB23" s="64"/>
      <c r="MQC23" s="64"/>
      <c r="MQD23" s="64"/>
      <c r="MQE23" s="64"/>
      <c r="MQF23" s="64"/>
      <c r="MQG23" s="64"/>
      <c r="MQH23" s="64"/>
      <c r="MQI23" s="64"/>
      <c r="MQJ23" s="64"/>
      <c r="MQK23" s="64"/>
      <c r="MQL23" s="64"/>
      <c r="MQM23" s="64"/>
      <c r="MQN23" s="64"/>
      <c r="MQO23" s="64"/>
      <c r="MQP23" s="64"/>
      <c r="MQQ23" s="64"/>
      <c r="MQR23" s="64"/>
      <c r="MQS23" s="64"/>
      <c r="MQT23" s="64"/>
      <c r="MQU23" s="64"/>
      <c r="MQV23" s="64"/>
      <c r="MQW23" s="64"/>
      <c r="MQX23" s="64"/>
      <c r="MQY23" s="64"/>
      <c r="MQZ23" s="64"/>
      <c r="MRA23" s="64"/>
      <c r="MRB23" s="64"/>
      <c r="MRC23" s="64"/>
      <c r="MRD23" s="64"/>
      <c r="MRE23" s="64"/>
      <c r="MRF23" s="64"/>
      <c r="MRG23" s="64"/>
      <c r="MRH23" s="64"/>
      <c r="MRI23" s="64"/>
      <c r="MRJ23" s="64"/>
      <c r="MRK23" s="64"/>
      <c r="MRL23" s="64"/>
      <c r="MRM23" s="64"/>
      <c r="MRN23" s="64"/>
      <c r="MRO23" s="64"/>
      <c r="MRP23" s="64"/>
      <c r="MRQ23" s="64"/>
      <c r="MRR23" s="64"/>
      <c r="MRS23" s="64"/>
      <c r="MRT23" s="64"/>
      <c r="MRU23" s="64"/>
      <c r="MRV23" s="64"/>
      <c r="MRW23" s="64"/>
      <c r="MRX23" s="64"/>
      <c r="MRY23" s="64"/>
      <c r="MRZ23" s="64"/>
      <c r="MSA23" s="64"/>
      <c r="MSB23" s="64"/>
      <c r="MSC23" s="64"/>
      <c r="MSD23" s="64"/>
      <c r="MSE23" s="64"/>
      <c r="MSF23" s="64"/>
      <c r="MSG23" s="64"/>
      <c r="MSH23" s="64"/>
      <c r="MSI23" s="64"/>
      <c r="MSJ23" s="64"/>
      <c r="MSK23" s="64"/>
      <c r="MSL23" s="64"/>
      <c r="MSM23" s="64"/>
      <c r="MSN23" s="64"/>
      <c r="MSO23" s="64"/>
      <c r="MSP23" s="64"/>
      <c r="MSQ23" s="64"/>
      <c r="MSR23" s="64"/>
      <c r="MSS23" s="64"/>
      <c r="MST23" s="64"/>
      <c r="MSU23" s="64"/>
      <c r="MSV23" s="64"/>
      <c r="MSW23" s="64"/>
      <c r="MSX23" s="64"/>
      <c r="MSY23" s="64"/>
      <c r="MSZ23" s="64"/>
      <c r="MTA23" s="64"/>
      <c r="MTB23" s="64"/>
      <c r="MTC23" s="64"/>
      <c r="MTD23" s="64"/>
      <c r="MTE23" s="64"/>
      <c r="MTF23" s="64"/>
      <c r="MTG23" s="64"/>
      <c r="MTH23" s="64"/>
      <c r="MTI23" s="64"/>
      <c r="MTJ23" s="64"/>
      <c r="MTK23" s="64"/>
      <c r="MTL23" s="64"/>
      <c r="MTM23" s="64"/>
      <c r="MTN23" s="64"/>
      <c r="MTO23" s="64"/>
      <c r="MTP23" s="64"/>
      <c r="MTQ23" s="64"/>
      <c r="MTR23" s="64"/>
      <c r="MTS23" s="64"/>
      <c r="MTT23" s="64"/>
      <c r="MTU23" s="64"/>
      <c r="MTV23" s="64"/>
      <c r="MTW23" s="64"/>
      <c r="MTX23" s="64"/>
      <c r="MTY23" s="64"/>
      <c r="MTZ23" s="64"/>
      <c r="MUA23" s="64"/>
      <c r="MUB23" s="64"/>
      <c r="MUC23" s="64"/>
      <c r="MUD23" s="64"/>
      <c r="MUE23" s="64"/>
      <c r="MUF23" s="64"/>
      <c r="MUG23" s="64"/>
      <c r="MUH23" s="64"/>
      <c r="MUI23" s="64"/>
      <c r="MUJ23" s="64"/>
      <c r="MUK23" s="64"/>
      <c r="MUL23" s="64"/>
      <c r="MUM23" s="64"/>
      <c r="MUN23" s="64"/>
      <c r="MUO23" s="64"/>
      <c r="MUP23" s="64"/>
      <c r="MUQ23" s="64"/>
      <c r="MUR23" s="64"/>
      <c r="MUS23" s="64"/>
      <c r="MUT23" s="64"/>
      <c r="MUU23" s="64"/>
      <c r="MUV23" s="64"/>
      <c r="MUW23" s="64"/>
      <c r="MUX23" s="64"/>
      <c r="MUY23" s="64"/>
      <c r="MUZ23" s="64"/>
      <c r="MVA23" s="64"/>
      <c r="MVB23" s="64"/>
      <c r="MVC23" s="64"/>
      <c r="MVD23" s="64"/>
      <c r="MVE23" s="64"/>
      <c r="MVF23" s="64"/>
      <c r="MVG23" s="64"/>
      <c r="MVH23" s="64"/>
      <c r="MVI23" s="64"/>
      <c r="MVJ23" s="64"/>
      <c r="MVK23" s="64"/>
      <c r="MVL23" s="64"/>
      <c r="MVM23" s="64"/>
      <c r="MVN23" s="64"/>
      <c r="MVO23" s="64"/>
      <c r="MVP23" s="64"/>
      <c r="MVQ23" s="64"/>
      <c r="MVR23" s="64"/>
      <c r="MVS23" s="64"/>
      <c r="MVT23" s="64"/>
      <c r="MVU23" s="64"/>
      <c r="MVV23" s="64"/>
      <c r="MVW23" s="64"/>
      <c r="MVX23" s="64"/>
      <c r="MVY23" s="64"/>
      <c r="MVZ23" s="64"/>
      <c r="MWA23" s="64"/>
      <c r="MWB23" s="64"/>
      <c r="MWC23" s="64"/>
      <c r="MWD23" s="64"/>
      <c r="MWE23" s="64"/>
      <c r="MWF23" s="64"/>
      <c r="MWG23" s="64"/>
      <c r="MWH23" s="64"/>
      <c r="MWI23" s="64"/>
      <c r="MWJ23" s="64"/>
      <c r="MWK23" s="64"/>
      <c r="MWL23" s="64"/>
      <c r="MWM23" s="64"/>
      <c r="MWN23" s="64"/>
      <c r="MWO23" s="64"/>
      <c r="MWP23" s="64"/>
      <c r="MWQ23" s="64"/>
      <c r="MWR23" s="64"/>
      <c r="MWS23" s="64"/>
      <c r="MWT23" s="64"/>
      <c r="MWU23" s="64"/>
      <c r="MWV23" s="64"/>
      <c r="MWW23" s="64"/>
      <c r="MWX23" s="64"/>
      <c r="MWY23" s="64"/>
      <c r="MWZ23" s="64"/>
      <c r="MXA23" s="64"/>
      <c r="MXB23" s="64"/>
      <c r="MXC23" s="64"/>
      <c r="MXD23" s="64"/>
      <c r="MXE23" s="64"/>
      <c r="MXF23" s="64"/>
      <c r="MXG23" s="64"/>
      <c r="MXH23" s="64"/>
      <c r="MXI23" s="64"/>
      <c r="MXJ23" s="64"/>
      <c r="MXK23" s="64"/>
      <c r="MXL23" s="64"/>
      <c r="MXM23" s="64"/>
      <c r="MXN23" s="64"/>
      <c r="MXO23" s="64"/>
      <c r="MXP23" s="64"/>
      <c r="MXQ23" s="64"/>
      <c r="MXR23" s="64"/>
      <c r="MXS23" s="64"/>
      <c r="MXT23" s="64"/>
      <c r="MXU23" s="64"/>
      <c r="MXV23" s="64"/>
      <c r="MXW23" s="64"/>
      <c r="MXX23" s="64"/>
      <c r="MXY23" s="64"/>
      <c r="MXZ23" s="64"/>
      <c r="MYA23" s="64"/>
      <c r="MYB23" s="64"/>
      <c r="MYC23" s="64"/>
      <c r="MYD23" s="64"/>
      <c r="MYE23" s="64"/>
      <c r="MYF23" s="64"/>
      <c r="MYG23" s="64"/>
      <c r="MYH23" s="64"/>
      <c r="MYI23" s="64"/>
      <c r="MYJ23" s="64"/>
      <c r="MYK23" s="64"/>
      <c r="MYL23" s="64"/>
      <c r="MYM23" s="64"/>
      <c r="MYN23" s="64"/>
      <c r="MYO23" s="64"/>
      <c r="MYP23" s="64"/>
      <c r="MYQ23" s="64"/>
      <c r="MYR23" s="64"/>
      <c r="MYS23" s="64"/>
      <c r="MYT23" s="64"/>
      <c r="MYU23" s="64"/>
      <c r="MYV23" s="64"/>
      <c r="MYW23" s="64"/>
      <c r="MYX23" s="64"/>
      <c r="MYY23" s="64"/>
      <c r="MYZ23" s="64"/>
      <c r="MZA23" s="64"/>
      <c r="MZB23" s="64"/>
      <c r="MZC23" s="64"/>
      <c r="MZD23" s="64"/>
      <c r="MZE23" s="64"/>
      <c r="MZF23" s="64"/>
      <c r="MZG23" s="64"/>
      <c r="MZH23" s="64"/>
      <c r="MZI23" s="64"/>
      <c r="MZJ23" s="64"/>
      <c r="MZK23" s="64"/>
      <c r="MZL23" s="64"/>
      <c r="MZM23" s="64"/>
      <c r="MZN23" s="64"/>
      <c r="MZO23" s="64"/>
      <c r="MZP23" s="64"/>
      <c r="MZQ23" s="64"/>
      <c r="MZR23" s="64"/>
      <c r="MZS23" s="64"/>
      <c r="MZT23" s="64"/>
      <c r="MZU23" s="64"/>
      <c r="MZV23" s="64"/>
      <c r="MZW23" s="64"/>
      <c r="MZX23" s="64"/>
      <c r="MZY23" s="64"/>
      <c r="MZZ23" s="64"/>
      <c r="NAA23" s="64"/>
      <c r="NAB23" s="64"/>
      <c r="NAC23" s="64"/>
      <c r="NAD23" s="64"/>
      <c r="NAE23" s="64"/>
      <c r="NAF23" s="64"/>
      <c r="NAG23" s="64"/>
      <c r="NAH23" s="64"/>
      <c r="NAI23" s="64"/>
      <c r="NAJ23" s="64"/>
      <c r="NAK23" s="64"/>
      <c r="NAL23" s="64"/>
      <c r="NAM23" s="64"/>
      <c r="NAN23" s="64"/>
      <c r="NAO23" s="64"/>
      <c r="NAP23" s="64"/>
      <c r="NAQ23" s="64"/>
      <c r="NAR23" s="64"/>
      <c r="NAS23" s="64"/>
      <c r="NAT23" s="64"/>
      <c r="NAU23" s="64"/>
      <c r="NAV23" s="64"/>
      <c r="NAW23" s="64"/>
      <c r="NAX23" s="64"/>
      <c r="NAY23" s="64"/>
      <c r="NAZ23" s="64"/>
      <c r="NBA23" s="64"/>
      <c r="NBB23" s="64"/>
      <c r="NBC23" s="64"/>
      <c r="NBD23" s="64"/>
      <c r="NBE23" s="64"/>
      <c r="NBF23" s="64"/>
      <c r="NBG23" s="64"/>
      <c r="NBH23" s="64"/>
      <c r="NBI23" s="64"/>
      <c r="NBJ23" s="64"/>
      <c r="NBK23" s="64"/>
      <c r="NBL23" s="64"/>
      <c r="NBM23" s="64"/>
      <c r="NBN23" s="64"/>
      <c r="NBO23" s="64"/>
      <c r="NBP23" s="64"/>
      <c r="NBQ23" s="64"/>
      <c r="NBR23" s="64"/>
      <c r="NBS23" s="64"/>
      <c r="NBT23" s="64"/>
      <c r="NBU23" s="64"/>
      <c r="NBV23" s="64"/>
      <c r="NBW23" s="64"/>
      <c r="NBX23" s="64"/>
      <c r="NBY23" s="64"/>
      <c r="NBZ23" s="64"/>
      <c r="NCA23" s="64"/>
      <c r="NCB23" s="64"/>
      <c r="NCC23" s="64"/>
      <c r="NCD23" s="64"/>
      <c r="NCE23" s="64"/>
      <c r="NCF23" s="64"/>
      <c r="NCG23" s="64"/>
      <c r="NCH23" s="64"/>
      <c r="NCI23" s="64"/>
      <c r="NCJ23" s="64"/>
      <c r="NCK23" s="64"/>
      <c r="NCL23" s="64"/>
      <c r="NCM23" s="64"/>
      <c r="NCN23" s="64"/>
      <c r="NCO23" s="64"/>
      <c r="NCP23" s="64"/>
      <c r="NCQ23" s="64"/>
      <c r="NCR23" s="64"/>
      <c r="NCS23" s="64"/>
      <c r="NCT23" s="64"/>
      <c r="NCU23" s="64"/>
      <c r="NCV23" s="64"/>
      <c r="NCW23" s="64"/>
      <c r="NCX23" s="64"/>
      <c r="NCY23" s="64"/>
      <c r="NCZ23" s="64"/>
      <c r="NDA23" s="64"/>
      <c r="NDB23" s="64"/>
      <c r="NDC23" s="64"/>
      <c r="NDD23" s="64"/>
      <c r="NDE23" s="64"/>
      <c r="NDF23" s="64"/>
      <c r="NDG23" s="64"/>
      <c r="NDH23" s="64"/>
      <c r="NDI23" s="64"/>
      <c r="NDJ23" s="64"/>
      <c r="NDK23" s="64"/>
      <c r="NDL23" s="64"/>
      <c r="NDM23" s="64"/>
      <c r="NDN23" s="64"/>
      <c r="NDO23" s="64"/>
      <c r="NDP23" s="64"/>
      <c r="NDQ23" s="64"/>
      <c r="NDR23" s="64"/>
      <c r="NDS23" s="64"/>
      <c r="NDT23" s="64"/>
      <c r="NDU23" s="64"/>
      <c r="NDV23" s="64"/>
      <c r="NDW23" s="64"/>
      <c r="NDX23" s="64"/>
      <c r="NDY23" s="64"/>
      <c r="NDZ23" s="64"/>
      <c r="NEA23" s="64"/>
      <c r="NEB23" s="64"/>
      <c r="NEC23" s="64"/>
      <c r="NED23" s="64"/>
      <c r="NEE23" s="64"/>
      <c r="NEF23" s="64"/>
      <c r="NEG23" s="64"/>
      <c r="NEH23" s="64"/>
      <c r="NEI23" s="64"/>
      <c r="NEJ23" s="64"/>
      <c r="NEK23" s="64"/>
      <c r="NEL23" s="64"/>
      <c r="NEM23" s="64"/>
      <c r="NEN23" s="64"/>
      <c r="NEO23" s="64"/>
      <c r="NEP23" s="64"/>
      <c r="NEQ23" s="64"/>
      <c r="NER23" s="64"/>
      <c r="NES23" s="64"/>
      <c r="NET23" s="64"/>
      <c r="NEU23" s="64"/>
      <c r="NEV23" s="64"/>
      <c r="NEW23" s="64"/>
      <c r="NEX23" s="64"/>
      <c r="NEY23" s="64"/>
      <c r="NEZ23" s="64"/>
      <c r="NFA23" s="64"/>
      <c r="NFB23" s="64"/>
      <c r="NFC23" s="64"/>
      <c r="NFD23" s="64"/>
      <c r="NFE23" s="64"/>
      <c r="NFF23" s="64"/>
      <c r="NFG23" s="64"/>
      <c r="NFH23" s="64"/>
      <c r="NFI23" s="64"/>
      <c r="NFJ23" s="64"/>
      <c r="NFK23" s="64"/>
      <c r="NFL23" s="64"/>
      <c r="NFM23" s="64"/>
      <c r="NFN23" s="64"/>
      <c r="NFO23" s="64"/>
      <c r="NFP23" s="64"/>
      <c r="NFQ23" s="64"/>
      <c r="NFR23" s="64"/>
      <c r="NFS23" s="64"/>
      <c r="NFT23" s="64"/>
      <c r="NFU23" s="64"/>
      <c r="NFV23" s="64"/>
      <c r="NFW23" s="64"/>
      <c r="NFX23" s="64"/>
      <c r="NFY23" s="64"/>
      <c r="NFZ23" s="64"/>
      <c r="NGA23" s="64"/>
      <c r="NGB23" s="64"/>
      <c r="NGC23" s="64"/>
      <c r="NGD23" s="64"/>
      <c r="NGE23" s="64"/>
      <c r="NGF23" s="64"/>
      <c r="NGG23" s="64"/>
      <c r="NGH23" s="64"/>
      <c r="NGI23" s="64"/>
      <c r="NGJ23" s="64"/>
      <c r="NGK23" s="64"/>
      <c r="NGL23" s="64"/>
      <c r="NGM23" s="64"/>
      <c r="NGN23" s="64"/>
      <c r="NGO23" s="64"/>
      <c r="NGP23" s="64"/>
      <c r="NGQ23" s="64"/>
      <c r="NGR23" s="64"/>
      <c r="NGS23" s="64"/>
      <c r="NGT23" s="64"/>
      <c r="NGU23" s="64"/>
      <c r="NGV23" s="64"/>
      <c r="NGW23" s="64"/>
      <c r="NGX23" s="64"/>
      <c r="NGY23" s="64"/>
      <c r="NGZ23" s="64"/>
      <c r="NHA23" s="64"/>
      <c r="NHB23" s="64"/>
      <c r="NHC23" s="64"/>
      <c r="NHD23" s="64"/>
      <c r="NHE23" s="64"/>
      <c r="NHF23" s="64"/>
      <c r="NHG23" s="64"/>
      <c r="NHH23" s="64"/>
      <c r="NHI23" s="64"/>
      <c r="NHJ23" s="64"/>
      <c r="NHK23" s="64"/>
      <c r="NHL23" s="64"/>
      <c r="NHM23" s="64"/>
      <c r="NHN23" s="64"/>
      <c r="NHO23" s="64"/>
      <c r="NHP23" s="64"/>
      <c r="NHQ23" s="64"/>
      <c r="NHR23" s="64"/>
      <c r="NHS23" s="64"/>
      <c r="NHT23" s="64"/>
      <c r="NHU23" s="64"/>
      <c r="NHV23" s="64"/>
      <c r="NHW23" s="64"/>
      <c r="NHX23" s="64"/>
      <c r="NHY23" s="64"/>
      <c r="NHZ23" s="64"/>
      <c r="NIA23" s="64"/>
      <c r="NIB23" s="64"/>
      <c r="NIC23" s="64"/>
      <c r="NID23" s="64"/>
      <c r="NIE23" s="64"/>
      <c r="NIF23" s="64"/>
      <c r="NIG23" s="64"/>
      <c r="NIH23" s="64"/>
      <c r="NII23" s="64"/>
      <c r="NIJ23" s="64"/>
      <c r="NIK23" s="64"/>
      <c r="NIL23" s="64"/>
      <c r="NIM23" s="64"/>
      <c r="NIN23" s="64"/>
      <c r="NIO23" s="64"/>
      <c r="NIP23" s="64"/>
      <c r="NIQ23" s="64"/>
      <c r="NIR23" s="64"/>
      <c r="NIS23" s="64"/>
      <c r="NIT23" s="64"/>
      <c r="NIU23" s="64"/>
      <c r="NIV23" s="64"/>
      <c r="NIW23" s="64"/>
      <c r="NIX23" s="64"/>
      <c r="NIY23" s="64"/>
      <c r="NIZ23" s="64"/>
      <c r="NJA23" s="64"/>
      <c r="NJB23" s="64"/>
      <c r="NJC23" s="64"/>
      <c r="NJD23" s="64"/>
      <c r="NJE23" s="64"/>
      <c r="NJF23" s="64"/>
      <c r="NJG23" s="64"/>
      <c r="NJH23" s="64"/>
      <c r="NJI23" s="64"/>
      <c r="NJJ23" s="64"/>
      <c r="NJK23" s="64"/>
      <c r="NJL23" s="64"/>
      <c r="NJM23" s="64"/>
      <c r="NJN23" s="64"/>
      <c r="NJO23" s="64"/>
      <c r="NJP23" s="64"/>
      <c r="NJQ23" s="64"/>
      <c r="NJR23" s="64"/>
      <c r="NJS23" s="64"/>
      <c r="NJT23" s="64"/>
      <c r="NJU23" s="64"/>
      <c r="NJV23" s="64"/>
      <c r="NJW23" s="64"/>
      <c r="NJX23" s="64"/>
      <c r="NJY23" s="64"/>
      <c r="NJZ23" s="64"/>
      <c r="NKA23" s="64"/>
      <c r="NKB23" s="64"/>
      <c r="NKC23" s="64"/>
      <c r="NKD23" s="64"/>
      <c r="NKE23" s="64"/>
      <c r="NKF23" s="64"/>
      <c r="NKG23" s="64"/>
      <c r="NKH23" s="64"/>
      <c r="NKI23" s="64"/>
      <c r="NKJ23" s="64"/>
      <c r="NKK23" s="64"/>
      <c r="NKL23" s="64"/>
      <c r="NKM23" s="64"/>
      <c r="NKN23" s="64"/>
      <c r="NKO23" s="64"/>
      <c r="NKP23" s="64"/>
      <c r="NKQ23" s="64"/>
      <c r="NKR23" s="64"/>
      <c r="NKS23" s="64"/>
      <c r="NKT23" s="64"/>
      <c r="NKU23" s="64"/>
      <c r="NKV23" s="64"/>
      <c r="NKW23" s="64"/>
      <c r="NKX23" s="64"/>
      <c r="NKY23" s="64"/>
      <c r="NKZ23" s="64"/>
      <c r="NLA23" s="64"/>
      <c r="NLB23" s="64"/>
      <c r="NLC23" s="64"/>
      <c r="NLD23" s="64"/>
      <c r="NLE23" s="64"/>
      <c r="NLF23" s="64"/>
      <c r="NLG23" s="64"/>
      <c r="NLH23" s="64"/>
      <c r="NLI23" s="64"/>
      <c r="NLJ23" s="64"/>
      <c r="NLK23" s="64"/>
      <c r="NLL23" s="64"/>
      <c r="NLM23" s="64"/>
      <c r="NLN23" s="64"/>
      <c r="NLO23" s="64"/>
      <c r="NLP23" s="64"/>
      <c r="NLQ23" s="64"/>
      <c r="NLR23" s="64"/>
      <c r="NLS23" s="64"/>
      <c r="NLT23" s="64"/>
      <c r="NLU23" s="64"/>
      <c r="NLV23" s="64"/>
      <c r="NLW23" s="64"/>
      <c r="NLX23" s="64"/>
      <c r="NLY23" s="64"/>
      <c r="NLZ23" s="64"/>
      <c r="NMA23" s="64"/>
      <c r="NMB23" s="64"/>
      <c r="NMC23" s="64"/>
      <c r="NMD23" s="64"/>
      <c r="NME23" s="64"/>
      <c r="NMF23" s="64"/>
      <c r="NMG23" s="64"/>
      <c r="NMH23" s="64"/>
      <c r="NMI23" s="64"/>
      <c r="NMJ23" s="64"/>
      <c r="NMK23" s="64"/>
      <c r="NML23" s="64"/>
      <c r="NMM23" s="64"/>
      <c r="NMN23" s="64"/>
      <c r="NMO23" s="64"/>
      <c r="NMP23" s="64"/>
      <c r="NMQ23" s="64"/>
      <c r="NMR23" s="64"/>
      <c r="NMS23" s="64"/>
      <c r="NMT23" s="64"/>
      <c r="NMU23" s="64"/>
      <c r="NMV23" s="64"/>
      <c r="NMW23" s="64"/>
      <c r="NMX23" s="64"/>
      <c r="NMY23" s="64"/>
      <c r="NMZ23" s="64"/>
      <c r="NNA23" s="64"/>
      <c r="NNB23" s="64"/>
      <c r="NNC23" s="64"/>
      <c r="NND23" s="64"/>
      <c r="NNE23" s="64"/>
      <c r="NNF23" s="64"/>
      <c r="NNG23" s="64"/>
      <c r="NNH23" s="64"/>
      <c r="NNI23" s="64"/>
      <c r="NNJ23" s="64"/>
      <c r="NNK23" s="64"/>
      <c r="NNL23" s="64"/>
      <c r="NNM23" s="64"/>
      <c r="NNN23" s="64"/>
      <c r="NNO23" s="64"/>
      <c r="NNP23" s="64"/>
      <c r="NNQ23" s="64"/>
      <c r="NNR23" s="64"/>
      <c r="NNS23" s="64"/>
      <c r="NNT23" s="64"/>
      <c r="NNU23" s="64"/>
      <c r="NNV23" s="64"/>
      <c r="NNW23" s="64"/>
      <c r="NNX23" s="64"/>
      <c r="NNY23" s="64"/>
      <c r="NNZ23" s="64"/>
      <c r="NOA23" s="64"/>
      <c r="NOB23" s="64"/>
      <c r="NOC23" s="64"/>
      <c r="NOD23" s="64"/>
      <c r="NOE23" s="64"/>
      <c r="NOF23" s="64"/>
      <c r="NOG23" s="64"/>
      <c r="NOH23" s="64"/>
      <c r="NOI23" s="64"/>
      <c r="NOJ23" s="64"/>
      <c r="NOK23" s="64"/>
      <c r="NOL23" s="64"/>
      <c r="NOM23" s="64"/>
      <c r="NON23" s="64"/>
      <c r="NOO23" s="64"/>
      <c r="NOP23" s="64"/>
      <c r="NOQ23" s="64"/>
      <c r="NOR23" s="64"/>
      <c r="NOS23" s="64"/>
      <c r="NOT23" s="64"/>
      <c r="NOU23" s="64"/>
      <c r="NOV23" s="64"/>
      <c r="NOW23" s="64"/>
      <c r="NOX23" s="64"/>
      <c r="NOY23" s="64"/>
      <c r="NOZ23" s="64"/>
      <c r="NPA23" s="64"/>
      <c r="NPB23" s="64"/>
      <c r="NPC23" s="64"/>
      <c r="NPD23" s="64"/>
      <c r="NPE23" s="64"/>
      <c r="NPF23" s="64"/>
      <c r="NPG23" s="64"/>
      <c r="NPH23" s="64"/>
      <c r="NPI23" s="64"/>
      <c r="NPJ23" s="64"/>
      <c r="NPK23" s="64"/>
      <c r="NPL23" s="64"/>
      <c r="NPM23" s="64"/>
      <c r="NPN23" s="64"/>
      <c r="NPO23" s="64"/>
      <c r="NPP23" s="64"/>
      <c r="NPQ23" s="64"/>
      <c r="NPR23" s="64"/>
      <c r="NPS23" s="64"/>
      <c r="NPT23" s="64"/>
      <c r="NPU23" s="64"/>
      <c r="NPV23" s="64"/>
      <c r="NPW23" s="64"/>
      <c r="NPX23" s="64"/>
      <c r="NPY23" s="64"/>
      <c r="NPZ23" s="64"/>
      <c r="NQA23" s="64"/>
      <c r="NQB23" s="64"/>
      <c r="NQC23" s="64"/>
      <c r="NQD23" s="64"/>
      <c r="NQE23" s="64"/>
      <c r="NQF23" s="64"/>
      <c r="NQG23" s="64"/>
      <c r="NQH23" s="64"/>
      <c r="NQI23" s="64"/>
      <c r="NQJ23" s="64"/>
      <c r="NQK23" s="64"/>
      <c r="NQL23" s="64"/>
      <c r="NQM23" s="64"/>
      <c r="NQN23" s="64"/>
      <c r="NQO23" s="64"/>
      <c r="NQP23" s="64"/>
      <c r="NQQ23" s="64"/>
      <c r="NQR23" s="64"/>
      <c r="NQS23" s="64"/>
      <c r="NQT23" s="64"/>
      <c r="NQU23" s="64"/>
      <c r="NQV23" s="64"/>
      <c r="NQW23" s="64"/>
      <c r="NQX23" s="64"/>
      <c r="NQY23" s="64"/>
      <c r="NQZ23" s="64"/>
      <c r="NRA23" s="64"/>
      <c r="NRB23" s="64"/>
      <c r="NRC23" s="64"/>
      <c r="NRD23" s="64"/>
      <c r="NRE23" s="64"/>
      <c r="NRF23" s="64"/>
      <c r="NRG23" s="64"/>
      <c r="NRH23" s="64"/>
      <c r="NRI23" s="64"/>
      <c r="NRJ23" s="64"/>
      <c r="NRK23" s="64"/>
      <c r="NRL23" s="64"/>
      <c r="NRM23" s="64"/>
      <c r="NRN23" s="64"/>
      <c r="NRO23" s="64"/>
      <c r="NRP23" s="64"/>
      <c r="NRQ23" s="64"/>
      <c r="NRR23" s="64"/>
      <c r="NRS23" s="64"/>
      <c r="NRT23" s="64"/>
      <c r="NRU23" s="64"/>
      <c r="NRV23" s="64"/>
      <c r="NRW23" s="64"/>
      <c r="NRX23" s="64"/>
      <c r="NRY23" s="64"/>
      <c r="NRZ23" s="64"/>
      <c r="NSA23" s="64"/>
      <c r="NSB23" s="64"/>
      <c r="NSC23" s="64"/>
      <c r="NSD23" s="64"/>
      <c r="NSE23" s="64"/>
      <c r="NSF23" s="64"/>
      <c r="NSG23" s="64"/>
      <c r="NSH23" s="64"/>
      <c r="NSI23" s="64"/>
      <c r="NSJ23" s="64"/>
      <c r="NSK23" s="64"/>
      <c r="NSL23" s="64"/>
      <c r="NSM23" s="64"/>
      <c r="NSN23" s="64"/>
      <c r="NSO23" s="64"/>
      <c r="NSP23" s="64"/>
      <c r="NSQ23" s="64"/>
      <c r="NSR23" s="64"/>
      <c r="NSS23" s="64"/>
      <c r="NST23" s="64"/>
      <c r="NSU23" s="64"/>
      <c r="NSV23" s="64"/>
      <c r="NSW23" s="64"/>
      <c r="NSX23" s="64"/>
      <c r="NSY23" s="64"/>
      <c r="NSZ23" s="64"/>
      <c r="NTA23" s="64"/>
      <c r="NTB23" s="64"/>
      <c r="NTC23" s="64"/>
      <c r="NTD23" s="64"/>
      <c r="NTE23" s="64"/>
      <c r="NTF23" s="64"/>
      <c r="NTG23" s="64"/>
      <c r="NTH23" s="64"/>
      <c r="NTI23" s="64"/>
      <c r="NTJ23" s="64"/>
      <c r="NTK23" s="64"/>
      <c r="NTL23" s="64"/>
      <c r="NTM23" s="64"/>
      <c r="NTN23" s="64"/>
      <c r="NTO23" s="64"/>
      <c r="NTP23" s="64"/>
      <c r="NTQ23" s="64"/>
      <c r="NTR23" s="64"/>
      <c r="NTS23" s="64"/>
      <c r="NTT23" s="64"/>
      <c r="NTU23" s="64"/>
      <c r="NTV23" s="64"/>
      <c r="NTW23" s="64"/>
      <c r="NTX23" s="64"/>
      <c r="NTY23" s="64"/>
      <c r="NTZ23" s="64"/>
      <c r="NUA23" s="64"/>
      <c r="NUB23" s="64"/>
      <c r="NUC23" s="64"/>
      <c r="NUD23" s="64"/>
      <c r="NUE23" s="64"/>
      <c r="NUF23" s="64"/>
      <c r="NUG23" s="64"/>
      <c r="NUH23" s="64"/>
      <c r="NUI23" s="64"/>
      <c r="NUJ23" s="64"/>
      <c r="NUK23" s="64"/>
      <c r="NUL23" s="64"/>
      <c r="NUM23" s="64"/>
      <c r="NUN23" s="64"/>
      <c r="NUO23" s="64"/>
      <c r="NUP23" s="64"/>
      <c r="NUQ23" s="64"/>
      <c r="NUR23" s="64"/>
      <c r="NUS23" s="64"/>
      <c r="NUT23" s="64"/>
      <c r="NUU23" s="64"/>
      <c r="NUV23" s="64"/>
      <c r="NUW23" s="64"/>
      <c r="NUX23" s="64"/>
      <c r="NUY23" s="64"/>
      <c r="NUZ23" s="64"/>
      <c r="NVA23" s="64"/>
      <c r="NVB23" s="64"/>
      <c r="NVC23" s="64"/>
      <c r="NVD23" s="64"/>
      <c r="NVE23" s="64"/>
      <c r="NVF23" s="64"/>
      <c r="NVG23" s="64"/>
      <c r="NVH23" s="64"/>
      <c r="NVI23" s="64"/>
      <c r="NVJ23" s="64"/>
      <c r="NVK23" s="64"/>
      <c r="NVL23" s="64"/>
      <c r="NVM23" s="64"/>
      <c r="NVN23" s="64"/>
      <c r="NVO23" s="64"/>
      <c r="NVP23" s="64"/>
      <c r="NVQ23" s="64"/>
      <c r="NVR23" s="64"/>
      <c r="NVS23" s="64"/>
      <c r="NVT23" s="64"/>
      <c r="NVU23" s="64"/>
      <c r="NVV23" s="64"/>
      <c r="NVW23" s="64"/>
      <c r="NVX23" s="64"/>
      <c r="NVY23" s="64"/>
      <c r="NVZ23" s="64"/>
      <c r="NWA23" s="64"/>
      <c r="NWB23" s="64"/>
      <c r="NWC23" s="64"/>
      <c r="NWD23" s="64"/>
      <c r="NWE23" s="64"/>
      <c r="NWF23" s="64"/>
      <c r="NWG23" s="64"/>
      <c r="NWH23" s="64"/>
      <c r="NWI23" s="64"/>
      <c r="NWJ23" s="64"/>
      <c r="NWK23" s="64"/>
      <c r="NWL23" s="64"/>
      <c r="NWM23" s="64"/>
      <c r="NWN23" s="64"/>
      <c r="NWO23" s="64"/>
      <c r="NWP23" s="64"/>
      <c r="NWQ23" s="64"/>
      <c r="NWR23" s="64"/>
      <c r="NWS23" s="64"/>
      <c r="NWT23" s="64"/>
      <c r="NWU23" s="64"/>
      <c r="NWV23" s="64"/>
      <c r="NWW23" s="64"/>
      <c r="NWX23" s="64"/>
      <c r="NWY23" s="64"/>
      <c r="NWZ23" s="64"/>
      <c r="NXA23" s="64"/>
      <c r="NXB23" s="64"/>
      <c r="NXC23" s="64"/>
      <c r="NXD23" s="64"/>
      <c r="NXE23" s="64"/>
      <c r="NXF23" s="64"/>
      <c r="NXG23" s="64"/>
      <c r="NXH23" s="64"/>
      <c r="NXI23" s="64"/>
      <c r="NXJ23" s="64"/>
      <c r="NXK23" s="64"/>
      <c r="NXL23" s="64"/>
      <c r="NXM23" s="64"/>
      <c r="NXN23" s="64"/>
      <c r="NXO23" s="64"/>
      <c r="NXP23" s="64"/>
      <c r="NXQ23" s="64"/>
      <c r="NXR23" s="64"/>
      <c r="NXS23" s="64"/>
      <c r="NXT23" s="64"/>
      <c r="NXU23" s="64"/>
      <c r="NXV23" s="64"/>
      <c r="NXW23" s="64"/>
      <c r="NXX23" s="64"/>
      <c r="NXY23" s="64"/>
      <c r="NXZ23" s="64"/>
      <c r="NYA23" s="64"/>
      <c r="NYB23" s="64"/>
      <c r="NYC23" s="64"/>
      <c r="NYD23" s="64"/>
      <c r="NYE23" s="64"/>
      <c r="NYF23" s="64"/>
      <c r="NYG23" s="64"/>
      <c r="NYH23" s="64"/>
      <c r="NYI23" s="64"/>
      <c r="NYJ23" s="64"/>
      <c r="NYK23" s="64"/>
      <c r="NYL23" s="64"/>
      <c r="NYM23" s="64"/>
      <c r="NYN23" s="64"/>
      <c r="NYO23" s="64"/>
      <c r="NYP23" s="64"/>
      <c r="NYQ23" s="64"/>
      <c r="NYR23" s="64"/>
      <c r="NYS23" s="64"/>
      <c r="NYT23" s="64"/>
      <c r="NYU23" s="64"/>
      <c r="NYV23" s="64"/>
      <c r="NYW23" s="64"/>
      <c r="NYX23" s="64"/>
      <c r="NYY23" s="64"/>
      <c r="NYZ23" s="64"/>
      <c r="NZA23" s="64"/>
      <c r="NZB23" s="64"/>
      <c r="NZC23" s="64"/>
      <c r="NZD23" s="64"/>
      <c r="NZE23" s="64"/>
      <c r="NZF23" s="64"/>
      <c r="NZG23" s="64"/>
      <c r="NZH23" s="64"/>
      <c r="NZI23" s="64"/>
      <c r="NZJ23" s="64"/>
      <c r="NZK23" s="64"/>
      <c r="NZL23" s="64"/>
      <c r="NZM23" s="64"/>
      <c r="NZN23" s="64"/>
      <c r="NZO23" s="64"/>
      <c r="NZP23" s="64"/>
      <c r="NZQ23" s="64"/>
      <c r="NZR23" s="64"/>
      <c r="NZS23" s="64"/>
      <c r="NZT23" s="64"/>
      <c r="NZU23" s="64"/>
      <c r="NZV23" s="64"/>
      <c r="NZW23" s="64"/>
      <c r="NZX23" s="64"/>
      <c r="NZY23" s="64"/>
      <c r="NZZ23" s="64"/>
      <c r="OAA23" s="64"/>
      <c r="OAB23" s="64"/>
      <c r="OAC23" s="64"/>
      <c r="OAD23" s="64"/>
      <c r="OAE23" s="64"/>
      <c r="OAF23" s="64"/>
      <c r="OAG23" s="64"/>
      <c r="OAH23" s="64"/>
      <c r="OAI23" s="64"/>
      <c r="OAJ23" s="64"/>
      <c r="OAK23" s="64"/>
      <c r="OAL23" s="64"/>
      <c r="OAM23" s="64"/>
      <c r="OAN23" s="64"/>
      <c r="OAO23" s="64"/>
      <c r="OAP23" s="64"/>
      <c r="OAQ23" s="64"/>
      <c r="OAR23" s="64"/>
      <c r="OAS23" s="64"/>
      <c r="OAT23" s="64"/>
      <c r="OAU23" s="64"/>
      <c r="OAV23" s="64"/>
      <c r="OAW23" s="64"/>
      <c r="OAX23" s="64"/>
      <c r="OAY23" s="64"/>
      <c r="OAZ23" s="64"/>
      <c r="OBA23" s="64"/>
      <c r="OBB23" s="64"/>
      <c r="OBC23" s="64"/>
      <c r="OBD23" s="64"/>
      <c r="OBE23" s="64"/>
      <c r="OBF23" s="64"/>
      <c r="OBG23" s="64"/>
      <c r="OBH23" s="64"/>
      <c r="OBI23" s="64"/>
      <c r="OBJ23" s="64"/>
      <c r="OBK23" s="64"/>
      <c r="OBL23" s="64"/>
      <c r="OBM23" s="64"/>
      <c r="OBN23" s="64"/>
      <c r="OBO23" s="64"/>
      <c r="OBP23" s="64"/>
      <c r="OBQ23" s="64"/>
      <c r="OBR23" s="64"/>
      <c r="OBS23" s="64"/>
      <c r="OBT23" s="64"/>
      <c r="OBU23" s="64"/>
      <c r="OBV23" s="64"/>
      <c r="OBW23" s="64"/>
      <c r="OBX23" s="64"/>
      <c r="OBY23" s="64"/>
      <c r="OBZ23" s="64"/>
      <c r="OCA23" s="64"/>
      <c r="OCB23" s="64"/>
      <c r="OCC23" s="64"/>
      <c r="OCD23" s="64"/>
      <c r="OCE23" s="64"/>
      <c r="OCF23" s="64"/>
      <c r="OCG23" s="64"/>
      <c r="OCH23" s="64"/>
      <c r="OCI23" s="64"/>
      <c r="OCJ23" s="64"/>
      <c r="OCK23" s="64"/>
      <c r="OCL23" s="64"/>
      <c r="OCM23" s="64"/>
      <c r="OCN23" s="64"/>
      <c r="OCO23" s="64"/>
      <c r="OCP23" s="64"/>
      <c r="OCQ23" s="64"/>
      <c r="OCR23" s="64"/>
      <c r="OCS23" s="64"/>
      <c r="OCT23" s="64"/>
      <c r="OCU23" s="64"/>
      <c r="OCV23" s="64"/>
      <c r="OCW23" s="64"/>
      <c r="OCX23" s="64"/>
      <c r="OCY23" s="64"/>
      <c r="OCZ23" s="64"/>
      <c r="ODA23" s="64"/>
      <c r="ODB23" s="64"/>
      <c r="ODC23" s="64"/>
      <c r="ODD23" s="64"/>
      <c r="ODE23" s="64"/>
      <c r="ODF23" s="64"/>
      <c r="ODG23" s="64"/>
      <c r="ODH23" s="64"/>
      <c r="ODI23" s="64"/>
      <c r="ODJ23" s="64"/>
      <c r="ODK23" s="64"/>
      <c r="ODL23" s="64"/>
      <c r="ODM23" s="64"/>
      <c r="ODN23" s="64"/>
      <c r="ODO23" s="64"/>
      <c r="ODP23" s="64"/>
      <c r="ODQ23" s="64"/>
      <c r="ODR23" s="64"/>
      <c r="ODS23" s="64"/>
      <c r="ODT23" s="64"/>
      <c r="ODU23" s="64"/>
      <c r="ODV23" s="64"/>
      <c r="ODW23" s="64"/>
      <c r="ODX23" s="64"/>
      <c r="ODY23" s="64"/>
      <c r="ODZ23" s="64"/>
      <c r="OEA23" s="64"/>
      <c r="OEB23" s="64"/>
      <c r="OEC23" s="64"/>
      <c r="OED23" s="64"/>
      <c r="OEE23" s="64"/>
      <c r="OEF23" s="64"/>
      <c r="OEG23" s="64"/>
      <c r="OEH23" s="64"/>
      <c r="OEI23" s="64"/>
      <c r="OEJ23" s="64"/>
      <c r="OEK23" s="64"/>
      <c r="OEL23" s="64"/>
      <c r="OEM23" s="64"/>
      <c r="OEN23" s="64"/>
      <c r="OEO23" s="64"/>
      <c r="OEP23" s="64"/>
      <c r="OEQ23" s="64"/>
      <c r="OER23" s="64"/>
      <c r="OES23" s="64"/>
      <c r="OET23" s="64"/>
      <c r="OEU23" s="64"/>
      <c r="OEV23" s="64"/>
      <c r="OEW23" s="64"/>
      <c r="OEX23" s="64"/>
      <c r="OEY23" s="64"/>
      <c r="OEZ23" s="64"/>
      <c r="OFA23" s="64"/>
      <c r="OFB23" s="64"/>
      <c r="OFC23" s="64"/>
      <c r="OFD23" s="64"/>
      <c r="OFE23" s="64"/>
      <c r="OFF23" s="64"/>
      <c r="OFG23" s="64"/>
      <c r="OFH23" s="64"/>
      <c r="OFI23" s="64"/>
      <c r="OFJ23" s="64"/>
      <c r="OFK23" s="64"/>
      <c r="OFL23" s="64"/>
      <c r="OFM23" s="64"/>
      <c r="OFN23" s="64"/>
      <c r="OFO23" s="64"/>
      <c r="OFP23" s="64"/>
      <c r="OFQ23" s="64"/>
      <c r="OFR23" s="64"/>
      <c r="OFS23" s="64"/>
      <c r="OFT23" s="64"/>
      <c r="OFU23" s="64"/>
      <c r="OFV23" s="64"/>
      <c r="OFW23" s="64"/>
      <c r="OFX23" s="64"/>
      <c r="OFY23" s="64"/>
      <c r="OFZ23" s="64"/>
      <c r="OGA23" s="64"/>
      <c r="OGB23" s="64"/>
      <c r="OGC23" s="64"/>
      <c r="OGD23" s="64"/>
      <c r="OGE23" s="64"/>
      <c r="OGF23" s="64"/>
      <c r="OGG23" s="64"/>
      <c r="OGH23" s="64"/>
      <c r="OGI23" s="64"/>
      <c r="OGJ23" s="64"/>
      <c r="OGK23" s="64"/>
      <c r="OGL23" s="64"/>
      <c r="OGM23" s="64"/>
      <c r="OGN23" s="64"/>
      <c r="OGO23" s="64"/>
      <c r="OGP23" s="64"/>
      <c r="OGQ23" s="64"/>
      <c r="OGR23" s="64"/>
      <c r="OGS23" s="64"/>
      <c r="OGT23" s="64"/>
      <c r="OGU23" s="64"/>
      <c r="OGV23" s="64"/>
      <c r="OGW23" s="64"/>
      <c r="OGX23" s="64"/>
      <c r="OGY23" s="64"/>
      <c r="OGZ23" s="64"/>
      <c r="OHA23" s="64"/>
      <c r="OHB23" s="64"/>
      <c r="OHC23" s="64"/>
      <c r="OHD23" s="64"/>
      <c r="OHE23" s="64"/>
      <c r="OHF23" s="64"/>
      <c r="OHG23" s="64"/>
      <c r="OHH23" s="64"/>
      <c r="OHI23" s="64"/>
      <c r="OHJ23" s="64"/>
      <c r="OHK23" s="64"/>
      <c r="OHL23" s="64"/>
      <c r="OHM23" s="64"/>
      <c r="OHN23" s="64"/>
      <c r="OHO23" s="64"/>
      <c r="OHP23" s="64"/>
      <c r="OHQ23" s="64"/>
      <c r="OHR23" s="64"/>
      <c r="OHS23" s="64"/>
      <c r="OHT23" s="64"/>
      <c r="OHU23" s="64"/>
      <c r="OHV23" s="64"/>
      <c r="OHW23" s="64"/>
      <c r="OHX23" s="64"/>
      <c r="OHY23" s="64"/>
      <c r="OHZ23" s="64"/>
      <c r="OIA23" s="64"/>
      <c r="OIB23" s="64"/>
      <c r="OIC23" s="64"/>
      <c r="OID23" s="64"/>
      <c r="OIE23" s="64"/>
      <c r="OIF23" s="64"/>
      <c r="OIG23" s="64"/>
      <c r="OIH23" s="64"/>
      <c r="OII23" s="64"/>
      <c r="OIJ23" s="64"/>
      <c r="OIK23" s="64"/>
      <c r="OIL23" s="64"/>
      <c r="OIM23" s="64"/>
      <c r="OIN23" s="64"/>
      <c r="OIO23" s="64"/>
      <c r="OIP23" s="64"/>
      <c r="OIQ23" s="64"/>
      <c r="OIR23" s="64"/>
      <c r="OIS23" s="64"/>
      <c r="OIT23" s="64"/>
      <c r="OIU23" s="64"/>
      <c r="OIV23" s="64"/>
      <c r="OIW23" s="64"/>
      <c r="OIX23" s="64"/>
      <c r="OIY23" s="64"/>
      <c r="OIZ23" s="64"/>
      <c r="OJA23" s="64"/>
      <c r="OJB23" s="64"/>
      <c r="OJC23" s="64"/>
      <c r="OJD23" s="64"/>
      <c r="OJE23" s="64"/>
      <c r="OJF23" s="64"/>
      <c r="OJG23" s="64"/>
      <c r="OJH23" s="64"/>
      <c r="OJI23" s="64"/>
      <c r="OJJ23" s="64"/>
      <c r="OJK23" s="64"/>
      <c r="OJL23" s="64"/>
      <c r="OJM23" s="64"/>
      <c r="OJN23" s="64"/>
      <c r="OJO23" s="64"/>
      <c r="OJP23" s="64"/>
      <c r="OJQ23" s="64"/>
      <c r="OJR23" s="64"/>
      <c r="OJS23" s="64"/>
      <c r="OJT23" s="64"/>
      <c r="OJU23" s="64"/>
      <c r="OJV23" s="64"/>
      <c r="OJW23" s="64"/>
      <c r="OJX23" s="64"/>
      <c r="OJY23" s="64"/>
      <c r="OJZ23" s="64"/>
      <c r="OKA23" s="64"/>
      <c r="OKB23" s="64"/>
      <c r="OKC23" s="64"/>
      <c r="OKD23" s="64"/>
      <c r="OKE23" s="64"/>
      <c r="OKF23" s="64"/>
      <c r="OKG23" s="64"/>
      <c r="OKH23" s="64"/>
      <c r="OKI23" s="64"/>
      <c r="OKJ23" s="64"/>
      <c r="OKK23" s="64"/>
      <c r="OKL23" s="64"/>
      <c r="OKM23" s="64"/>
      <c r="OKN23" s="64"/>
      <c r="OKO23" s="64"/>
      <c r="OKP23" s="64"/>
      <c r="OKQ23" s="64"/>
      <c r="OKR23" s="64"/>
      <c r="OKS23" s="64"/>
      <c r="OKT23" s="64"/>
      <c r="OKU23" s="64"/>
      <c r="OKV23" s="64"/>
      <c r="OKW23" s="64"/>
      <c r="OKX23" s="64"/>
      <c r="OKY23" s="64"/>
      <c r="OKZ23" s="64"/>
      <c r="OLA23" s="64"/>
      <c r="OLB23" s="64"/>
      <c r="OLC23" s="64"/>
      <c r="OLD23" s="64"/>
      <c r="OLE23" s="64"/>
      <c r="OLF23" s="64"/>
      <c r="OLG23" s="64"/>
      <c r="OLH23" s="64"/>
      <c r="OLI23" s="64"/>
      <c r="OLJ23" s="64"/>
      <c r="OLK23" s="64"/>
      <c r="OLL23" s="64"/>
      <c r="OLM23" s="64"/>
      <c r="OLN23" s="64"/>
      <c r="OLO23" s="64"/>
      <c r="OLP23" s="64"/>
      <c r="OLQ23" s="64"/>
      <c r="OLR23" s="64"/>
      <c r="OLS23" s="64"/>
      <c r="OLT23" s="64"/>
      <c r="OLU23" s="64"/>
      <c r="OLV23" s="64"/>
      <c r="OLW23" s="64"/>
      <c r="OLX23" s="64"/>
      <c r="OLY23" s="64"/>
      <c r="OLZ23" s="64"/>
      <c r="OMA23" s="64"/>
      <c r="OMB23" s="64"/>
      <c r="OMC23" s="64"/>
      <c r="OMD23" s="64"/>
      <c r="OME23" s="64"/>
      <c r="OMF23" s="64"/>
      <c r="OMG23" s="64"/>
      <c r="OMH23" s="64"/>
      <c r="OMI23" s="64"/>
      <c r="OMJ23" s="64"/>
      <c r="OMK23" s="64"/>
      <c r="OML23" s="64"/>
      <c r="OMM23" s="64"/>
      <c r="OMN23" s="64"/>
      <c r="OMO23" s="64"/>
      <c r="OMP23" s="64"/>
      <c r="OMQ23" s="64"/>
      <c r="OMR23" s="64"/>
      <c r="OMS23" s="64"/>
      <c r="OMT23" s="64"/>
      <c r="OMU23" s="64"/>
      <c r="OMV23" s="64"/>
      <c r="OMW23" s="64"/>
      <c r="OMX23" s="64"/>
      <c r="OMY23" s="64"/>
      <c r="OMZ23" s="64"/>
      <c r="ONA23" s="64"/>
      <c r="ONB23" s="64"/>
      <c r="ONC23" s="64"/>
      <c r="OND23" s="64"/>
      <c r="ONE23" s="64"/>
      <c r="ONF23" s="64"/>
      <c r="ONG23" s="64"/>
      <c r="ONH23" s="64"/>
      <c r="ONI23" s="64"/>
      <c r="ONJ23" s="64"/>
      <c r="ONK23" s="64"/>
      <c r="ONL23" s="64"/>
      <c r="ONM23" s="64"/>
      <c r="ONN23" s="64"/>
      <c r="ONO23" s="64"/>
      <c r="ONP23" s="64"/>
      <c r="ONQ23" s="64"/>
      <c r="ONR23" s="64"/>
      <c r="ONS23" s="64"/>
      <c r="ONT23" s="64"/>
      <c r="ONU23" s="64"/>
      <c r="ONV23" s="64"/>
      <c r="ONW23" s="64"/>
      <c r="ONX23" s="64"/>
      <c r="ONY23" s="64"/>
      <c r="ONZ23" s="64"/>
      <c r="OOA23" s="64"/>
      <c r="OOB23" s="64"/>
      <c r="OOC23" s="64"/>
      <c r="OOD23" s="64"/>
      <c r="OOE23" s="64"/>
      <c r="OOF23" s="64"/>
      <c r="OOG23" s="64"/>
      <c r="OOH23" s="64"/>
      <c r="OOI23" s="64"/>
      <c r="OOJ23" s="64"/>
      <c r="OOK23" s="64"/>
      <c r="OOL23" s="64"/>
      <c r="OOM23" s="64"/>
      <c r="OON23" s="64"/>
      <c r="OOO23" s="64"/>
      <c r="OOP23" s="64"/>
      <c r="OOQ23" s="64"/>
      <c r="OOR23" s="64"/>
      <c r="OOS23" s="64"/>
      <c r="OOT23" s="64"/>
      <c r="OOU23" s="64"/>
      <c r="OOV23" s="64"/>
      <c r="OOW23" s="64"/>
      <c r="OOX23" s="64"/>
      <c r="OOY23" s="64"/>
      <c r="OOZ23" s="64"/>
      <c r="OPA23" s="64"/>
      <c r="OPB23" s="64"/>
      <c r="OPC23" s="64"/>
      <c r="OPD23" s="64"/>
      <c r="OPE23" s="64"/>
      <c r="OPF23" s="64"/>
      <c r="OPG23" s="64"/>
      <c r="OPH23" s="64"/>
      <c r="OPI23" s="64"/>
      <c r="OPJ23" s="64"/>
      <c r="OPK23" s="64"/>
      <c r="OPL23" s="64"/>
      <c r="OPM23" s="64"/>
      <c r="OPN23" s="64"/>
      <c r="OPO23" s="64"/>
      <c r="OPP23" s="64"/>
      <c r="OPQ23" s="64"/>
      <c r="OPR23" s="64"/>
      <c r="OPS23" s="64"/>
      <c r="OPT23" s="64"/>
      <c r="OPU23" s="64"/>
      <c r="OPV23" s="64"/>
      <c r="OPW23" s="64"/>
      <c r="OPX23" s="64"/>
      <c r="OPY23" s="64"/>
      <c r="OPZ23" s="64"/>
      <c r="OQA23" s="64"/>
      <c r="OQB23" s="64"/>
      <c r="OQC23" s="64"/>
      <c r="OQD23" s="64"/>
      <c r="OQE23" s="64"/>
      <c r="OQF23" s="64"/>
      <c r="OQG23" s="64"/>
      <c r="OQH23" s="64"/>
      <c r="OQI23" s="64"/>
      <c r="OQJ23" s="64"/>
      <c r="OQK23" s="64"/>
      <c r="OQL23" s="64"/>
      <c r="OQM23" s="64"/>
      <c r="OQN23" s="64"/>
      <c r="OQO23" s="64"/>
      <c r="OQP23" s="64"/>
      <c r="OQQ23" s="64"/>
      <c r="OQR23" s="64"/>
      <c r="OQS23" s="64"/>
      <c r="OQT23" s="64"/>
      <c r="OQU23" s="64"/>
      <c r="OQV23" s="64"/>
      <c r="OQW23" s="64"/>
      <c r="OQX23" s="64"/>
      <c r="OQY23" s="64"/>
      <c r="OQZ23" s="64"/>
      <c r="ORA23" s="64"/>
      <c r="ORB23" s="64"/>
      <c r="ORC23" s="64"/>
      <c r="ORD23" s="64"/>
      <c r="ORE23" s="64"/>
      <c r="ORF23" s="64"/>
      <c r="ORG23" s="64"/>
      <c r="ORH23" s="64"/>
      <c r="ORI23" s="64"/>
      <c r="ORJ23" s="64"/>
      <c r="ORK23" s="64"/>
      <c r="ORL23" s="64"/>
      <c r="ORM23" s="64"/>
      <c r="ORN23" s="64"/>
      <c r="ORO23" s="64"/>
      <c r="ORP23" s="64"/>
      <c r="ORQ23" s="64"/>
      <c r="ORR23" s="64"/>
      <c r="ORS23" s="64"/>
      <c r="ORT23" s="64"/>
      <c r="ORU23" s="64"/>
      <c r="ORV23" s="64"/>
      <c r="ORW23" s="64"/>
      <c r="ORX23" s="64"/>
      <c r="ORY23" s="64"/>
      <c r="ORZ23" s="64"/>
      <c r="OSA23" s="64"/>
      <c r="OSB23" s="64"/>
      <c r="OSC23" s="64"/>
      <c r="OSD23" s="64"/>
      <c r="OSE23" s="64"/>
      <c r="OSF23" s="64"/>
      <c r="OSG23" s="64"/>
      <c r="OSH23" s="64"/>
      <c r="OSI23" s="64"/>
      <c r="OSJ23" s="64"/>
      <c r="OSK23" s="64"/>
      <c r="OSL23" s="64"/>
      <c r="OSM23" s="64"/>
      <c r="OSN23" s="64"/>
      <c r="OSO23" s="64"/>
      <c r="OSP23" s="64"/>
      <c r="OSQ23" s="64"/>
      <c r="OSR23" s="64"/>
      <c r="OSS23" s="64"/>
      <c r="OST23" s="64"/>
      <c r="OSU23" s="64"/>
      <c r="OSV23" s="64"/>
      <c r="OSW23" s="64"/>
      <c r="OSX23" s="64"/>
      <c r="OSY23" s="64"/>
      <c r="OSZ23" s="64"/>
      <c r="OTA23" s="64"/>
      <c r="OTB23" s="64"/>
      <c r="OTC23" s="64"/>
      <c r="OTD23" s="64"/>
      <c r="OTE23" s="64"/>
      <c r="OTF23" s="64"/>
      <c r="OTG23" s="64"/>
      <c r="OTH23" s="64"/>
      <c r="OTI23" s="64"/>
      <c r="OTJ23" s="64"/>
      <c r="OTK23" s="64"/>
      <c r="OTL23" s="64"/>
      <c r="OTM23" s="64"/>
      <c r="OTN23" s="64"/>
      <c r="OTO23" s="64"/>
      <c r="OTP23" s="64"/>
      <c r="OTQ23" s="64"/>
      <c r="OTR23" s="64"/>
      <c r="OTS23" s="64"/>
      <c r="OTT23" s="64"/>
      <c r="OTU23" s="64"/>
      <c r="OTV23" s="64"/>
      <c r="OTW23" s="64"/>
      <c r="OTX23" s="64"/>
      <c r="OTY23" s="64"/>
      <c r="OTZ23" s="64"/>
      <c r="OUA23" s="64"/>
      <c r="OUB23" s="64"/>
      <c r="OUC23" s="64"/>
      <c r="OUD23" s="64"/>
      <c r="OUE23" s="64"/>
      <c r="OUF23" s="64"/>
      <c r="OUG23" s="64"/>
      <c r="OUH23" s="64"/>
      <c r="OUI23" s="64"/>
      <c r="OUJ23" s="64"/>
      <c r="OUK23" s="64"/>
      <c r="OUL23" s="64"/>
      <c r="OUM23" s="64"/>
      <c r="OUN23" s="64"/>
      <c r="OUO23" s="64"/>
      <c r="OUP23" s="64"/>
      <c r="OUQ23" s="64"/>
      <c r="OUR23" s="64"/>
      <c r="OUS23" s="64"/>
      <c r="OUT23" s="64"/>
      <c r="OUU23" s="64"/>
      <c r="OUV23" s="64"/>
      <c r="OUW23" s="64"/>
      <c r="OUX23" s="64"/>
      <c r="OUY23" s="64"/>
      <c r="OUZ23" s="64"/>
      <c r="OVA23" s="64"/>
      <c r="OVB23" s="64"/>
      <c r="OVC23" s="64"/>
      <c r="OVD23" s="64"/>
      <c r="OVE23" s="64"/>
      <c r="OVF23" s="64"/>
      <c r="OVG23" s="64"/>
      <c r="OVH23" s="64"/>
      <c r="OVI23" s="64"/>
      <c r="OVJ23" s="64"/>
      <c r="OVK23" s="64"/>
      <c r="OVL23" s="64"/>
      <c r="OVM23" s="64"/>
      <c r="OVN23" s="64"/>
      <c r="OVO23" s="64"/>
      <c r="OVP23" s="64"/>
      <c r="OVQ23" s="64"/>
      <c r="OVR23" s="64"/>
      <c r="OVS23" s="64"/>
      <c r="OVT23" s="64"/>
      <c r="OVU23" s="64"/>
      <c r="OVV23" s="64"/>
      <c r="OVW23" s="64"/>
      <c r="OVX23" s="64"/>
      <c r="OVY23" s="64"/>
      <c r="OVZ23" s="64"/>
      <c r="OWA23" s="64"/>
      <c r="OWB23" s="64"/>
      <c r="OWC23" s="64"/>
      <c r="OWD23" s="64"/>
      <c r="OWE23" s="64"/>
      <c r="OWF23" s="64"/>
      <c r="OWG23" s="64"/>
      <c r="OWH23" s="64"/>
      <c r="OWI23" s="64"/>
      <c r="OWJ23" s="64"/>
      <c r="OWK23" s="64"/>
      <c r="OWL23" s="64"/>
      <c r="OWM23" s="64"/>
      <c r="OWN23" s="64"/>
      <c r="OWO23" s="64"/>
      <c r="OWP23" s="64"/>
      <c r="OWQ23" s="64"/>
      <c r="OWR23" s="64"/>
      <c r="OWS23" s="64"/>
      <c r="OWT23" s="64"/>
      <c r="OWU23" s="64"/>
      <c r="OWV23" s="64"/>
      <c r="OWW23" s="64"/>
      <c r="OWX23" s="64"/>
      <c r="OWY23" s="64"/>
      <c r="OWZ23" s="64"/>
      <c r="OXA23" s="64"/>
      <c r="OXB23" s="64"/>
      <c r="OXC23" s="64"/>
      <c r="OXD23" s="64"/>
      <c r="OXE23" s="64"/>
      <c r="OXF23" s="64"/>
      <c r="OXG23" s="64"/>
      <c r="OXH23" s="64"/>
      <c r="OXI23" s="64"/>
      <c r="OXJ23" s="64"/>
      <c r="OXK23" s="64"/>
      <c r="OXL23" s="64"/>
      <c r="OXM23" s="64"/>
      <c r="OXN23" s="64"/>
      <c r="OXO23" s="64"/>
      <c r="OXP23" s="64"/>
      <c r="OXQ23" s="64"/>
      <c r="OXR23" s="64"/>
      <c r="OXS23" s="64"/>
      <c r="OXT23" s="64"/>
      <c r="OXU23" s="64"/>
      <c r="OXV23" s="64"/>
      <c r="OXW23" s="64"/>
      <c r="OXX23" s="64"/>
      <c r="OXY23" s="64"/>
      <c r="OXZ23" s="64"/>
      <c r="OYA23" s="64"/>
      <c r="OYB23" s="64"/>
      <c r="OYC23" s="64"/>
      <c r="OYD23" s="64"/>
      <c r="OYE23" s="64"/>
      <c r="OYF23" s="64"/>
      <c r="OYG23" s="64"/>
      <c r="OYH23" s="64"/>
      <c r="OYI23" s="64"/>
      <c r="OYJ23" s="64"/>
      <c r="OYK23" s="64"/>
      <c r="OYL23" s="64"/>
      <c r="OYM23" s="64"/>
      <c r="OYN23" s="64"/>
      <c r="OYO23" s="64"/>
      <c r="OYP23" s="64"/>
      <c r="OYQ23" s="64"/>
      <c r="OYR23" s="64"/>
      <c r="OYS23" s="64"/>
      <c r="OYT23" s="64"/>
      <c r="OYU23" s="64"/>
      <c r="OYV23" s="64"/>
      <c r="OYW23" s="64"/>
      <c r="OYX23" s="64"/>
      <c r="OYY23" s="64"/>
      <c r="OYZ23" s="64"/>
      <c r="OZA23" s="64"/>
      <c r="OZB23" s="64"/>
      <c r="OZC23" s="64"/>
      <c r="OZD23" s="64"/>
      <c r="OZE23" s="64"/>
      <c r="OZF23" s="64"/>
      <c r="OZG23" s="64"/>
      <c r="OZH23" s="64"/>
      <c r="OZI23" s="64"/>
      <c r="OZJ23" s="64"/>
      <c r="OZK23" s="64"/>
      <c r="OZL23" s="64"/>
      <c r="OZM23" s="64"/>
      <c r="OZN23" s="64"/>
      <c r="OZO23" s="64"/>
      <c r="OZP23" s="64"/>
      <c r="OZQ23" s="64"/>
      <c r="OZR23" s="64"/>
      <c r="OZS23" s="64"/>
      <c r="OZT23" s="64"/>
      <c r="OZU23" s="64"/>
      <c r="OZV23" s="64"/>
      <c r="OZW23" s="64"/>
      <c r="OZX23" s="64"/>
      <c r="OZY23" s="64"/>
      <c r="OZZ23" s="64"/>
      <c r="PAA23" s="64"/>
      <c r="PAB23" s="64"/>
      <c r="PAC23" s="64"/>
      <c r="PAD23" s="64"/>
      <c r="PAE23" s="64"/>
      <c r="PAF23" s="64"/>
      <c r="PAG23" s="64"/>
      <c r="PAH23" s="64"/>
      <c r="PAI23" s="64"/>
      <c r="PAJ23" s="64"/>
      <c r="PAK23" s="64"/>
      <c r="PAL23" s="64"/>
      <c r="PAM23" s="64"/>
      <c r="PAN23" s="64"/>
      <c r="PAO23" s="64"/>
      <c r="PAP23" s="64"/>
      <c r="PAQ23" s="64"/>
      <c r="PAR23" s="64"/>
      <c r="PAS23" s="64"/>
      <c r="PAT23" s="64"/>
      <c r="PAU23" s="64"/>
      <c r="PAV23" s="64"/>
      <c r="PAW23" s="64"/>
      <c r="PAX23" s="64"/>
      <c r="PAY23" s="64"/>
      <c r="PAZ23" s="64"/>
      <c r="PBA23" s="64"/>
      <c r="PBB23" s="64"/>
      <c r="PBC23" s="64"/>
      <c r="PBD23" s="64"/>
      <c r="PBE23" s="64"/>
      <c r="PBF23" s="64"/>
      <c r="PBG23" s="64"/>
      <c r="PBH23" s="64"/>
      <c r="PBI23" s="64"/>
      <c r="PBJ23" s="64"/>
      <c r="PBK23" s="64"/>
      <c r="PBL23" s="64"/>
      <c r="PBM23" s="64"/>
      <c r="PBN23" s="64"/>
      <c r="PBO23" s="64"/>
      <c r="PBP23" s="64"/>
      <c r="PBQ23" s="64"/>
      <c r="PBR23" s="64"/>
      <c r="PBS23" s="64"/>
      <c r="PBT23" s="64"/>
      <c r="PBU23" s="64"/>
      <c r="PBV23" s="64"/>
      <c r="PBW23" s="64"/>
      <c r="PBX23" s="64"/>
      <c r="PBY23" s="64"/>
      <c r="PBZ23" s="64"/>
      <c r="PCA23" s="64"/>
      <c r="PCB23" s="64"/>
      <c r="PCC23" s="64"/>
      <c r="PCD23" s="64"/>
      <c r="PCE23" s="64"/>
      <c r="PCF23" s="64"/>
      <c r="PCG23" s="64"/>
      <c r="PCH23" s="64"/>
      <c r="PCI23" s="64"/>
      <c r="PCJ23" s="64"/>
      <c r="PCK23" s="64"/>
      <c r="PCL23" s="64"/>
      <c r="PCM23" s="64"/>
      <c r="PCN23" s="64"/>
      <c r="PCO23" s="64"/>
      <c r="PCP23" s="64"/>
      <c r="PCQ23" s="64"/>
      <c r="PCR23" s="64"/>
      <c r="PCS23" s="64"/>
      <c r="PCT23" s="64"/>
      <c r="PCU23" s="64"/>
      <c r="PCV23" s="64"/>
      <c r="PCW23" s="64"/>
      <c r="PCX23" s="64"/>
      <c r="PCY23" s="64"/>
      <c r="PCZ23" s="64"/>
      <c r="PDA23" s="64"/>
      <c r="PDB23" s="64"/>
      <c r="PDC23" s="64"/>
      <c r="PDD23" s="64"/>
      <c r="PDE23" s="64"/>
      <c r="PDF23" s="64"/>
      <c r="PDG23" s="64"/>
      <c r="PDH23" s="64"/>
      <c r="PDI23" s="64"/>
      <c r="PDJ23" s="64"/>
      <c r="PDK23" s="64"/>
      <c r="PDL23" s="64"/>
      <c r="PDM23" s="64"/>
      <c r="PDN23" s="64"/>
      <c r="PDO23" s="64"/>
      <c r="PDP23" s="64"/>
      <c r="PDQ23" s="64"/>
      <c r="PDR23" s="64"/>
      <c r="PDS23" s="64"/>
      <c r="PDT23" s="64"/>
      <c r="PDU23" s="64"/>
      <c r="PDV23" s="64"/>
      <c r="PDW23" s="64"/>
      <c r="PDX23" s="64"/>
      <c r="PDY23" s="64"/>
      <c r="PDZ23" s="64"/>
      <c r="PEA23" s="64"/>
      <c r="PEB23" s="64"/>
      <c r="PEC23" s="64"/>
      <c r="PED23" s="64"/>
      <c r="PEE23" s="64"/>
      <c r="PEF23" s="64"/>
      <c r="PEG23" s="64"/>
      <c r="PEH23" s="64"/>
      <c r="PEI23" s="64"/>
      <c r="PEJ23" s="64"/>
      <c r="PEK23" s="64"/>
      <c r="PEL23" s="64"/>
      <c r="PEM23" s="64"/>
      <c r="PEN23" s="64"/>
      <c r="PEO23" s="64"/>
      <c r="PEP23" s="64"/>
      <c r="PEQ23" s="64"/>
      <c r="PER23" s="64"/>
      <c r="PES23" s="64"/>
      <c r="PET23" s="64"/>
      <c r="PEU23" s="64"/>
      <c r="PEV23" s="64"/>
      <c r="PEW23" s="64"/>
      <c r="PEX23" s="64"/>
      <c r="PEY23" s="64"/>
      <c r="PEZ23" s="64"/>
      <c r="PFA23" s="64"/>
      <c r="PFB23" s="64"/>
      <c r="PFC23" s="64"/>
      <c r="PFD23" s="64"/>
      <c r="PFE23" s="64"/>
      <c r="PFF23" s="64"/>
      <c r="PFG23" s="64"/>
      <c r="PFH23" s="64"/>
      <c r="PFI23" s="64"/>
      <c r="PFJ23" s="64"/>
      <c r="PFK23" s="64"/>
      <c r="PFL23" s="64"/>
      <c r="PFM23" s="64"/>
      <c r="PFN23" s="64"/>
      <c r="PFO23" s="64"/>
      <c r="PFP23" s="64"/>
      <c r="PFQ23" s="64"/>
      <c r="PFR23" s="64"/>
      <c r="PFS23" s="64"/>
      <c r="PFT23" s="64"/>
      <c r="PFU23" s="64"/>
      <c r="PFV23" s="64"/>
      <c r="PFW23" s="64"/>
      <c r="PFX23" s="64"/>
      <c r="PFY23" s="64"/>
      <c r="PFZ23" s="64"/>
      <c r="PGA23" s="64"/>
      <c r="PGB23" s="64"/>
      <c r="PGC23" s="64"/>
      <c r="PGD23" s="64"/>
      <c r="PGE23" s="64"/>
      <c r="PGF23" s="64"/>
      <c r="PGG23" s="64"/>
      <c r="PGH23" s="64"/>
      <c r="PGI23" s="64"/>
      <c r="PGJ23" s="64"/>
      <c r="PGK23" s="64"/>
      <c r="PGL23" s="64"/>
      <c r="PGM23" s="64"/>
      <c r="PGN23" s="64"/>
      <c r="PGO23" s="64"/>
      <c r="PGP23" s="64"/>
      <c r="PGQ23" s="64"/>
      <c r="PGR23" s="64"/>
      <c r="PGS23" s="64"/>
      <c r="PGT23" s="64"/>
      <c r="PGU23" s="64"/>
      <c r="PGV23" s="64"/>
      <c r="PGW23" s="64"/>
      <c r="PGX23" s="64"/>
      <c r="PGY23" s="64"/>
      <c r="PGZ23" s="64"/>
      <c r="PHA23" s="64"/>
      <c r="PHB23" s="64"/>
      <c r="PHC23" s="64"/>
      <c r="PHD23" s="64"/>
      <c r="PHE23" s="64"/>
      <c r="PHF23" s="64"/>
      <c r="PHG23" s="64"/>
      <c r="PHH23" s="64"/>
      <c r="PHI23" s="64"/>
      <c r="PHJ23" s="64"/>
      <c r="PHK23" s="64"/>
      <c r="PHL23" s="64"/>
      <c r="PHM23" s="64"/>
      <c r="PHN23" s="64"/>
      <c r="PHO23" s="64"/>
      <c r="PHP23" s="64"/>
      <c r="PHQ23" s="64"/>
      <c r="PHR23" s="64"/>
      <c r="PHS23" s="64"/>
      <c r="PHT23" s="64"/>
      <c r="PHU23" s="64"/>
      <c r="PHV23" s="64"/>
      <c r="PHW23" s="64"/>
      <c r="PHX23" s="64"/>
      <c r="PHY23" s="64"/>
      <c r="PHZ23" s="64"/>
      <c r="PIA23" s="64"/>
      <c r="PIB23" s="64"/>
      <c r="PIC23" s="64"/>
      <c r="PID23" s="64"/>
      <c r="PIE23" s="64"/>
      <c r="PIF23" s="64"/>
      <c r="PIG23" s="64"/>
      <c r="PIH23" s="64"/>
      <c r="PII23" s="64"/>
      <c r="PIJ23" s="64"/>
      <c r="PIK23" s="64"/>
      <c r="PIL23" s="64"/>
      <c r="PIM23" s="64"/>
      <c r="PIN23" s="64"/>
      <c r="PIO23" s="64"/>
      <c r="PIP23" s="64"/>
      <c r="PIQ23" s="64"/>
      <c r="PIR23" s="64"/>
      <c r="PIS23" s="64"/>
      <c r="PIT23" s="64"/>
      <c r="PIU23" s="64"/>
      <c r="PIV23" s="64"/>
      <c r="PIW23" s="64"/>
      <c r="PIX23" s="64"/>
      <c r="PIY23" s="64"/>
      <c r="PIZ23" s="64"/>
      <c r="PJA23" s="64"/>
      <c r="PJB23" s="64"/>
      <c r="PJC23" s="64"/>
      <c r="PJD23" s="64"/>
      <c r="PJE23" s="64"/>
      <c r="PJF23" s="64"/>
      <c r="PJG23" s="64"/>
      <c r="PJH23" s="64"/>
      <c r="PJI23" s="64"/>
      <c r="PJJ23" s="64"/>
      <c r="PJK23" s="64"/>
      <c r="PJL23" s="64"/>
      <c r="PJM23" s="64"/>
      <c r="PJN23" s="64"/>
      <c r="PJO23" s="64"/>
      <c r="PJP23" s="64"/>
      <c r="PJQ23" s="64"/>
      <c r="PJR23" s="64"/>
      <c r="PJS23" s="64"/>
      <c r="PJT23" s="64"/>
      <c r="PJU23" s="64"/>
      <c r="PJV23" s="64"/>
      <c r="PJW23" s="64"/>
      <c r="PJX23" s="64"/>
      <c r="PJY23" s="64"/>
      <c r="PJZ23" s="64"/>
      <c r="PKA23" s="64"/>
      <c r="PKB23" s="64"/>
      <c r="PKC23" s="64"/>
      <c r="PKD23" s="64"/>
      <c r="PKE23" s="64"/>
      <c r="PKF23" s="64"/>
      <c r="PKG23" s="64"/>
      <c r="PKH23" s="64"/>
      <c r="PKI23" s="64"/>
      <c r="PKJ23" s="64"/>
      <c r="PKK23" s="64"/>
      <c r="PKL23" s="64"/>
      <c r="PKM23" s="64"/>
      <c r="PKN23" s="64"/>
      <c r="PKO23" s="64"/>
      <c r="PKP23" s="64"/>
      <c r="PKQ23" s="64"/>
      <c r="PKR23" s="64"/>
      <c r="PKS23" s="64"/>
      <c r="PKT23" s="64"/>
      <c r="PKU23" s="64"/>
      <c r="PKV23" s="64"/>
      <c r="PKW23" s="64"/>
      <c r="PKX23" s="64"/>
      <c r="PKY23" s="64"/>
      <c r="PKZ23" s="64"/>
      <c r="PLA23" s="64"/>
      <c r="PLB23" s="64"/>
      <c r="PLC23" s="64"/>
      <c r="PLD23" s="64"/>
      <c r="PLE23" s="64"/>
      <c r="PLF23" s="64"/>
      <c r="PLG23" s="64"/>
      <c r="PLH23" s="64"/>
      <c r="PLI23" s="64"/>
      <c r="PLJ23" s="64"/>
      <c r="PLK23" s="64"/>
      <c r="PLL23" s="64"/>
      <c r="PLM23" s="64"/>
      <c r="PLN23" s="64"/>
      <c r="PLO23" s="64"/>
      <c r="PLP23" s="64"/>
      <c r="PLQ23" s="64"/>
      <c r="PLR23" s="64"/>
      <c r="PLS23" s="64"/>
      <c r="PLT23" s="64"/>
      <c r="PLU23" s="64"/>
      <c r="PLV23" s="64"/>
      <c r="PLW23" s="64"/>
      <c r="PLX23" s="64"/>
      <c r="PLY23" s="64"/>
      <c r="PLZ23" s="64"/>
      <c r="PMA23" s="64"/>
      <c r="PMB23" s="64"/>
      <c r="PMC23" s="64"/>
      <c r="PMD23" s="64"/>
      <c r="PME23" s="64"/>
      <c r="PMF23" s="64"/>
      <c r="PMG23" s="64"/>
      <c r="PMH23" s="64"/>
      <c r="PMI23" s="64"/>
      <c r="PMJ23" s="64"/>
      <c r="PMK23" s="64"/>
      <c r="PML23" s="64"/>
      <c r="PMM23" s="64"/>
      <c r="PMN23" s="64"/>
      <c r="PMO23" s="64"/>
      <c r="PMP23" s="64"/>
      <c r="PMQ23" s="64"/>
      <c r="PMR23" s="64"/>
      <c r="PMS23" s="64"/>
      <c r="PMT23" s="64"/>
      <c r="PMU23" s="64"/>
      <c r="PMV23" s="64"/>
      <c r="PMW23" s="64"/>
      <c r="PMX23" s="64"/>
      <c r="PMY23" s="64"/>
      <c r="PMZ23" s="64"/>
      <c r="PNA23" s="64"/>
      <c r="PNB23" s="64"/>
      <c r="PNC23" s="64"/>
      <c r="PND23" s="64"/>
      <c r="PNE23" s="64"/>
      <c r="PNF23" s="64"/>
      <c r="PNG23" s="64"/>
      <c r="PNH23" s="64"/>
      <c r="PNI23" s="64"/>
      <c r="PNJ23" s="64"/>
      <c r="PNK23" s="64"/>
      <c r="PNL23" s="64"/>
      <c r="PNM23" s="64"/>
      <c r="PNN23" s="64"/>
      <c r="PNO23" s="64"/>
      <c r="PNP23" s="64"/>
      <c r="PNQ23" s="64"/>
      <c r="PNR23" s="64"/>
      <c r="PNS23" s="64"/>
      <c r="PNT23" s="64"/>
      <c r="PNU23" s="64"/>
      <c r="PNV23" s="64"/>
      <c r="PNW23" s="64"/>
      <c r="PNX23" s="64"/>
      <c r="PNY23" s="64"/>
      <c r="PNZ23" s="64"/>
      <c r="POA23" s="64"/>
      <c r="POB23" s="64"/>
      <c r="POC23" s="64"/>
      <c r="POD23" s="64"/>
      <c r="POE23" s="64"/>
      <c r="POF23" s="64"/>
      <c r="POG23" s="64"/>
      <c r="POH23" s="64"/>
      <c r="POI23" s="64"/>
      <c r="POJ23" s="64"/>
      <c r="POK23" s="64"/>
      <c r="POL23" s="64"/>
      <c r="POM23" s="64"/>
      <c r="PON23" s="64"/>
      <c r="POO23" s="64"/>
      <c r="POP23" s="64"/>
      <c r="POQ23" s="64"/>
      <c r="POR23" s="64"/>
      <c r="POS23" s="64"/>
      <c r="POT23" s="64"/>
      <c r="POU23" s="64"/>
      <c r="POV23" s="64"/>
      <c r="POW23" s="64"/>
      <c r="POX23" s="64"/>
      <c r="POY23" s="64"/>
      <c r="POZ23" s="64"/>
      <c r="PPA23" s="64"/>
      <c r="PPB23" s="64"/>
      <c r="PPC23" s="64"/>
      <c r="PPD23" s="64"/>
      <c r="PPE23" s="64"/>
      <c r="PPF23" s="64"/>
      <c r="PPG23" s="64"/>
      <c r="PPH23" s="64"/>
      <c r="PPI23" s="64"/>
      <c r="PPJ23" s="64"/>
      <c r="PPK23" s="64"/>
      <c r="PPL23" s="64"/>
      <c r="PPM23" s="64"/>
      <c r="PPN23" s="64"/>
      <c r="PPO23" s="64"/>
      <c r="PPP23" s="64"/>
      <c r="PPQ23" s="64"/>
      <c r="PPR23" s="64"/>
      <c r="PPS23" s="64"/>
      <c r="PPT23" s="64"/>
      <c r="PPU23" s="64"/>
      <c r="PPV23" s="64"/>
      <c r="PPW23" s="64"/>
      <c r="PPX23" s="64"/>
      <c r="PPY23" s="64"/>
      <c r="PPZ23" s="64"/>
      <c r="PQA23" s="64"/>
      <c r="PQB23" s="64"/>
      <c r="PQC23" s="64"/>
      <c r="PQD23" s="64"/>
      <c r="PQE23" s="64"/>
      <c r="PQF23" s="64"/>
      <c r="PQG23" s="64"/>
      <c r="PQH23" s="64"/>
      <c r="PQI23" s="64"/>
      <c r="PQJ23" s="64"/>
      <c r="PQK23" s="64"/>
      <c r="PQL23" s="64"/>
      <c r="PQM23" s="64"/>
      <c r="PQN23" s="64"/>
      <c r="PQO23" s="64"/>
      <c r="PQP23" s="64"/>
      <c r="PQQ23" s="64"/>
      <c r="PQR23" s="64"/>
      <c r="PQS23" s="64"/>
      <c r="PQT23" s="64"/>
      <c r="PQU23" s="64"/>
      <c r="PQV23" s="64"/>
      <c r="PQW23" s="64"/>
      <c r="PQX23" s="64"/>
      <c r="PQY23" s="64"/>
      <c r="PQZ23" s="64"/>
      <c r="PRA23" s="64"/>
      <c r="PRB23" s="64"/>
      <c r="PRC23" s="64"/>
      <c r="PRD23" s="64"/>
      <c r="PRE23" s="64"/>
      <c r="PRF23" s="64"/>
      <c r="PRG23" s="64"/>
      <c r="PRH23" s="64"/>
      <c r="PRI23" s="64"/>
      <c r="PRJ23" s="64"/>
      <c r="PRK23" s="64"/>
      <c r="PRL23" s="64"/>
      <c r="PRM23" s="64"/>
      <c r="PRN23" s="64"/>
      <c r="PRO23" s="64"/>
      <c r="PRP23" s="64"/>
      <c r="PRQ23" s="64"/>
      <c r="PRR23" s="64"/>
      <c r="PRS23" s="64"/>
      <c r="PRT23" s="64"/>
      <c r="PRU23" s="64"/>
      <c r="PRV23" s="64"/>
      <c r="PRW23" s="64"/>
      <c r="PRX23" s="64"/>
      <c r="PRY23" s="64"/>
      <c r="PRZ23" s="64"/>
      <c r="PSA23" s="64"/>
      <c r="PSB23" s="64"/>
      <c r="PSC23" s="64"/>
      <c r="PSD23" s="64"/>
      <c r="PSE23" s="64"/>
      <c r="PSF23" s="64"/>
      <c r="PSG23" s="64"/>
      <c r="PSH23" s="64"/>
      <c r="PSI23" s="64"/>
      <c r="PSJ23" s="64"/>
      <c r="PSK23" s="64"/>
      <c r="PSL23" s="64"/>
      <c r="PSM23" s="64"/>
      <c r="PSN23" s="64"/>
      <c r="PSO23" s="64"/>
      <c r="PSP23" s="64"/>
      <c r="PSQ23" s="64"/>
      <c r="PSR23" s="64"/>
      <c r="PSS23" s="64"/>
      <c r="PST23" s="64"/>
      <c r="PSU23" s="64"/>
      <c r="PSV23" s="64"/>
      <c r="PSW23" s="64"/>
      <c r="PSX23" s="64"/>
      <c r="PSY23" s="64"/>
      <c r="PSZ23" s="64"/>
      <c r="PTA23" s="64"/>
      <c r="PTB23" s="64"/>
      <c r="PTC23" s="64"/>
      <c r="PTD23" s="64"/>
      <c r="PTE23" s="64"/>
      <c r="PTF23" s="64"/>
      <c r="PTG23" s="64"/>
      <c r="PTH23" s="64"/>
      <c r="PTI23" s="64"/>
      <c r="PTJ23" s="64"/>
      <c r="PTK23" s="64"/>
      <c r="PTL23" s="64"/>
      <c r="PTM23" s="64"/>
      <c r="PTN23" s="64"/>
      <c r="PTO23" s="64"/>
      <c r="PTP23" s="64"/>
      <c r="PTQ23" s="64"/>
      <c r="PTR23" s="64"/>
      <c r="PTS23" s="64"/>
      <c r="PTT23" s="64"/>
      <c r="PTU23" s="64"/>
      <c r="PTV23" s="64"/>
      <c r="PTW23" s="64"/>
      <c r="PTX23" s="64"/>
      <c r="PTY23" s="64"/>
      <c r="PTZ23" s="64"/>
      <c r="PUA23" s="64"/>
      <c r="PUB23" s="64"/>
      <c r="PUC23" s="64"/>
      <c r="PUD23" s="64"/>
      <c r="PUE23" s="64"/>
      <c r="PUF23" s="64"/>
      <c r="PUG23" s="64"/>
      <c r="PUH23" s="64"/>
      <c r="PUI23" s="64"/>
      <c r="PUJ23" s="64"/>
      <c r="PUK23" s="64"/>
      <c r="PUL23" s="64"/>
      <c r="PUM23" s="64"/>
      <c r="PUN23" s="64"/>
      <c r="PUO23" s="64"/>
      <c r="PUP23" s="64"/>
      <c r="PUQ23" s="64"/>
      <c r="PUR23" s="64"/>
      <c r="PUS23" s="64"/>
      <c r="PUT23" s="64"/>
      <c r="PUU23" s="64"/>
      <c r="PUV23" s="64"/>
      <c r="PUW23" s="64"/>
      <c r="PUX23" s="64"/>
      <c r="PUY23" s="64"/>
      <c r="PUZ23" s="64"/>
      <c r="PVA23" s="64"/>
      <c r="PVB23" s="64"/>
      <c r="PVC23" s="64"/>
      <c r="PVD23" s="64"/>
      <c r="PVE23" s="64"/>
      <c r="PVF23" s="64"/>
      <c r="PVG23" s="64"/>
      <c r="PVH23" s="64"/>
      <c r="PVI23" s="64"/>
      <c r="PVJ23" s="64"/>
      <c r="PVK23" s="64"/>
      <c r="PVL23" s="64"/>
      <c r="PVM23" s="64"/>
      <c r="PVN23" s="64"/>
      <c r="PVO23" s="64"/>
      <c r="PVP23" s="64"/>
      <c r="PVQ23" s="64"/>
      <c r="PVR23" s="64"/>
      <c r="PVS23" s="64"/>
      <c r="PVT23" s="64"/>
      <c r="PVU23" s="64"/>
      <c r="PVV23" s="64"/>
      <c r="PVW23" s="64"/>
      <c r="PVX23" s="64"/>
      <c r="PVY23" s="64"/>
      <c r="PVZ23" s="64"/>
      <c r="PWA23" s="64"/>
      <c r="PWB23" s="64"/>
      <c r="PWC23" s="64"/>
      <c r="PWD23" s="64"/>
      <c r="PWE23" s="64"/>
      <c r="PWF23" s="64"/>
      <c r="PWG23" s="64"/>
      <c r="PWH23" s="64"/>
      <c r="PWI23" s="64"/>
      <c r="PWJ23" s="64"/>
      <c r="PWK23" s="64"/>
      <c r="PWL23" s="64"/>
      <c r="PWM23" s="64"/>
      <c r="PWN23" s="64"/>
      <c r="PWO23" s="64"/>
      <c r="PWP23" s="64"/>
      <c r="PWQ23" s="64"/>
      <c r="PWR23" s="64"/>
      <c r="PWS23" s="64"/>
      <c r="PWT23" s="64"/>
      <c r="PWU23" s="64"/>
      <c r="PWV23" s="64"/>
      <c r="PWW23" s="64"/>
      <c r="PWX23" s="64"/>
      <c r="PWY23" s="64"/>
      <c r="PWZ23" s="64"/>
      <c r="PXA23" s="64"/>
      <c r="PXB23" s="64"/>
      <c r="PXC23" s="64"/>
      <c r="PXD23" s="64"/>
      <c r="PXE23" s="64"/>
      <c r="PXF23" s="64"/>
      <c r="PXG23" s="64"/>
      <c r="PXH23" s="64"/>
      <c r="PXI23" s="64"/>
      <c r="PXJ23" s="64"/>
      <c r="PXK23" s="64"/>
      <c r="PXL23" s="64"/>
      <c r="PXM23" s="64"/>
      <c r="PXN23" s="64"/>
      <c r="PXO23" s="64"/>
      <c r="PXP23" s="64"/>
      <c r="PXQ23" s="64"/>
      <c r="PXR23" s="64"/>
      <c r="PXS23" s="64"/>
      <c r="PXT23" s="64"/>
      <c r="PXU23" s="64"/>
      <c r="PXV23" s="64"/>
      <c r="PXW23" s="64"/>
      <c r="PXX23" s="64"/>
      <c r="PXY23" s="64"/>
      <c r="PXZ23" s="64"/>
      <c r="PYA23" s="64"/>
      <c r="PYB23" s="64"/>
      <c r="PYC23" s="64"/>
      <c r="PYD23" s="64"/>
      <c r="PYE23" s="64"/>
      <c r="PYF23" s="64"/>
      <c r="PYG23" s="64"/>
      <c r="PYH23" s="64"/>
      <c r="PYI23" s="64"/>
      <c r="PYJ23" s="64"/>
      <c r="PYK23" s="64"/>
      <c r="PYL23" s="64"/>
      <c r="PYM23" s="64"/>
      <c r="PYN23" s="64"/>
      <c r="PYO23" s="64"/>
      <c r="PYP23" s="64"/>
      <c r="PYQ23" s="64"/>
      <c r="PYR23" s="64"/>
      <c r="PYS23" s="64"/>
      <c r="PYT23" s="64"/>
      <c r="PYU23" s="64"/>
      <c r="PYV23" s="64"/>
      <c r="PYW23" s="64"/>
      <c r="PYX23" s="64"/>
      <c r="PYY23" s="64"/>
      <c r="PYZ23" s="64"/>
      <c r="PZA23" s="64"/>
      <c r="PZB23" s="64"/>
      <c r="PZC23" s="64"/>
      <c r="PZD23" s="64"/>
      <c r="PZE23" s="64"/>
      <c r="PZF23" s="64"/>
      <c r="PZG23" s="64"/>
      <c r="PZH23" s="64"/>
      <c r="PZI23" s="64"/>
      <c r="PZJ23" s="64"/>
      <c r="PZK23" s="64"/>
      <c r="PZL23" s="64"/>
      <c r="PZM23" s="64"/>
      <c r="PZN23" s="64"/>
      <c r="PZO23" s="64"/>
      <c r="PZP23" s="64"/>
      <c r="PZQ23" s="64"/>
      <c r="PZR23" s="64"/>
      <c r="PZS23" s="64"/>
      <c r="PZT23" s="64"/>
      <c r="PZU23" s="64"/>
      <c r="PZV23" s="64"/>
      <c r="PZW23" s="64"/>
      <c r="PZX23" s="64"/>
      <c r="PZY23" s="64"/>
      <c r="PZZ23" s="64"/>
      <c r="QAA23" s="64"/>
      <c r="QAB23" s="64"/>
      <c r="QAC23" s="64"/>
      <c r="QAD23" s="64"/>
      <c r="QAE23" s="64"/>
      <c r="QAF23" s="64"/>
      <c r="QAG23" s="64"/>
      <c r="QAH23" s="64"/>
      <c r="QAI23" s="64"/>
      <c r="QAJ23" s="64"/>
      <c r="QAK23" s="64"/>
      <c r="QAL23" s="64"/>
      <c r="QAM23" s="64"/>
      <c r="QAN23" s="64"/>
      <c r="QAO23" s="64"/>
      <c r="QAP23" s="64"/>
      <c r="QAQ23" s="64"/>
      <c r="QAR23" s="64"/>
      <c r="QAS23" s="64"/>
      <c r="QAT23" s="64"/>
      <c r="QAU23" s="64"/>
      <c r="QAV23" s="64"/>
      <c r="QAW23" s="64"/>
      <c r="QAX23" s="64"/>
      <c r="QAY23" s="64"/>
      <c r="QAZ23" s="64"/>
      <c r="QBA23" s="64"/>
      <c r="QBB23" s="64"/>
      <c r="QBC23" s="64"/>
      <c r="QBD23" s="64"/>
      <c r="QBE23" s="64"/>
      <c r="QBF23" s="64"/>
      <c r="QBG23" s="64"/>
      <c r="QBH23" s="64"/>
      <c r="QBI23" s="64"/>
      <c r="QBJ23" s="64"/>
      <c r="QBK23" s="64"/>
      <c r="QBL23" s="64"/>
      <c r="QBM23" s="64"/>
      <c r="QBN23" s="64"/>
      <c r="QBO23" s="64"/>
      <c r="QBP23" s="64"/>
      <c r="QBQ23" s="64"/>
      <c r="QBR23" s="64"/>
      <c r="QBS23" s="64"/>
      <c r="QBT23" s="64"/>
      <c r="QBU23" s="64"/>
      <c r="QBV23" s="64"/>
      <c r="QBW23" s="64"/>
      <c r="QBX23" s="64"/>
      <c r="QBY23" s="64"/>
      <c r="QBZ23" s="64"/>
      <c r="QCA23" s="64"/>
      <c r="QCB23" s="64"/>
      <c r="QCC23" s="64"/>
      <c r="QCD23" s="64"/>
      <c r="QCE23" s="64"/>
      <c r="QCF23" s="64"/>
      <c r="QCG23" s="64"/>
      <c r="QCH23" s="64"/>
      <c r="QCI23" s="64"/>
      <c r="QCJ23" s="64"/>
      <c r="QCK23" s="64"/>
      <c r="QCL23" s="64"/>
      <c r="QCM23" s="64"/>
      <c r="QCN23" s="64"/>
      <c r="QCO23" s="64"/>
      <c r="QCP23" s="64"/>
      <c r="QCQ23" s="64"/>
      <c r="QCR23" s="64"/>
      <c r="QCS23" s="64"/>
      <c r="QCT23" s="64"/>
      <c r="QCU23" s="64"/>
      <c r="QCV23" s="64"/>
      <c r="QCW23" s="64"/>
      <c r="QCX23" s="64"/>
      <c r="QCY23" s="64"/>
      <c r="QCZ23" s="64"/>
      <c r="QDA23" s="64"/>
      <c r="QDB23" s="64"/>
      <c r="QDC23" s="64"/>
      <c r="QDD23" s="64"/>
      <c r="QDE23" s="64"/>
      <c r="QDF23" s="64"/>
      <c r="QDG23" s="64"/>
      <c r="QDH23" s="64"/>
      <c r="QDI23" s="64"/>
      <c r="QDJ23" s="64"/>
      <c r="QDK23" s="64"/>
      <c r="QDL23" s="64"/>
      <c r="QDM23" s="64"/>
      <c r="QDN23" s="64"/>
      <c r="QDO23" s="64"/>
      <c r="QDP23" s="64"/>
      <c r="QDQ23" s="64"/>
      <c r="QDR23" s="64"/>
      <c r="QDS23" s="64"/>
      <c r="QDT23" s="64"/>
      <c r="QDU23" s="64"/>
      <c r="QDV23" s="64"/>
      <c r="QDW23" s="64"/>
      <c r="QDX23" s="64"/>
      <c r="QDY23" s="64"/>
      <c r="QDZ23" s="64"/>
      <c r="QEA23" s="64"/>
      <c r="QEB23" s="64"/>
      <c r="QEC23" s="64"/>
      <c r="QED23" s="64"/>
      <c r="QEE23" s="64"/>
      <c r="QEF23" s="64"/>
      <c r="QEG23" s="64"/>
      <c r="QEH23" s="64"/>
      <c r="QEI23" s="64"/>
      <c r="QEJ23" s="64"/>
      <c r="QEK23" s="64"/>
      <c r="QEL23" s="64"/>
      <c r="QEM23" s="64"/>
      <c r="QEN23" s="64"/>
      <c r="QEO23" s="64"/>
      <c r="QEP23" s="64"/>
      <c r="QEQ23" s="64"/>
      <c r="QER23" s="64"/>
      <c r="QES23" s="64"/>
      <c r="QET23" s="64"/>
      <c r="QEU23" s="64"/>
      <c r="QEV23" s="64"/>
      <c r="QEW23" s="64"/>
      <c r="QEX23" s="64"/>
      <c r="QEY23" s="64"/>
      <c r="QEZ23" s="64"/>
      <c r="QFA23" s="64"/>
      <c r="QFB23" s="64"/>
      <c r="QFC23" s="64"/>
      <c r="QFD23" s="64"/>
      <c r="QFE23" s="64"/>
      <c r="QFF23" s="64"/>
      <c r="QFG23" s="64"/>
      <c r="QFH23" s="64"/>
      <c r="QFI23" s="64"/>
      <c r="QFJ23" s="64"/>
      <c r="QFK23" s="64"/>
      <c r="QFL23" s="64"/>
      <c r="QFM23" s="64"/>
      <c r="QFN23" s="64"/>
      <c r="QFO23" s="64"/>
      <c r="QFP23" s="64"/>
      <c r="QFQ23" s="64"/>
      <c r="QFR23" s="64"/>
      <c r="QFS23" s="64"/>
      <c r="QFT23" s="64"/>
      <c r="QFU23" s="64"/>
      <c r="QFV23" s="64"/>
      <c r="QFW23" s="64"/>
      <c r="QFX23" s="64"/>
      <c r="QFY23" s="64"/>
      <c r="QFZ23" s="64"/>
      <c r="QGA23" s="64"/>
      <c r="QGB23" s="64"/>
      <c r="QGC23" s="64"/>
      <c r="QGD23" s="64"/>
      <c r="QGE23" s="64"/>
      <c r="QGF23" s="64"/>
      <c r="QGG23" s="64"/>
      <c r="QGH23" s="64"/>
      <c r="QGI23" s="64"/>
      <c r="QGJ23" s="64"/>
      <c r="QGK23" s="64"/>
      <c r="QGL23" s="64"/>
      <c r="QGM23" s="64"/>
      <c r="QGN23" s="64"/>
      <c r="QGO23" s="64"/>
      <c r="QGP23" s="64"/>
      <c r="QGQ23" s="64"/>
      <c r="QGR23" s="64"/>
      <c r="QGS23" s="64"/>
      <c r="QGT23" s="64"/>
      <c r="QGU23" s="64"/>
      <c r="QGV23" s="64"/>
      <c r="QGW23" s="64"/>
      <c r="QGX23" s="64"/>
      <c r="QGY23" s="64"/>
      <c r="QGZ23" s="64"/>
      <c r="QHA23" s="64"/>
      <c r="QHB23" s="64"/>
      <c r="QHC23" s="64"/>
      <c r="QHD23" s="64"/>
      <c r="QHE23" s="64"/>
      <c r="QHF23" s="64"/>
      <c r="QHG23" s="64"/>
      <c r="QHH23" s="64"/>
      <c r="QHI23" s="64"/>
      <c r="QHJ23" s="64"/>
      <c r="QHK23" s="64"/>
      <c r="QHL23" s="64"/>
      <c r="QHM23" s="64"/>
      <c r="QHN23" s="64"/>
      <c r="QHO23" s="64"/>
      <c r="QHP23" s="64"/>
      <c r="QHQ23" s="64"/>
      <c r="QHR23" s="64"/>
      <c r="QHS23" s="64"/>
      <c r="QHT23" s="64"/>
      <c r="QHU23" s="64"/>
      <c r="QHV23" s="64"/>
      <c r="QHW23" s="64"/>
      <c r="QHX23" s="64"/>
      <c r="QHY23" s="64"/>
      <c r="QHZ23" s="64"/>
      <c r="QIA23" s="64"/>
      <c r="QIB23" s="64"/>
      <c r="QIC23" s="64"/>
      <c r="QID23" s="64"/>
      <c r="QIE23" s="64"/>
      <c r="QIF23" s="64"/>
      <c r="QIG23" s="64"/>
      <c r="QIH23" s="64"/>
      <c r="QII23" s="64"/>
      <c r="QIJ23" s="64"/>
      <c r="QIK23" s="64"/>
      <c r="QIL23" s="64"/>
      <c r="QIM23" s="64"/>
      <c r="QIN23" s="64"/>
      <c r="QIO23" s="64"/>
      <c r="QIP23" s="64"/>
      <c r="QIQ23" s="64"/>
      <c r="QIR23" s="64"/>
      <c r="QIS23" s="64"/>
      <c r="QIT23" s="64"/>
      <c r="QIU23" s="64"/>
      <c r="QIV23" s="64"/>
      <c r="QIW23" s="64"/>
      <c r="QIX23" s="64"/>
      <c r="QIY23" s="64"/>
      <c r="QIZ23" s="64"/>
      <c r="QJA23" s="64"/>
      <c r="QJB23" s="64"/>
      <c r="QJC23" s="64"/>
      <c r="QJD23" s="64"/>
      <c r="QJE23" s="64"/>
      <c r="QJF23" s="64"/>
      <c r="QJG23" s="64"/>
      <c r="QJH23" s="64"/>
      <c r="QJI23" s="64"/>
      <c r="QJJ23" s="64"/>
      <c r="QJK23" s="64"/>
      <c r="QJL23" s="64"/>
      <c r="QJM23" s="64"/>
      <c r="QJN23" s="64"/>
      <c r="QJO23" s="64"/>
      <c r="QJP23" s="64"/>
      <c r="QJQ23" s="64"/>
      <c r="QJR23" s="64"/>
      <c r="QJS23" s="64"/>
      <c r="QJT23" s="64"/>
      <c r="QJU23" s="64"/>
      <c r="QJV23" s="64"/>
      <c r="QJW23" s="64"/>
      <c r="QJX23" s="64"/>
      <c r="QJY23" s="64"/>
      <c r="QJZ23" s="64"/>
      <c r="QKA23" s="64"/>
      <c r="QKB23" s="64"/>
      <c r="QKC23" s="64"/>
      <c r="QKD23" s="64"/>
      <c r="QKE23" s="64"/>
      <c r="QKF23" s="64"/>
      <c r="QKG23" s="64"/>
      <c r="QKH23" s="64"/>
      <c r="QKI23" s="64"/>
      <c r="QKJ23" s="64"/>
      <c r="QKK23" s="64"/>
      <c r="QKL23" s="64"/>
      <c r="QKM23" s="64"/>
      <c r="QKN23" s="64"/>
      <c r="QKO23" s="64"/>
      <c r="QKP23" s="64"/>
      <c r="QKQ23" s="64"/>
      <c r="QKR23" s="64"/>
      <c r="QKS23" s="64"/>
      <c r="QKT23" s="64"/>
      <c r="QKU23" s="64"/>
      <c r="QKV23" s="64"/>
      <c r="QKW23" s="64"/>
      <c r="QKX23" s="64"/>
      <c r="QKY23" s="64"/>
      <c r="QKZ23" s="64"/>
      <c r="QLA23" s="64"/>
      <c r="QLB23" s="64"/>
      <c r="QLC23" s="64"/>
      <c r="QLD23" s="64"/>
      <c r="QLE23" s="64"/>
      <c r="QLF23" s="64"/>
      <c r="QLG23" s="64"/>
      <c r="QLH23" s="64"/>
      <c r="QLI23" s="64"/>
      <c r="QLJ23" s="64"/>
      <c r="QLK23" s="64"/>
      <c r="QLL23" s="64"/>
      <c r="QLM23" s="64"/>
      <c r="QLN23" s="64"/>
      <c r="QLO23" s="64"/>
      <c r="QLP23" s="64"/>
      <c r="QLQ23" s="64"/>
      <c r="QLR23" s="64"/>
      <c r="QLS23" s="64"/>
      <c r="QLT23" s="64"/>
      <c r="QLU23" s="64"/>
      <c r="QLV23" s="64"/>
      <c r="QLW23" s="64"/>
      <c r="QLX23" s="64"/>
      <c r="QLY23" s="64"/>
      <c r="QLZ23" s="64"/>
      <c r="QMA23" s="64"/>
      <c r="QMB23" s="64"/>
      <c r="QMC23" s="64"/>
      <c r="QMD23" s="64"/>
      <c r="QME23" s="64"/>
      <c r="QMF23" s="64"/>
      <c r="QMG23" s="64"/>
      <c r="QMH23" s="64"/>
      <c r="QMI23" s="64"/>
      <c r="QMJ23" s="64"/>
      <c r="QMK23" s="64"/>
      <c r="QML23" s="64"/>
      <c r="QMM23" s="64"/>
      <c r="QMN23" s="64"/>
      <c r="QMO23" s="64"/>
      <c r="QMP23" s="64"/>
      <c r="QMQ23" s="64"/>
      <c r="QMR23" s="64"/>
      <c r="QMS23" s="64"/>
      <c r="QMT23" s="64"/>
      <c r="QMU23" s="64"/>
      <c r="QMV23" s="64"/>
      <c r="QMW23" s="64"/>
      <c r="QMX23" s="64"/>
      <c r="QMY23" s="64"/>
      <c r="QMZ23" s="64"/>
      <c r="QNA23" s="64"/>
      <c r="QNB23" s="64"/>
      <c r="QNC23" s="64"/>
      <c r="QND23" s="64"/>
      <c r="QNE23" s="64"/>
      <c r="QNF23" s="64"/>
      <c r="QNG23" s="64"/>
      <c r="QNH23" s="64"/>
      <c r="QNI23" s="64"/>
      <c r="QNJ23" s="64"/>
      <c r="QNK23" s="64"/>
      <c r="QNL23" s="64"/>
      <c r="QNM23" s="64"/>
      <c r="QNN23" s="64"/>
      <c r="QNO23" s="64"/>
      <c r="QNP23" s="64"/>
      <c r="QNQ23" s="64"/>
      <c r="QNR23" s="64"/>
      <c r="QNS23" s="64"/>
      <c r="QNT23" s="64"/>
      <c r="QNU23" s="64"/>
      <c r="QNV23" s="64"/>
      <c r="QNW23" s="64"/>
      <c r="QNX23" s="64"/>
      <c r="QNY23" s="64"/>
      <c r="QNZ23" s="64"/>
      <c r="QOA23" s="64"/>
      <c r="QOB23" s="64"/>
      <c r="QOC23" s="64"/>
      <c r="QOD23" s="64"/>
      <c r="QOE23" s="64"/>
      <c r="QOF23" s="64"/>
      <c r="QOG23" s="64"/>
      <c r="QOH23" s="64"/>
      <c r="QOI23" s="64"/>
      <c r="QOJ23" s="64"/>
      <c r="QOK23" s="64"/>
      <c r="QOL23" s="64"/>
      <c r="QOM23" s="64"/>
      <c r="QON23" s="64"/>
      <c r="QOO23" s="64"/>
      <c r="QOP23" s="64"/>
      <c r="QOQ23" s="64"/>
      <c r="QOR23" s="64"/>
      <c r="QOS23" s="64"/>
      <c r="QOT23" s="64"/>
      <c r="QOU23" s="64"/>
      <c r="QOV23" s="64"/>
      <c r="QOW23" s="64"/>
      <c r="QOX23" s="64"/>
      <c r="QOY23" s="64"/>
      <c r="QOZ23" s="64"/>
      <c r="QPA23" s="64"/>
      <c r="QPB23" s="64"/>
      <c r="QPC23" s="64"/>
      <c r="QPD23" s="64"/>
      <c r="QPE23" s="64"/>
      <c r="QPF23" s="64"/>
      <c r="QPG23" s="64"/>
      <c r="QPH23" s="64"/>
      <c r="QPI23" s="64"/>
      <c r="QPJ23" s="64"/>
      <c r="QPK23" s="64"/>
      <c r="QPL23" s="64"/>
      <c r="QPM23" s="64"/>
      <c r="QPN23" s="64"/>
      <c r="QPO23" s="64"/>
      <c r="QPP23" s="64"/>
      <c r="QPQ23" s="64"/>
      <c r="QPR23" s="64"/>
      <c r="QPS23" s="64"/>
      <c r="QPT23" s="64"/>
      <c r="QPU23" s="64"/>
      <c r="QPV23" s="64"/>
      <c r="QPW23" s="64"/>
      <c r="QPX23" s="64"/>
      <c r="QPY23" s="64"/>
      <c r="QPZ23" s="64"/>
      <c r="QQA23" s="64"/>
      <c r="QQB23" s="64"/>
      <c r="QQC23" s="64"/>
      <c r="QQD23" s="64"/>
      <c r="QQE23" s="64"/>
      <c r="QQF23" s="64"/>
      <c r="QQG23" s="64"/>
      <c r="QQH23" s="64"/>
      <c r="QQI23" s="64"/>
      <c r="QQJ23" s="64"/>
      <c r="QQK23" s="64"/>
      <c r="QQL23" s="64"/>
      <c r="QQM23" s="64"/>
      <c r="QQN23" s="64"/>
      <c r="QQO23" s="64"/>
      <c r="QQP23" s="64"/>
      <c r="QQQ23" s="64"/>
      <c r="QQR23" s="64"/>
      <c r="QQS23" s="64"/>
      <c r="QQT23" s="64"/>
      <c r="QQU23" s="64"/>
      <c r="QQV23" s="64"/>
      <c r="QQW23" s="64"/>
      <c r="QQX23" s="64"/>
      <c r="QQY23" s="64"/>
      <c r="QQZ23" s="64"/>
      <c r="QRA23" s="64"/>
      <c r="QRB23" s="64"/>
      <c r="QRC23" s="64"/>
      <c r="QRD23" s="64"/>
      <c r="QRE23" s="64"/>
      <c r="QRF23" s="64"/>
      <c r="QRG23" s="64"/>
      <c r="QRH23" s="64"/>
      <c r="QRI23" s="64"/>
      <c r="QRJ23" s="64"/>
      <c r="QRK23" s="64"/>
      <c r="QRL23" s="64"/>
      <c r="QRM23" s="64"/>
      <c r="QRN23" s="64"/>
      <c r="QRO23" s="64"/>
      <c r="QRP23" s="64"/>
      <c r="QRQ23" s="64"/>
      <c r="QRR23" s="64"/>
      <c r="QRS23" s="64"/>
      <c r="QRT23" s="64"/>
      <c r="QRU23" s="64"/>
      <c r="QRV23" s="64"/>
      <c r="QRW23" s="64"/>
      <c r="QRX23" s="64"/>
      <c r="QRY23" s="64"/>
      <c r="QRZ23" s="64"/>
      <c r="QSA23" s="64"/>
      <c r="QSB23" s="64"/>
      <c r="QSC23" s="64"/>
      <c r="QSD23" s="64"/>
      <c r="QSE23" s="64"/>
      <c r="QSF23" s="64"/>
      <c r="QSG23" s="64"/>
      <c r="QSH23" s="64"/>
      <c r="QSI23" s="64"/>
      <c r="QSJ23" s="64"/>
      <c r="QSK23" s="64"/>
      <c r="QSL23" s="64"/>
      <c r="QSM23" s="64"/>
      <c r="QSN23" s="64"/>
      <c r="QSO23" s="64"/>
      <c r="QSP23" s="64"/>
      <c r="QSQ23" s="64"/>
      <c r="QSR23" s="64"/>
      <c r="QSS23" s="64"/>
      <c r="QST23" s="64"/>
      <c r="QSU23" s="64"/>
      <c r="QSV23" s="64"/>
      <c r="QSW23" s="64"/>
      <c r="QSX23" s="64"/>
      <c r="QSY23" s="64"/>
      <c r="QSZ23" s="64"/>
      <c r="QTA23" s="64"/>
      <c r="QTB23" s="64"/>
      <c r="QTC23" s="64"/>
      <c r="QTD23" s="64"/>
      <c r="QTE23" s="64"/>
      <c r="QTF23" s="64"/>
      <c r="QTG23" s="64"/>
      <c r="QTH23" s="64"/>
      <c r="QTI23" s="64"/>
      <c r="QTJ23" s="64"/>
      <c r="QTK23" s="64"/>
      <c r="QTL23" s="64"/>
      <c r="QTM23" s="64"/>
      <c r="QTN23" s="64"/>
      <c r="QTO23" s="64"/>
      <c r="QTP23" s="64"/>
      <c r="QTQ23" s="64"/>
      <c r="QTR23" s="64"/>
      <c r="QTS23" s="64"/>
      <c r="QTT23" s="64"/>
      <c r="QTU23" s="64"/>
      <c r="QTV23" s="64"/>
      <c r="QTW23" s="64"/>
      <c r="QTX23" s="64"/>
      <c r="QTY23" s="64"/>
      <c r="QTZ23" s="64"/>
      <c r="QUA23" s="64"/>
      <c r="QUB23" s="64"/>
      <c r="QUC23" s="64"/>
      <c r="QUD23" s="64"/>
      <c r="QUE23" s="64"/>
      <c r="QUF23" s="64"/>
      <c r="QUG23" s="64"/>
      <c r="QUH23" s="64"/>
      <c r="QUI23" s="64"/>
      <c r="QUJ23" s="64"/>
      <c r="QUK23" s="64"/>
      <c r="QUL23" s="64"/>
      <c r="QUM23" s="64"/>
      <c r="QUN23" s="64"/>
      <c r="QUO23" s="64"/>
      <c r="QUP23" s="64"/>
      <c r="QUQ23" s="64"/>
      <c r="QUR23" s="64"/>
      <c r="QUS23" s="64"/>
      <c r="QUT23" s="64"/>
      <c r="QUU23" s="64"/>
      <c r="QUV23" s="64"/>
      <c r="QUW23" s="64"/>
      <c r="QUX23" s="64"/>
      <c r="QUY23" s="64"/>
      <c r="QUZ23" s="64"/>
      <c r="QVA23" s="64"/>
      <c r="QVB23" s="64"/>
      <c r="QVC23" s="64"/>
      <c r="QVD23" s="64"/>
      <c r="QVE23" s="64"/>
      <c r="QVF23" s="64"/>
      <c r="QVG23" s="64"/>
      <c r="QVH23" s="64"/>
      <c r="QVI23" s="64"/>
      <c r="QVJ23" s="64"/>
      <c r="QVK23" s="64"/>
      <c r="QVL23" s="64"/>
      <c r="QVM23" s="64"/>
      <c r="QVN23" s="64"/>
      <c r="QVO23" s="64"/>
      <c r="QVP23" s="64"/>
      <c r="QVQ23" s="64"/>
      <c r="QVR23" s="64"/>
      <c r="QVS23" s="64"/>
      <c r="QVT23" s="64"/>
      <c r="QVU23" s="64"/>
      <c r="QVV23" s="64"/>
      <c r="QVW23" s="64"/>
      <c r="QVX23" s="64"/>
      <c r="QVY23" s="64"/>
      <c r="QVZ23" s="64"/>
      <c r="QWA23" s="64"/>
      <c r="QWB23" s="64"/>
      <c r="QWC23" s="64"/>
      <c r="QWD23" s="64"/>
      <c r="QWE23" s="64"/>
      <c r="QWF23" s="64"/>
      <c r="QWG23" s="64"/>
      <c r="QWH23" s="64"/>
      <c r="QWI23" s="64"/>
      <c r="QWJ23" s="64"/>
      <c r="QWK23" s="64"/>
      <c r="QWL23" s="64"/>
      <c r="QWM23" s="64"/>
      <c r="QWN23" s="64"/>
      <c r="QWO23" s="64"/>
      <c r="QWP23" s="64"/>
      <c r="QWQ23" s="64"/>
      <c r="QWR23" s="64"/>
      <c r="QWS23" s="64"/>
      <c r="QWT23" s="64"/>
      <c r="QWU23" s="64"/>
      <c r="QWV23" s="64"/>
      <c r="QWW23" s="64"/>
      <c r="QWX23" s="64"/>
      <c r="QWY23" s="64"/>
      <c r="QWZ23" s="64"/>
      <c r="QXA23" s="64"/>
      <c r="QXB23" s="64"/>
      <c r="QXC23" s="64"/>
      <c r="QXD23" s="64"/>
      <c r="QXE23" s="64"/>
      <c r="QXF23" s="64"/>
      <c r="QXG23" s="64"/>
      <c r="QXH23" s="64"/>
      <c r="QXI23" s="64"/>
      <c r="QXJ23" s="64"/>
      <c r="QXK23" s="64"/>
      <c r="QXL23" s="64"/>
      <c r="QXM23" s="64"/>
      <c r="QXN23" s="64"/>
      <c r="QXO23" s="64"/>
      <c r="QXP23" s="64"/>
      <c r="QXQ23" s="64"/>
      <c r="QXR23" s="64"/>
      <c r="QXS23" s="64"/>
      <c r="QXT23" s="64"/>
      <c r="QXU23" s="64"/>
      <c r="QXV23" s="64"/>
      <c r="QXW23" s="64"/>
      <c r="QXX23" s="64"/>
      <c r="QXY23" s="64"/>
      <c r="QXZ23" s="64"/>
      <c r="QYA23" s="64"/>
      <c r="QYB23" s="64"/>
      <c r="QYC23" s="64"/>
      <c r="QYD23" s="64"/>
      <c r="QYE23" s="64"/>
      <c r="QYF23" s="64"/>
      <c r="QYG23" s="64"/>
      <c r="QYH23" s="64"/>
      <c r="QYI23" s="64"/>
      <c r="QYJ23" s="64"/>
      <c r="QYK23" s="64"/>
      <c r="QYL23" s="64"/>
      <c r="QYM23" s="64"/>
      <c r="QYN23" s="64"/>
      <c r="QYO23" s="64"/>
      <c r="QYP23" s="64"/>
      <c r="QYQ23" s="64"/>
      <c r="QYR23" s="64"/>
      <c r="QYS23" s="64"/>
      <c r="QYT23" s="64"/>
      <c r="QYU23" s="64"/>
      <c r="QYV23" s="64"/>
      <c r="QYW23" s="64"/>
      <c r="QYX23" s="64"/>
      <c r="QYY23" s="64"/>
      <c r="QYZ23" s="64"/>
      <c r="QZA23" s="64"/>
      <c r="QZB23" s="64"/>
      <c r="QZC23" s="64"/>
      <c r="QZD23" s="64"/>
      <c r="QZE23" s="64"/>
      <c r="QZF23" s="64"/>
      <c r="QZG23" s="64"/>
      <c r="QZH23" s="64"/>
      <c r="QZI23" s="64"/>
      <c r="QZJ23" s="64"/>
      <c r="QZK23" s="64"/>
      <c r="QZL23" s="64"/>
      <c r="QZM23" s="64"/>
      <c r="QZN23" s="64"/>
      <c r="QZO23" s="64"/>
      <c r="QZP23" s="64"/>
      <c r="QZQ23" s="64"/>
      <c r="QZR23" s="64"/>
      <c r="QZS23" s="64"/>
      <c r="QZT23" s="64"/>
      <c r="QZU23" s="64"/>
      <c r="QZV23" s="64"/>
      <c r="QZW23" s="64"/>
      <c r="QZX23" s="64"/>
      <c r="QZY23" s="64"/>
      <c r="QZZ23" s="64"/>
      <c r="RAA23" s="64"/>
      <c r="RAB23" s="64"/>
      <c r="RAC23" s="64"/>
      <c r="RAD23" s="64"/>
      <c r="RAE23" s="64"/>
      <c r="RAF23" s="64"/>
      <c r="RAG23" s="64"/>
      <c r="RAH23" s="64"/>
      <c r="RAI23" s="64"/>
      <c r="RAJ23" s="64"/>
      <c r="RAK23" s="64"/>
      <c r="RAL23" s="64"/>
      <c r="RAM23" s="64"/>
      <c r="RAN23" s="64"/>
      <c r="RAO23" s="64"/>
      <c r="RAP23" s="64"/>
      <c r="RAQ23" s="64"/>
      <c r="RAR23" s="64"/>
      <c r="RAS23" s="64"/>
      <c r="RAT23" s="64"/>
      <c r="RAU23" s="64"/>
      <c r="RAV23" s="64"/>
      <c r="RAW23" s="64"/>
      <c r="RAX23" s="64"/>
      <c r="RAY23" s="64"/>
      <c r="RAZ23" s="64"/>
      <c r="RBA23" s="64"/>
      <c r="RBB23" s="64"/>
      <c r="RBC23" s="64"/>
      <c r="RBD23" s="64"/>
      <c r="RBE23" s="64"/>
      <c r="RBF23" s="64"/>
      <c r="RBG23" s="64"/>
      <c r="RBH23" s="64"/>
      <c r="RBI23" s="64"/>
      <c r="RBJ23" s="64"/>
      <c r="RBK23" s="64"/>
      <c r="RBL23" s="64"/>
      <c r="RBM23" s="64"/>
      <c r="RBN23" s="64"/>
      <c r="RBO23" s="64"/>
      <c r="RBP23" s="64"/>
      <c r="RBQ23" s="64"/>
      <c r="RBR23" s="64"/>
      <c r="RBS23" s="64"/>
      <c r="RBT23" s="64"/>
      <c r="RBU23" s="64"/>
      <c r="RBV23" s="64"/>
      <c r="RBW23" s="64"/>
      <c r="RBX23" s="64"/>
      <c r="RBY23" s="64"/>
      <c r="RBZ23" s="64"/>
      <c r="RCA23" s="64"/>
      <c r="RCB23" s="64"/>
      <c r="RCC23" s="64"/>
      <c r="RCD23" s="64"/>
      <c r="RCE23" s="64"/>
      <c r="RCF23" s="64"/>
      <c r="RCG23" s="64"/>
      <c r="RCH23" s="64"/>
      <c r="RCI23" s="64"/>
      <c r="RCJ23" s="64"/>
      <c r="RCK23" s="64"/>
      <c r="RCL23" s="64"/>
      <c r="RCM23" s="64"/>
      <c r="RCN23" s="64"/>
      <c r="RCO23" s="64"/>
      <c r="RCP23" s="64"/>
      <c r="RCQ23" s="64"/>
      <c r="RCR23" s="64"/>
      <c r="RCS23" s="64"/>
      <c r="RCT23" s="64"/>
      <c r="RCU23" s="64"/>
      <c r="RCV23" s="64"/>
      <c r="RCW23" s="64"/>
      <c r="RCX23" s="64"/>
      <c r="RCY23" s="64"/>
      <c r="RCZ23" s="64"/>
      <c r="RDA23" s="64"/>
      <c r="RDB23" s="64"/>
      <c r="RDC23" s="64"/>
      <c r="RDD23" s="64"/>
      <c r="RDE23" s="64"/>
      <c r="RDF23" s="64"/>
      <c r="RDG23" s="64"/>
      <c r="RDH23" s="64"/>
      <c r="RDI23" s="64"/>
      <c r="RDJ23" s="64"/>
      <c r="RDK23" s="64"/>
      <c r="RDL23" s="64"/>
      <c r="RDM23" s="64"/>
      <c r="RDN23" s="64"/>
      <c r="RDO23" s="64"/>
      <c r="RDP23" s="64"/>
      <c r="RDQ23" s="64"/>
      <c r="RDR23" s="64"/>
      <c r="RDS23" s="64"/>
      <c r="RDT23" s="64"/>
      <c r="RDU23" s="64"/>
      <c r="RDV23" s="64"/>
      <c r="RDW23" s="64"/>
      <c r="RDX23" s="64"/>
      <c r="RDY23" s="64"/>
      <c r="RDZ23" s="64"/>
      <c r="REA23" s="64"/>
      <c r="REB23" s="64"/>
      <c r="REC23" s="64"/>
      <c r="RED23" s="64"/>
      <c r="REE23" s="64"/>
      <c r="REF23" s="64"/>
      <c r="REG23" s="64"/>
      <c r="REH23" s="64"/>
      <c r="REI23" s="64"/>
      <c r="REJ23" s="64"/>
      <c r="REK23" s="64"/>
      <c r="REL23" s="64"/>
      <c r="REM23" s="64"/>
      <c r="REN23" s="64"/>
      <c r="REO23" s="64"/>
      <c r="REP23" s="64"/>
      <c r="REQ23" s="64"/>
      <c r="RER23" s="64"/>
      <c r="RES23" s="64"/>
      <c r="RET23" s="64"/>
      <c r="REU23" s="64"/>
      <c r="REV23" s="64"/>
      <c r="REW23" s="64"/>
      <c r="REX23" s="64"/>
      <c r="REY23" s="64"/>
      <c r="REZ23" s="64"/>
      <c r="RFA23" s="64"/>
      <c r="RFB23" s="64"/>
      <c r="RFC23" s="64"/>
      <c r="RFD23" s="64"/>
      <c r="RFE23" s="64"/>
      <c r="RFF23" s="64"/>
      <c r="RFG23" s="64"/>
      <c r="RFH23" s="64"/>
      <c r="RFI23" s="64"/>
      <c r="RFJ23" s="64"/>
      <c r="RFK23" s="64"/>
      <c r="RFL23" s="64"/>
      <c r="RFM23" s="64"/>
      <c r="RFN23" s="64"/>
      <c r="RFO23" s="64"/>
      <c r="RFP23" s="64"/>
      <c r="RFQ23" s="64"/>
      <c r="RFR23" s="64"/>
      <c r="RFS23" s="64"/>
      <c r="RFT23" s="64"/>
      <c r="RFU23" s="64"/>
      <c r="RFV23" s="64"/>
      <c r="RFW23" s="64"/>
      <c r="RFX23" s="64"/>
      <c r="RFY23" s="64"/>
      <c r="RFZ23" s="64"/>
      <c r="RGA23" s="64"/>
      <c r="RGB23" s="64"/>
      <c r="RGC23" s="64"/>
      <c r="RGD23" s="64"/>
      <c r="RGE23" s="64"/>
      <c r="RGF23" s="64"/>
      <c r="RGG23" s="64"/>
      <c r="RGH23" s="64"/>
      <c r="RGI23" s="64"/>
      <c r="RGJ23" s="64"/>
      <c r="RGK23" s="64"/>
      <c r="RGL23" s="64"/>
      <c r="RGM23" s="64"/>
      <c r="RGN23" s="64"/>
      <c r="RGO23" s="64"/>
      <c r="RGP23" s="64"/>
      <c r="RGQ23" s="64"/>
      <c r="RGR23" s="64"/>
      <c r="RGS23" s="64"/>
      <c r="RGT23" s="64"/>
      <c r="RGU23" s="64"/>
      <c r="RGV23" s="64"/>
      <c r="RGW23" s="64"/>
      <c r="RGX23" s="64"/>
      <c r="RGY23" s="64"/>
      <c r="RGZ23" s="64"/>
      <c r="RHA23" s="64"/>
      <c r="RHB23" s="64"/>
      <c r="RHC23" s="64"/>
      <c r="RHD23" s="64"/>
      <c r="RHE23" s="64"/>
      <c r="RHF23" s="64"/>
      <c r="RHG23" s="64"/>
      <c r="RHH23" s="64"/>
      <c r="RHI23" s="64"/>
      <c r="RHJ23" s="64"/>
      <c r="RHK23" s="64"/>
      <c r="RHL23" s="64"/>
      <c r="RHM23" s="64"/>
      <c r="RHN23" s="64"/>
      <c r="RHO23" s="64"/>
      <c r="RHP23" s="64"/>
      <c r="RHQ23" s="64"/>
      <c r="RHR23" s="64"/>
      <c r="RHS23" s="64"/>
      <c r="RHT23" s="64"/>
      <c r="RHU23" s="64"/>
      <c r="RHV23" s="64"/>
      <c r="RHW23" s="64"/>
      <c r="RHX23" s="64"/>
      <c r="RHY23" s="64"/>
      <c r="RHZ23" s="64"/>
      <c r="RIA23" s="64"/>
      <c r="RIB23" s="64"/>
      <c r="RIC23" s="64"/>
      <c r="RID23" s="64"/>
      <c r="RIE23" s="64"/>
      <c r="RIF23" s="64"/>
      <c r="RIG23" s="64"/>
      <c r="RIH23" s="64"/>
      <c r="RII23" s="64"/>
      <c r="RIJ23" s="64"/>
      <c r="RIK23" s="64"/>
      <c r="RIL23" s="64"/>
      <c r="RIM23" s="64"/>
      <c r="RIN23" s="64"/>
      <c r="RIO23" s="64"/>
      <c r="RIP23" s="64"/>
      <c r="RIQ23" s="64"/>
      <c r="RIR23" s="64"/>
      <c r="RIS23" s="64"/>
      <c r="RIT23" s="64"/>
      <c r="RIU23" s="64"/>
      <c r="RIV23" s="64"/>
      <c r="RIW23" s="64"/>
      <c r="RIX23" s="64"/>
      <c r="RIY23" s="64"/>
      <c r="RIZ23" s="64"/>
      <c r="RJA23" s="64"/>
      <c r="RJB23" s="64"/>
      <c r="RJC23" s="64"/>
      <c r="RJD23" s="64"/>
      <c r="RJE23" s="64"/>
      <c r="RJF23" s="64"/>
      <c r="RJG23" s="64"/>
      <c r="RJH23" s="64"/>
      <c r="RJI23" s="64"/>
      <c r="RJJ23" s="64"/>
      <c r="RJK23" s="64"/>
      <c r="RJL23" s="64"/>
      <c r="RJM23" s="64"/>
      <c r="RJN23" s="64"/>
      <c r="RJO23" s="64"/>
      <c r="RJP23" s="64"/>
      <c r="RJQ23" s="64"/>
      <c r="RJR23" s="64"/>
      <c r="RJS23" s="64"/>
      <c r="RJT23" s="64"/>
      <c r="RJU23" s="64"/>
      <c r="RJV23" s="64"/>
      <c r="RJW23" s="64"/>
      <c r="RJX23" s="64"/>
      <c r="RJY23" s="64"/>
      <c r="RJZ23" s="64"/>
      <c r="RKA23" s="64"/>
      <c r="RKB23" s="64"/>
      <c r="RKC23" s="64"/>
      <c r="RKD23" s="64"/>
      <c r="RKE23" s="64"/>
      <c r="RKF23" s="64"/>
      <c r="RKG23" s="64"/>
      <c r="RKH23" s="64"/>
      <c r="RKI23" s="64"/>
      <c r="RKJ23" s="64"/>
      <c r="RKK23" s="64"/>
      <c r="RKL23" s="64"/>
      <c r="RKM23" s="64"/>
      <c r="RKN23" s="64"/>
      <c r="RKO23" s="64"/>
      <c r="RKP23" s="64"/>
      <c r="RKQ23" s="64"/>
      <c r="RKR23" s="64"/>
      <c r="RKS23" s="64"/>
      <c r="RKT23" s="64"/>
      <c r="RKU23" s="64"/>
      <c r="RKV23" s="64"/>
      <c r="RKW23" s="64"/>
      <c r="RKX23" s="64"/>
      <c r="RKY23" s="64"/>
      <c r="RKZ23" s="64"/>
      <c r="RLA23" s="64"/>
      <c r="RLB23" s="64"/>
      <c r="RLC23" s="64"/>
      <c r="RLD23" s="64"/>
      <c r="RLE23" s="64"/>
      <c r="RLF23" s="64"/>
      <c r="RLG23" s="64"/>
      <c r="RLH23" s="64"/>
      <c r="RLI23" s="64"/>
      <c r="RLJ23" s="64"/>
      <c r="RLK23" s="64"/>
      <c r="RLL23" s="64"/>
      <c r="RLM23" s="64"/>
      <c r="RLN23" s="64"/>
      <c r="RLO23" s="64"/>
      <c r="RLP23" s="64"/>
      <c r="RLQ23" s="64"/>
      <c r="RLR23" s="64"/>
      <c r="RLS23" s="64"/>
      <c r="RLT23" s="64"/>
      <c r="RLU23" s="64"/>
      <c r="RLV23" s="64"/>
      <c r="RLW23" s="64"/>
      <c r="RLX23" s="64"/>
      <c r="RLY23" s="64"/>
      <c r="RLZ23" s="64"/>
      <c r="RMA23" s="64"/>
      <c r="RMB23" s="64"/>
      <c r="RMC23" s="64"/>
      <c r="RMD23" s="64"/>
      <c r="RME23" s="64"/>
      <c r="RMF23" s="64"/>
      <c r="RMG23" s="64"/>
      <c r="RMH23" s="64"/>
      <c r="RMI23" s="64"/>
      <c r="RMJ23" s="64"/>
      <c r="RMK23" s="64"/>
      <c r="RML23" s="64"/>
      <c r="RMM23" s="64"/>
      <c r="RMN23" s="64"/>
      <c r="RMO23" s="64"/>
      <c r="RMP23" s="64"/>
      <c r="RMQ23" s="64"/>
      <c r="RMR23" s="64"/>
      <c r="RMS23" s="64"/>
      <c r="RMT23" s="64"/>
      <c r="RMU23" s="64"/>
      <c r="RMV23" s="64"/>
      <c r="RMW23" s="64"/>
      <c r="RMX23" s="64"/>
      <c r="RMY23" s="64"/>
      <c r="RMZ23" s="64"/>
      <c r="RNA23" s="64"/>
      <c r="RNB23" s="64"/>
      <c r="RNC23" s="64"/>
      <c r="RND23" s="64"/>
      <c r="RNE23" s="64"/>
      <c r="RNF23" s="64"/>
      <c r="RNG23" s="64"/>
      <c r="RNH23" s="64"/>
      <c r="RNI23" s="64"/>
      <c r="RNJ23" s="64"/>
      <c r="RNK23" s="64"/>
      <c r="RNL23" s="64"/>
      <c r="RNM23" s="64"/>
      <c r="RNN23" s="64"/>
      <c r="RNO23" s="64"/>
      <c r="RNP23" s="64"/>
      <c r="RNQ23" s="64"/>
      <c r="RNR23" s="64"/>
      <c r="RNS23" s="64"/>
      <c r="RNT23" s="64"/>
      <c r="RNU23" s="64"/>
      <c r="RNV23" s="64"/>
      <c r="RNW23" s="64"/>
      <c r="RNX23" s="64"/>
      <c r="RNY23" s="64"/>
      <c r="RNZ23" s="64"/>
      <c r="ROA23" s="64"/>
      <c r="ROB23" s="64"/>
      <c r="ROC23" s="64"/>
      <c r="ROD23" s="64"/>
      <c r="ROE23" s="64"/>
      <c r="ROF23" s="64"/>
      <c r="ROG23" s="64"/>
      <c r="ROH23" s="64"/>
      <c r="ROI23" s="64"/>
      <c r="ROJ23" s="64"/>
      <c r="ROK23" s="64"/>
      <c r="ROL23" s="64"/>
      <c r="ROM23" s="64"/>
      <c r="RON23" s="64"/>
      <c r="ROO23" s="64"/>
      <c r="ROP23" s="64"/>
      <c r="ROQ23" s="64"/>
      <c r="ROR23" s="64"/>
      <c r="ROS23" s="64"/>
      <c r="ROT23" s="64"/>
      <c r="ROU23" s="64"/>
      <c r="ROV23" s="64"/>
      <c r="ROW23" s="64"/>
      <c r="ROX23" s="64"/>
      <c r="ROY23" s="64"/>
      <c r="ROZ23" s="64"/>
      <c r="RPA23" s="64"/>
      <c r="RPB23" s="64"/>
      <c r="RPC23" s="64"/>
      <c r="RPD23" s="64"/>
      <c r="RPE23" s="64"/>
      <c r="RPF23" s="64"/>
      <c r="RPG23" s="64"/>
      <c r="RPH23" s="64"/>
      <c r="RPI23" s="64"/>
      <c r="RPJ23" s="64"/>
      <c r="RPK23" s="64"/>
      <c r="RPL23" s="64"/>
      <c r="RPM23" s="64"/>
      <c r="RPN23" s="64"/>
      <c r="RPO23" s="64"/>
      <c r="RPP23" s="64"/>
      <c r="RPQ23" s="64"/>
      <c r="RPR23" s="64"/>
      <c r="RPS23" s="64"/>
      <c r="RPT23" s="64"/>
      <c r="RPU23" s="64"/>
      <c r="RPV23" s="64"/>
      <c r="RPW23" s="64"/>
      <c r="RPX23" s="64"/>
      <c r="RPY23" s="64"/>
      <c r="RPZ23" s="64"/>
      <c r="RQA23" s="64"/>
      <c r="RQB23" s="64"/>
      <c r="RQC23" s="64"/>
      <c r="RQD23" s="64"/>
      <c r="RQE23" s="64"/>
      <c r="RQF23" s="64"/>
      <c r="RQG23" s="64"/>
      <c r="RQH23" s="64"/>
      <c r="RQI23" s="64"/>
      <c r="RQJ23" s="64"/>
      <c r="RQK23" s="64"/>
      <c r="RQL23" s="64"/>
      <c r="RQM23" s="64"/>
      <c r="RQN23" s="64"/>
      <c r="RQO23" s="64"/>
      <c r="RQP23" s="64"/>
      <c r="RQQ23" s="64"/>
      <c r="RQR23" s="64"/>
      <c r="RQS23" s="64"/>
      <c r="RQT23" s="64"/>
      <c r="RQU23" s="64"/>
      <c r="RQV23" s="64"/>
      <c r="RQW23" s="64"/>
      <c r="RQX23" s="64"/>
      <c r="RQY23" s="64"/>
      <c r="RQZ23" s="64"/>
      <c r="RRA23" s="64"/>
      <c r="RRB23" s="64"/>
      <c r="RRC23" s="64"/>
      <c r="RRD23" s="64"/>
      <c r="RRE23" s="64"/>
      <c r="RRF23" s="64"/>
      <c r="RRG23" s="64"/>
      <c r="RRH23" s="64"/>
      <c r="RRI23" s="64"/>
      <c r="RRJ23" s="64"/>
      <c r="RRK23" s="64"/>
      <c r="RRL23" s="64"/>
      <c r="RRM23" s="64"/>
      <c r="RRN23" s="64"/>
      <c r="RRO23" s="64"/>
      <c r="RRP23" s="64"/>
      <c r="RRQ23" s="64"/>
      <c r="RRR23" s="64"/>
      <c r="RRS23" s="64"/>
      <c r="RRT23" s="64"/>
      <c r="RRU23" s="64"/>
      <c r="RRV23" s="64"/>
      <c r="RRW23" s="64"/>
      <c r="RRX23" s="64"/>
      <c r="RRY23" s="64"/>
      <c r="RRZ23" s="64"/>
      <c r="RSA23" s="64"/>
      <c r="RSB23" s="64"/>
      <c r="RSC23" s="64"/>
      <c r="RSD23" s="64"/>
      <c r="RSE23" s="64"/>
      <c r="RSF23" s="64"/>
      <c r="RSG23" s="64"/>
      <c r="RSH23" s="64"/>
      <c r="RSI23" s="64"/>
      <c r="RSJ23" s="64"/>
      <c r="RSK23" s="64"/>
      <c r="RSL23" s="64"/>
      <c r="RSM23" s="64"/>
      <c r="RSN23" s="64"/>
      <c r="RSO23" s="64"/>
      <c r="RSP23" s="64"/>
      <c r="RSQ23" s="64"/>
      <c r="RSR23" s="64"/>
      <c r="RSS23" s="64"/>
      <c r="RST23" s="64"/>
      <c r="RSU23" s="64"/>
      <c r="RSV23" s="64"/>
      <c r="RSW23" s="64"/>
      <c r="RSX23" s="64"/>
      <c r="RSY23" s="64"/>
      <c r="RSZ23" s="64"/>
      <c r="RTA23" s="64"/>
      <c r="RTB23" s="64"/>
      <c r="RTC23" s="64"/>
      <c r="RTD23" s="64"/>
      <c r="RTE23" s="64"/>
      <c r="RTF23" s="64"/>
      <c r="RTG23" s="64"/>
      <c r="RTH23" s="64"/>
      <c r="RTI23" s="64"/>
      <c r="RTJ23" s="64"/>
      <c r="RTK23" s="64"/>
      <c r="RTL23" s="64"/>
      <c r="RTM23" s="64"/>
      <c r="RTN23" s="64"/>
      <c r="RTO23" s="64"/>
      <c r="RTP23" s="64"/>
      <c r="RTQ23" s="64"/>
      <c r="RTR23" s="64"/>
      <c r="RTS23" s="64"/>
      <c r="RTT23" s="64"/>
      <c r="RTU23" s="64"/>
      <c r="RTV23" s="64"/>
      <c r="RTW23" s="64"/>
      <c r="RTX23" s="64"/>
      <c r="RTY23" s="64"/>
      <c r="RTZ23" s="64"/>
      <c r="RUA23" s="64"/>
      <c r="RUB23" s="64"/>
      <c r="RUC23" s="64"/>
      <c r="RUD23" s="64"/>
      <c r="RUE23" s="64"/>
      <c r="RUF23" s="64"/>
      <c r="RUG23" s="64"/>
      <c r="RUH23" s="64"/>
      <c r="RUI23" s="64"/>
      <c r="RUJ23" s="64"/>
      <c r="RUK23" s="64"/>
      <c r="RUL23" s="64"/>
      <c r="RUM23" s="64"/>
      <c r="RUN23" s="64"/>
      <c r="RUO23" s="64"/>
      <c r="RUP23" s="64"/>
      <c r="RUQ23" s="64"/>
      <c r="RUR23" s="64"/>
      <c r="RUS23" s="64"/>
      <c r="RUT23" s="64"/>
      <c r="RUU23" s="64"/>
      <c r="RUV23" s="64"/>
      <c r="RUW23" s="64"/>
      <c r="RUX23" s="64"/>
      <c r="RUY23" s="64"/>
      <c r="RUZ23" s="64"/>
      <c r="RVA23" s="64"/>
      <c r="RVB23" s="64"/>
      <c r="RVC23" s="64"/>
      <c r="RVD23" s="64"/>
      <c r="RVE23" s="64"/>
      <c r="RVF23" s="64"/>
      <c r="RVG23" s="64"/>
      <c r="RVH23" s="64"/>
      <c r="RVI23" s="64"/>
      <c r="RVJ23" s="64"/>
      <c r="RVK23" s="64"/>
      <c r="RVL23" s="64"/>
      <c r="RVM23" s="64"/>
      <c r="RVN23" s="64"/>
      <c r="RVO23" s="64"/>
      <c r="RVP23" s="64"/>
      <c r="RVQ23" s="64"/>
      <c r="RVR23" s="64"/>
      <c r="RVS23" s="64"/>
      <c r="RVT23" s="64"/>
      <c r="RVU23" s="64"/>
      <c r="RVV23" s="64"/>
      <c r="RVW23" s="64"/>
      <c r="RVX23" s="64"/>
      <c r="RVY23" s="64"/>
      <c r="RVZ23" s="64"/>
      <c r="RWA23" s="64"/>
      <c r="RWB23" s="64"/>
      <c r="RWC23" s="64"/>
      <c r="RWD23" s="64"/>
      <c r="RWE23" s="64"/>
      <c r="RWF23" s="64"/>
      <c r="RWG23" s="64"/>
      <c r="RWH23" s="64"/>
      <c r="RWI23" s="64"/>
      <c r="RWJ23" s="64"/>
      <c r="RWK23" s="64"/>
      <c r="RWL23" s="64"/>
      <c r="RWM23" s="64"/>
      <c r="RWN23" s="64"/>
      <c r="RWO23" s="64"/>
      <c r="RWP23" s="64"/>
      <c r="RWQ23" s="64"/>
      <c r="RWR23" s="64"/>
      <c r="RWS23" s="64"/>
      <c r="RWT23" s="64"/>
      <c r="RWU23" s="64"/>
      <c r="RWV23" s="64"/>
      <c r="RWW23" s="64"/>
      <c r="RWX23" s="64"/>
      <c r="RWY23" s="64"/>
      <c r="RWZ23" s="64"/>
      <c r="RXA23" s="64"/>
      <c r="RXB23" s="64"/>
      <c r="RXC23" s="64"/>
      <c r="RXD23" s="64"/>
      <c r="RXE23" s="64"/>
      <c r="RXF23" s="64"/>
      <c r="RXG23" s="64"/>
      <c r="RXH23" s="64"/>
      <c r="RXI23" s="64"/>
      <c r="RXJ23" s="64"/>
      <c r="RXK23" s="64"/>
      <c r="RXL23" s="64"/>
      <c r="RXM23" s="64"/>
      <c r="RXN23" s="64"/>
      <c r="RXO23" s="64"/>
      <c r="RXP23" s="64"/>
      <c r="RXQ23" s="64"/>
      <c r="RXR23" s="64"/>
      <c r="RXS23" s="64"/>
      <c r="RXT23" s="64"/>
      <c r="RXU23" s="64"/>
      <c r="RXV23" s="64"/>
      <c r="RXW23" s="64"/>
      <c r="RXX23" s="64"/>
      <c r="RXY23" s="64"/>
      <c r="RXZ23" s="64"/>
      <c r="RYA23" s="64"/>
      <c r="RYB23" s="64"/>
      <c r="RYC23" s="64"/>
      <c r="RYD23" s="64"/>
      <c r="RYE23" s="64"/>
      <c r="RYF23" s="64"/>
      <c r="RYG23" s="64"/>
      <c r="RYH23" s="64"/>
      <c r="RYI23" s="64"/>
      <c r="RYJ23" s="64"/>
      <c r="RYK23" s="64"/>
      <c r="RYL23" s="64"/>
      <c r="RYM23" s="64"/>
      <c r="RYN23" s="64"/>
      <c r="RYO23" s="64"/>
      <c r="RYP23" s="64"/>
      <c r="RYQ23" s="64"/>
      <c r="RYR23" s="64"/>
      <c r="RYS23" s="64"/>
      <c r="RYT23" s="64"/>
      <c r="RYU23" s="64"/>
      <c r="RYV23" s="64"/>
      <c r="RYW23" s="64"/>
      <c r="RYX23" s="64"/>
      <c r="RYY23" s="64"/>
      <c r="RYZ23" s="64"/>
      <c r="RZA23" s="64"/>
      <c r="RZB23" s="64"/>
      <c r="RZC23" s="64"/>
      <c r="RZD23" s="64"/>
      <c r="RZE23" s="64"/>
      <c r="RZF23" s="64"/>
      <c r="RZG23" s="64"/>
      <c r="RZH23" s="64"/>
      <c r="RZI23" s="64"/>
      <c r="RZJ23" s="64"/>
      <c r="RZK23" s="64"/>
      <c r="RZL23" s="64"/>
      <c r="RZM23" s="64"/>
      <c r="RZN23" s="64"/>
      <c r="RZO23" s="64"/>
      <c r="RZP23" s="64"/>
      <c r="RZQ23" s="64"/>
      <c r="RZR23" s="64"/>
      <c r="RZS23" s="64"/>
      <c r="RZT23" s="64"/>
      <c r="RZU23" s="64"/>
      <c r="RZV23" s="64"/>
      <c r="RZW23" s="64"/>
      <c r="RZX23" s="64"/>
      <c r="RZY23" s="64"/>
      <c r="RZZ23" s="64"/>
      <c r="SAA23" s="64"/>
      <c r="SAB23" s="64"/>
      <c r="SAC23" s="64"/>
      <c r="SAD23" s="64"/>
      <c r="SAE23" s="64"/>
      <c r="SAF23" s="64"/>
      <c r="SAG23" s="64"/>
      <c r="SAH23" s="64"/>
      <c r="SAI23" s="64"/>
      <c r="SAJ23" s="64"/>
      <c r="SAK23" s="64"/>
      <c r="SAL23" s="64"/>
      <c r="SAM23" s="64"/>
      <c r="SAN23" s="64"/>
      <c r="SAO23" s="64"/>
      <c r="SAP23" s="64"/>
      <c r="SAQ23" s="64"/>
      <c r="SAR23" s="64"/>
      <c r="SAS23" s="64"/>
      <c r="SAT23" s="64"/>
      <c r="SAU23" s="64"/>
      <c r="SAV23" s="64"/>
      <c r="SAW23" s="64"/>
      <c r="SAX23" s="64"/>
      <c r="SAY23" s="64"/>
      <c r="SAZ23" s="64"/>
      <c r="SBA23" s="64"/>
      <c r="SBB23" s="64"/>
      <c r="SBC23" s="64"/>
      <c r="SBD23" s="64"/>
      <c r="SBE23" s="64"/>
      <c r="SBF23" s="64"/>
      <c r="SBG23" s="64"/>
      <c r="SBH23" s="64"/>
      <c r="SBI23" s="64"/>
      <c r="SBJ23" s="64"/>
      <c r="SBK23" s="64"/>
      <c r="SBL23" s="64"/>
      <c r="SBM23" s="64"/>
      <c r="SBN23" s="64"/>
      <c r="SBO23" s="64"/>
      <c r="SBP23" s="64"/>
      <c r="SBQ23" s="64"/>
      <c r="SBR23" s="64"/>
      <c r="SBS23" s="64"/>
      <c r="SBT23" s="64"/>
      <c r="SBU23" s="64"/>
      <c r="SBV23" s="64"/>
      <c r="SBW23" s="64"/>
      <c r="SBX23" s="64"/>
      <c r="SBY23" s="64"/>
      <c r="SBZ23" s="64"/>
      <c r="SCA23" s="64"/>
      <c r="SCB23" s="64"/>
      <c r="SCC23" s="64"/>
      <c r="SCD23" s="64"/>
      <c r="SCE23" s="64"/>
      <c r="SCF23" s="64"/>
      <c r="SCG23" s="64"/>
      <c r="SCH23" s="64"/>
      <c r="SCI23" s="64"/>
      <c r="SCJ23" s="64"/>
      <c r="SCK23" s="64"/>
      <c r="SCL23" s="64"/>
      <c r="SCM23" s="64"/>
      <c r="SCN23" s="64"/>
      <c r="SCO23" s="64"/>
      <c r="SCP23" s="64"/>
      <c r="SCQ23" s="64"/>
      <c r="SCR23" s="64"/>
      <c r="SCS23" s="64"/>
      <c r="SCT23" s="64"/>
      <c r="SCU23" s="64"/>
      <c r="SCV23" s="64"/>
      <c r="SCW23" s="64"/>
      <c r="SCX23" s="64"/>
      <c r="SCY23" s="64"/>
      <c r="SCZ23" s="64"/>
      <c r="SDA23" s="64"/>
      <c r="SDB23" s="64"/>
      <c r="SDC23" s="64"/>
      <c r="SDD23" s="64"/>
      <c r="SDE23" s="64"/>
      <c r="SDF23" s="64"/>
      <c r="SDG23" s="64"/>
      <c r="SDH23" s="64"/>
      <c r="SDI23" s="64"/>
      <c r="SDJ23" s="64"/>
      <c r="SDK23" s="64"/>
      <c r="SDL23" s="64"/>
      <c r="SDM23" s="64"/>
      <c r="SDN23" s="64"/>
      <c r="SDO23" s="64"/>
      <c r="SDP23" s="64"/>
      <c r="SDQ23" s="64"/>
      <c r="SDR23" s="64"/>
      <c r="SDS23" s="64"/>
      <c r="SDT23" s="64"/>
      <c r="SDU23" s="64"/>
      <c r="SDV23" s="64"/>
      <c r="SDW23" s="64"/>
      <c r="SDX23" s="64"/>
      <c r="SDY23" s="64"/>
      <c r="SDZ23" s="64"/>
      <c r="SEA23" s="64"/>
      <c r="SEB23" s="64"/>
      <c r="SEC23" s="64"/>
      <c r="SED23" s="64"/>
      <c r="SEE23" s="64"/>
      <c r="SEF23" s="64"/>
      <c r="SEG23" s="64"/>
      <c r="SEH23" s="64"/>
      <c r="SEI23" s="64"/>
      <c r="SEJ23" s="64"/>
      <c r="SEK23" s="64"/>
      <c r="SEL23" s="64"/>
      <c r="SEM23" s="64"/>
      <c r="SEN23" s="64"/>
      <c r="SEO23" s="64"/>
      <c r="SEP23" s="64"/>
      <c r="SEQ23" s="64"/>
      <c r="SER23" s="64"/>
      <c r="SES23" s="64"/>
      <c r="SET23" s="64"/>
      <c r="SEU23" s="64"/>
      <c r="SEV23" s="64"/>
      <c r="SEW23" s="64"/>
      <c r="SEX23" s="64"/>
      <c r="SEY23" s="64"/>
      <c r="SEZ23" s="64"/>
      <c r="SFA23" s="64"/>
      <c r="SFB23" s="64"/>
      <c r="SFC23" s="64"/>
      <c r="SFD23" s="64"/>
      <c r="SFE23" s="64"/>
      <c r="SFF23" s="64"/>
      <c r="SFG23" s="64"/>
      <c r="SFH23" s="64"/>
      <c r="SFI23" s="64"/>
      <c r="SFJ23" s="64"/>
      <c r="SFK23" s="64"/>
      <c r="SFL23" s="64"/>
      <c r="SFM23" s="64"/>
      <c r="SFN23" s="64"/>
      <c r="SFO23" s="64"/>
      <c r="SFP23" s="64"/>
      <c r="SFQ23" s="64"/>
      <c r="SFR23" s="64"/>
      <c r="SFS23" s="64"/>
      <c r="SFT23" s="64"/>
      <c r="SFU23" s="64"/>
      <c r="SFV23" s="64"/>
      <c r="SFW23" s="64"/>
      <c r="SFX23" s="64"/>
      <c r="SFY23" s="64"/>
      <c r="SFZ23" s="64"/>
      <c r="SGA23" s="64"/>
      <c r="SGB23" s="64"/>
      <c r="SGC23" s="64"/>
      <c r="SGD23" s="64"/>
      <c r="SGE23" s="64"/>
      <c r="SGF23" s="64"/>
      <c r="SGG23" s="64"/>
      <c r="SGH23" s="64"/>
      <c r="SGI23" s="64"/>
      <c r="SGJ23" s="64"/>
      <c r="SGK23" s="64"/>
      <c r="SGL23" s="64"/>
      <c r="SGM23" s="64"/>
      <c r="SGN23" s="64"/>
      <c r="SGO23" s="64"/>
      <c r="SGP23" s="64"/>
      <c r="SGQ23" s="64"/>
      <c r="SGR23" s="64"/>
      <c r="SGS23" s="64"/>
      <c r="SGT23" s="64"/>
      <c r="SGU23" s="64"/>
      <c r="SGV23" s="64"/>
      <c r="SGW23" s="64"/>
      <c r="SGX23" s="64"/>
      <c r="SGY23" s="64"/>
      <c r="SGZ23" s="64"/>
      <c r="SHA23" s="64"/>
      <c r="SHB23" s="64"/>
      <c r="SHC23" s="64"/>
      <c r="SHD23" s="64"/>
      <c r="SHE23" s="64"/>
      <c r="SHF23" s="64"/>
      <c r="SHG23" s="64"/>
      <c r="SHH23" s="64"/>
      <c r="SHI23" s="64"/>
      <c r="SHJ23" s="64"/>
      <c r="SHK23" s="64"/>
      <c r="SHL23" s="64"/>
      <c r="SHM23" s="64"/>
      <c r="SHN23" s="64"/>
      <c r="SHO23" s="64"/>
      <c r="SHP23" s="64"/>
      <c r="SHQ23" s="64"/>
      <c r="SHR23" s="64"/>
      <c r="SHS23" s="64"/>
      <c r="SHT23" s="64"/>
      <c r="SHU23" s="64"/>
      <c r="SHV23" s="64"/>
      <c r="SHW23" s="64"/>
      <c r="SHX23" s="64"/>
      <c r="SHY23" s="64"/>
      <c r="SHZ23" s="64"/>
      <c r="SIA23" s="64"/>
      <c r="SIB23" s="64"/>
      <c r="SIC23" s="64"/>
      <c r="SID23" s="64"/>
      <c r="SIE23" s="64"/>
      <c r="SIF23" s="64"/>
      <c r="SIG23" s="64"/>
      <c r="SIH23" s="64"/>
      <c r="SII23" s="64"/>
      <c r="SIJ23" s="64"/>
      <c r="SIK23" s="64"/>
      <c r="SIL23" s="64"/>
      <c r="SIM23" s="64"/>
      <c r="SIN23" s="64"/>
      <c r="SIO23" s="64"/>
      <c r="SIP23" s="64"/>
      <c r="SIQ23" s="64"/>
      <c r="SIR23" s="64"/>
      <c r="SIS23" s="64"/>
      <c r="SIT23" s="64"/>
      <c r="SIU23" s="64"/>
      <c r="SIV23" s="64"/>
      <c r="SIW23" s="64"/>
      <c r="SIX23" s="64"/>
      <c r="SIY23" s="64"/>
      <c r="SIZ23" s="64"/>
      <c r="SJA23" s="64"/>
      <c r="SJB23" s="64"/>
      <c r="SJC23" s="64"/>
      <c r="SJD23" s="64"/>
      <c r="SJE23" s="64"/>
      <c r="SJF23" s="64"/>
      <c r="SJG23" s="64"/>
      <c r="SJH23" s="64"/>
      <c r="SJI23" s="64"/>
      <c r="SJJ23" s="64"/>
      <c r="SJK23" s="64"/>
      <c r="SJL23" s="64"/>
      <c r="SJM23" s="64"/>
      <c r="SJN23" s="64"/>
      <c r="SJO23" s="64"/>
      <c r="SJP23" s="64"/>
      <c r="SJQ23" s="64"/>
      <c r="SJR23" s="64"/>
      <c r="SJS23" s="64"/>
      <c r="SJT23" s="64"/>
      <c r="SJU23" s="64"/>
      <c r="SJV23" s="64"/>
      <c r="SJW23" s="64"/>
      <c r="SJX23" s="64"/>
      <c r="SJY23" s="64"/>
      <c r="SJZ23" s="64"/>
      <c r="SKA23" s="64"/>
      <c r="SKB23" s="64"/>
      <c r="SKC23" s="64"/>
      <c r="SKD23" s="64"/>
      <c r="SKE23" s="64"/>
      <c r="SKF23" s="64"/>
      <c r="SKG23" s="64"/>
      <c r="SKH23" s="64"/>
      <c r="SKI23" s="64"/>
      <c r="SKJ23" s="64"/>
      <c r="SKK23" s="64"/>
      <c r="SKL23" s="64"/>
      <c r="SKM23" s="64"/>
      <c r="SKN23" s="64"/>
      <c r="SKO23" s="64"/>
      <c r="SKP23" s="64"/>
      <c r="SKQ23" s="64"/>
      <c r="SKR23" s="64"/>
      <c r="SKS23" s="64"/>
      <c r="SKT23" s="64"/>
      <c r="SKU23" s="64"/>
      <c r="SKV23" s="64"/>
      <c r="SKW23" s="64"/>
      <c r="SKX23" s="64"/>
      <c r="SKY23" s="64"/>
      <c r="SKZ23" s="64"/>
      <c r="SLA23" s="64"/>
      <c r="SLB23" s="64"/>
      <c r="SLC23" s="64"/>
      <c r="SLD23" s="64"/>
      <c r="SLE23" s="64"/>
      <c r="SLF23" s="64"/>
      <c r="SLG23" s="64"/>
      <c r="SLH23" s="64"/>
      <c r="SLI23" s="64"/>
      <c r="SLJ23" s="64"/>
      <c r="SLK23" s="64"/>
      <c r="SLL23" s="64"/>
      <c r="SLM23" s="64"/>
      <c r="SLN23" s="64"/>
      <c r="SLO23" s="64"/>
      <c r="SLP23" s="64"/>
      <c r="SLQ23" s="64"/>
      <c r="SLR23" s="64"/>
      <c r="SLS23" s="64"/>
      <c r="SLT23" s="64"/>
      <c r="SLU23" s="64"/>
      <c r="SLV23" s="64"/>
      <c r="SLW23" s="64"/>
      <c r="SLX23" s="64"/>
      <c r="SLY23" s="64"/>
      <c r="SLZ23" s="64"/>
      <c r="SMA23" s="64"/>
      <c r="SMB23" s="64"/>
      <c r="SMC23" s="64"/>
      <c r="SMD23" s="64"/>
      <c r="SME23" s="64"/>
      <c r="SMF23" s="64"/>
      <c r="SMG23" s="64"/>
      <c r="SMH23" s="64"/>
      <c r="SMI23" s="64"/>
      <c r="SMJ23" s="64"/>
      <c r="SMK23" s="64"/>
      <c r="SML23" s="64"/>
      <c r="SMM23" s="64"/>
      <c r="SMN23" s="64"/>
      <c r="SMO23" s="64"/>
      <c r="SMP23" s="64"/>
      <c r="SMQ23" s="64"/>
      <c r="SMR23" s="64"/>
      <c r="SMS23" s="64"/>
      <c r="SMT23" s="64"/>
      <c r="SMU23" s="64"/>
      <c r="SMV23" s="64"/>
      <c r="SMW23" s="64"/>
      <c r="SMX23" s="64"/>
      <c r="SMY23" s="64"/>
      <c r="SMZ23" s="64"/>
      <c r="SNA23" s="64"/>
      <c r="SNB23" s="64"/>
      <c r="SNC23" s="64"/>
      <c r="SND23" s="64"/>
      <c r="SNE23" s="64"/>
      <c r="SNF23" s="64"/>
      <c r="SNG23" s="64"/>
      <c r="SNH23" s="64"/>
      <c r="SNI23" s="64"/>
      <c r="SNJ23" s="64"/>
      <c r="SNK23" s="64"/>
      <c r="SNL23" s="64"/>
      <c r="SNM23" s="64"/>
      <c r="SNN23" s="64"/>
      <c r="SNO23" s="64"/>
      <c r="SNP23" s="64"/>
      <c r="SNQ23" s="64"/>
      <c r="SNR23" s="64"/>
      <c r="SNS23" s="64"/>
      <c r="SNT23" s="64"/>
      <c r="SNU23" s="64"/>
      <c r="SNV23" s="64"/>
      <c r="SNW23" s="64"/>
      <c r="SNX23" s="64"/>
      <c r="SNY23" s="64"/>
      <c r="SNZ23" s="64"/>
      <c r="SOA23" s="64"/>
      <c r="SOB23" s="64"/>
      <c r="SOC23" s="64"/>
      <c r="SOD23" s="64"/>
      <c r="SOE23" s="64"/>
      <c r="SOF23" s="64"/>
      <c r="SOG23" s="64"/>
      <c r="SOH23" s="64"/>
      <c r="SOI23" s="64"/>
      <c r="SOJ23" s="64"/>
      <c r="SOK23" s="64"/>
      <c r="SOL23" s="64"/>
      <c r="SOM23" s="64"/>
      <c r="SON23" s="64"/>
      <c r="SOO23" s="64"/>
      <c r="SOP23" s="64"/>
      <c r="SOQ23" s="64"/>
      <c r="SOR23" s="64"/>
      <c r="SOS23" s="64"/>
      <c r="SOT23" s="64"/>
      <c r="SOU23" s="64"/>
      <c r="SOV23" s="64"/>
      <c r="SOW23" s="64"/>
      <c r="SOX23" s="64"/>
      <c r="SOY23" s="64"/>
      <c r="SOZ23" s="64"/>
      <c r="SPA23" s="64"/>
      <c r="SPB23" s="64"/>
      <c r="SPC23" s="64"/>
      <c r="SPD23" s="64"/>
      <c r="SPE23" s="64"/>
      <c r="SPF23" s="64"/>
      <c r="SPG23" s="64"/>
      <c r="SPH23" s="64"/>
      <c r="SPI23" s="64"/>
      <c r="SPJ23" s="64"/>
      <c r="SPK23" s="64"/>
      <c r="SPL23" s="64"/>
      <c r="SPM23" s="64"/>
      <c r="SPN23" s="64"/>
      <c r="SPO23" s="64"/>
      <c r="SPP23" s="64"/>
      <c r="SPQ23" s="64"/>
      <c r="SPR23" s="64"/>
      <c r="SPS23" s="64"/>
      <c r="SPT23" s="64"/>
      <c r="SPU23" s="64"/>
      <c r="SPV23" s="64"/>
      <c r="SPW23" s="64"/>
      <c r="SPX23" s="64"/>
      <c r="SPY23" s="64"/>
      <c r="SPZ23" s="64"/>
      <c r="SQA23" s="64"/>
      <c r="SQB23" s="64"/>
      <c r="SQC23" s="64"/>
      <c r="SQD23" s="64"/>
      <c r="SQE23" s="64"/>
      <c r="SQF23" s="64"/>
      <c r="SQG23" s="64"/>
      <c r="SQH23" s="64"/>
      <c r="SQI23" s="64"/>
      <c r="SQJ23" s="64"/>
      <c r="SQK23" s="64"/>
      <c r="SQL23" s="64"/>
      <c r="SQM23" s="64"/>
      <c r="SQN23" s="64"/>
      <c r="SQO23" s="64"/>
      <c r="SQP23" s="64"/>
      <c r="SQQ23" s="64"/>
      <c r="SQR23" s="64"/>
      <c r="SQS23" s="64"/>
      <c r="SQT23" s="64"/>
      <c r="SQU23" s="64"/>
      <c r="SQV23" s="64"/>
      <c r="SQW23" s="64"/>
      <c r="SQX23" s="64"/>
      <c r="SQY23" s="64"/>
      <c r="SQZ23" s="64"/>
      <c r="SRA23" s="64"/>
      <c r="SRB23" s="64"/>
      <c r="SRC23" s="64"/>
      <c r="SRD23" s="64"/>
      <c r="SRE23" s="64"/>
      <c r="SRF23" s="64"/>
      <c r="SRG23" s="64"/>
      <c r="SRH23" s="64"/>
      <c r="SRI23" s="64"/>
      <c r="SRJ23" s="64"/>
      <c r="SRK23" s="64"/>
      <c r="SRL23" s="64"/>
      <c r="SRM23" s="64"/>
      <c r="SRN23" s="64"/>
      <c r="SRO23" s="64"/>
      <c r="SRP23" s="64"/>
      <c r="SRQ23" s="64"/>
      <c r="SRR23" s="64"/>
      <c r="SRS23" s="64"/>
      <c r="SRT23" s="64"/>
      <c r="SRU23" s="64"/>
      <c r="SRV23" s="64"/>
      <c r="SRW23" s="64"/>
      <c r="SRX23" s="64"/>
      <c r="SRY23" s="64"/>
      <c r="SRZ23" s="64"/>
      <c r="SSA23" s="64"/>
      <c r="SSB23" s="64"/>
      <c r="SSC23" s="64"/>
      <c r="SSD23" s="64"/>
      <c r="SSE23" s="64"/>
      <c r="SSF23" s="64"/>
      <c r="SSG23" s="64"/>
      <c r="SSH23" s="64"/>
      <c r="SSI23" s="64"/>
      <c r="SSJ23" s="64"/>
      <c r="SSK23" s="64"/>
      <c r="SSL23" s="64"/>
      <c r="SSM23" s="64"/>
      <c r="SSN23" s="64"/>
      <c r="SSO23" s="64"/>
      <c r="SSP23" s="64"/>
      <c r="SSQ23" s="64"/>
      <c r="SSR23" s="64"/>
      <c r="SSS23" s="64"/>
      <c r="SST23" s="64"/>
      <c r="SSU23" s="64"/>
      <c r="SSV23" s="64"/>
      <c r="SSW23" s="64"/>
      <c r="SSX23" s="64"/>
      <c r="SSY23" s="64"/>
      <c r="SSZ23" s="64"/>
      <c r="STA23" s="64"/>
      <c r="STB23" s="64"/>
      <c r="STC23" s="64"/>
      <c r="STD23" s="64"/>
      <c r="STE23" s="64"/>
      <c r="STF23" s="64"/>
      <c r="STG23" s="64"/>
      <c r="STH23" s="64"/>
      <c r="STI23" s="64"/>
      <c r="STJ23" s="64"/>
      <c r="STK23" s="64"/>
      <c r="STL23" s="64"/>
      <c r="STM23" s="64"/>
      <c r="STN23" s="64"/>
      <c r="STO23" s="64"/>
      <c r="STP23" s="64"/>
      <c r="STQ23" s="64"/>
      <c r="STR23" s="64"/>
      <c r="STS23" s="64"/>
      <c r="STT23" s="64"/>
      <c r="STU23" s="64"/>
      <c r="STV23" s="64"/>
      <c r="STW23" s="64"/>
      <c r="STX23" s="64"/>
      <c r="STY23" s="64"/>
      <c r="STZ23" s="64"/>
      <c r="SUA23" s="64"/>
      <c r="SUB23" s="64"/>
      <c r="SUC23" s="64"/>
      <c r="SUD23" s="64"/>
      <c r="SUE23" s="64"/>
      <c r="SUF23" s="64"/>
      <c r="SUG23" s="64"/>
      <c r="SUH23" s="64"/>
      <c r="SUI23" s="64"/>
      <c r="SUJ23" s="64"/>
      <c r="SUK23" s="64"/>
      <c r="SUL23" s="64"/>
      <c r="SUM23" s="64"/>
      <c r="SUN23" s="64"/>
      <c r="SUO23" s="64"/>
      <c r="SUP23" s="64"/>
      <c r="SUQ23" s="64"/>
      <c r="SUR23" s="64"/>
      <c r="SUS23" s="64"/>
      <c r="SUT23" s="64"/>
      <c r="SUU23" s="64"/>
      <c r="SUV23" s="64"/>
      <c r="SUW23" s="64"/>
      <c r="SUX23" s="64"/>
      <c r="SUY23" s="64"/>
      <c r="SUZ23" s="64"/>
      <c r="SVA23" s="64"/>
      <c r="SVB23" s="64"/>
      <c r="SVC23" s="64"/>
      <c r="SVD23" s="64"/>
      <c r="SVE23" s="64"/>
      <c r="SVF23" s="64"/>
      <c r="SVG23" s="64"/>
      <c r="SVH23" s="64"/>
      <c r="SVI23" s="64"/>
      <c r="SVJ23" s="64"/>
      <c r="SVK23" s="64"/>
      <c r="SVL23" s="64"/>
      <c r="SVM23" s="64"/>
      <c r="SVN23" s="64"/>
      <c r="SVO23" s="64"/>
      <c r="SVP23" s="64"/>
      <c r="SVQ23" s="64"/>
      <c r="SVR23" s="64"/>
      <c r="SVS23" s="64"/>
      <c r="SVT23" s="64"/>
      <c r="SVU23" s="64"/>
      <c r="SVV23" s="64"/>
      <c r="SVW23" s="64"/>
      <c r="SVX23" s="64"/>
      <c r="SVY23" s="64"/>
      <c r="SVZ23" s="64"/>
      <c r="SWA23" s="64"/>
      <c r="SWB23" s="64"/>
      <c r="SWC23" s="64"/>
      <c r="SWD23" s="64"/>
      <c r="SWE23" s="64"/>
      <c r="SWF23" s="64"/>
      <c r="SWG23" s="64"/>
      <c r="SWH23" s="64"/>
      <c r="SWI23" s="64"/>
      <c r="SWJ23" s="64"/>
      <c r="SWK23" s="64"/>
      <c r="SWL23" s="64"/>
      <c r="SWM23" s="64"/>
      <c r="SWN23" s="64"/>
      <c r="SWO23" s="64"/>
      <c r="SWP23" s="64"/>
      <c r="SWQ23" s="64"/>
      <c r="SWR23" s="64"/>
      <c r="SWS23" s="64"/>
      <c r="SWT23" s="64"/>
      <c r="SWU23" s="64"/>
      <c r="SWV23" s="64"/>
      <c r="SWW23" s="64"/>
      <c r="SWX23" s="64"/>
      <c r="SWY23" s="64"/>
      <c r="SWZ23" s="64"/>
      <c r="SXA23" s="64"/>
      <c r="SXB23" s="64"/>
      <c r="SXC23" s="64"/>
      <c r="SXD23" s="64"/>
      <c r="SXE23" s="64"/>
      <c r="SXF23" s="64"/>
      <c r="SXG23" s="64"/>
      <c r="SXH23" s="64"/>
      <c r="SXI23" s="64"/>
      <c r="SXJ23" s="64"/>
      <c r="SXK23" s="64"/>
      <c r="SXL23" s="64"/>
      <c r="SXM23" s="64"/>
      <c r="SXN23" s="64"/>
      <c r="SXO23" s="64"/>
      <c r="SXP23" s="64"/>
      <c r="SXQ23" s="64"/>
      <c r="SXR23" s="64"/>
      <c r="SXS23" s="64"/>
      <c r="SXT23" s="64"/>
      <c r="SXU23" s="64"/>
      <c r="SXV23" s="64"/>
      <c r="SXW23" s="64"/>
      <c r="SXX23" s="64"/>
      <c r="SXY23" s="64"/>
      <c r="SXZ23" s="64"/>
      <c r="SYA23" s="64"/>
      <c r="SYB23" s="64"/>
      <c r="SYC23" s="64"/>
      <c r="SYD23" s="64"/>
      <c r="SYE23" s="64"/>
      <c r="SYF23" s="64"/>
      <c r="SYG23" s="64"/>
      <c r="SYH23" s="64"/>
      <c r="SYI23" s="64"/>
      <c r="SYJ23" s="64"/>
      <c r="SYK23" s="64"/>
      <c r="SYL23" s="64"/>
      <c r="SYM23" s="64"/>
      <c r="SYN23" s="64"/>
      <c r="SYO23" s="64"/>
      <c r="SYP23" s="64"/>
      <c r="SYQ23" s="64"/>
      <c r="SYR23" s="64"/>
      <c r="SYS23" s="64"/>
      <c r="SYT23" s="64"/>
      <c r="SYU23" s="64"/>
      <c r="SYV23" s="64"/>
      <c r="SYW23" s="64"/>
      <c r="SYX23" s="64"/>
      <c r="SYY23" s="64"/>
      <c r="SYZ23" s="64"/>
      <c r="SZA23" s="64"/>
      <c r="SZB23" s="64"/>
      <c r="SZC23" s="64"/>
      <c r="SZD23" s="64"/>
      <c r="SZE23" s="64"/>
      <c r="SZF23" s="64"/>
      <c r="SZG23" s="64"/>
      <c r="SZH23" s="64"/>
      <c r="SZI23" s="64"/>
      <c r="SZJ23" s="64"/>
      <c r="SZK23" s="64"/>
      <c r="SZL23" s="64"/>
      <c r="SZM23" s="64"/>
      <c r="SZN23" s="64"/>
      <c r="SZO23" s="64"/>
      <c r="SZP23" s="64"/>
      <c r="SZQ23" s="64"/>
      <c r="SZR23" s="64"/>
      <c r="SZS23" s="64"/>
      <c r="SZT23" s="64"/>
      <c r="SZU23" s="64"/>
      <c r="SZV23" s="64"/>
      <c r="SZW23" s="64"/>
      <c r="SZX23" s="64"/>
      <c r="SZY23" s="64"/>
      <c r="SZZ23" s="64"/>
      <c r="TAA23" s="64"/>
      <c r="TAB23" s="64"/>
      <c r="TAC23" s="64"/>
      <c r="TAD23" s="64"/>
      <c r="TAE23" s="64"/>
      <c r="TAF23" s="64"/>
      <c r="TAG23" s="64"/>
      <c r="TAH23" s="64"/>
      <c r="TAI23" s="64"/>
      <c r="TAJ23" s="64"/>
      <c r="TAK23" s="64"/>
      <c r="TAL23" s="64"/>
      <c r="TAM23" s="64"/>
      <c r="TAN23" s="64"/>
      <c r="TAO23" s="64"/>
      <c r="TAP23" s="64"/>
      <c r="TAQ23" s="64"/>
      <c r="TAR23" s="64"/>
      <c r="TAS23" s="64"/>
      <c r="TAT23" s="64"/>
      <c r="TAU23" s="64"/>
      <c r="TAV23" s="64"/>
      <c r="TAW23" s="64"/>
      <c r="TAX23" s="64"/>
      <c r="TAY23" s="64"/>
      <c r="TAZ23" s="64"/>
      <c r="TBA23" s="64"/>
      <c r="TBB23" s="64"/>
      <c r="TBC23" s="64"/>
      <c r="TBD23" s="64"/>
      <c r="TBE23" s="64"/>
      <c r="TBF23" s="64"/>
      <c r="TBG23" s="64"/>
      <c r="TBH23" s="64"/>
      <c r="TBI23" s="64"/>
      <c r="TBJ23" s="64"/>
      <c r="TBK23" s="64"/>
      <c r="TBL23" s="64"/>
      <c r="TBM23" s="64"/>
      <c r="TBN23" s="64"/>
      <c r="TBO23" s="64"/>
      <c r="TBP23" s="64"/>
      <c r="TBQ23" s="64"/>
      <c r="TBR23" s="64"/>
      <c r="TBS23" s="64"/>
      <c r="TBT23" s="64"/>
      <c r="TBU23" s="64"/>
      <c r="TBV23" s="64"/>
      <c r="TBW23" s="64"/>
      <c r="TBX23" s="64"/>
      <c r="TBY23" s="64"/>
      <c r="TBZ23" s="64"/>
      <c r="TCA23" s="64"/>
      <c r="TCB23" s="64"/>
      <c r="TCC23" s="64"/>
      <c r="TCD23" s="64"/>
      <c r="TCE23" s="64"/>
      <c r="TCF23" s="64"/>
      <c r="TCG23" s="64"/>
      <c r="TCH23" s="64"/>
      <c r="TCI23" s="64"/>
      <c r="TCJ23" s="64"/>
      <c r="TCK23" s="64"/>
      <c r="TCL23" s="64"/>
      <c r="TCM23" s="64"/>
      <c r="TCN23" s="64"/>
      <c r="TCO23" s="64"/>
      <c r="TCP23" s="64"/>
      <c r="TCQ23" s="64"/>
      <c r="TCR23" s="64"/>
      <c r="TCS23" s="64"/>
      <c r="TCT23" s="64"/>
      <c r="TCU23" s="64"/>
      <c r="TCV23" s="64"/>
      <c r="TCW23" s="64"/>
      <c r="TCX23" s="64"/>
      <c r="TCY23" s="64"/>
      <c r="TCZ23" s="64"/>
      <c r="TDA23" s="64"/>
      <c r="TDB23" s="64"/>
      <c r="TDC23" s="64"/>
      <c r="TDD23" s="64"/>
      <c r="TDE23" s="64"/>
      <c r="TDF23" s="64"/>
      <c r="TDG23" s="64"/>
      <c r="TDH23" s="64"/>
      <c r="TDI23" s="64"/>
      <c r="TDJ23" s="64"/>
      <c r="TDK23" s="64"/>
      <c r="TDL23" s="64"/>
      <c r="TDM23" s="64"/>
      <c r="TDN23" s="64"/>
      <c r="TDO23" s="64"/>
      <c r="TDP23" s="64"/>
      <c r="TDQ23" s="64"/>
      <c r="TDR23" s="64"/>
      <c r="TDS23" s="64"/>
      <c r="TDT23" s="64"/>
      <c r="TDU23" s="64"/>
      <c r="TDV23" s="64"/>
      <c r="TDW23" s="64"/>
      <c r="TDX23" s="64"/>
      <c r="TDY23" s="64"/>
      <c r="TDZ23" s="64"/>
      <c r="TEA23" s="64"/>
      <c r="TEB23" s="64"/>
      <c r="TEC23" s="64"/>
      <c r="TED23" s="64"/>
      <c r="TEE23" s="64"/>
      <c r="TEF23" s="64"/>
      <c r="TEG23" s="64"/>
      <c r="TEH23" s="64"/>
      <c r="TEI23" s="64"/>
      <c r="TEJ23" s="64"/>
      <c r="TEK23" s="64"/>
      <c r="TEL23" s="64"/>
      <c r="TEM23" s="64"/>
      <c r="TEN23" s="64"/>
      <c r="TEO23" s="64"/>
      <c r="TEP23" s="64"/>
      <c r="TEQ23" s="64"/>
      <c r="TER23" s="64"/>
      <c r="TES23" s="64"/>
      <c r="TET23" s="64"/>
      <c r="TEU23" s="64"/>
      <c r="TEV23" s="64"/>
      <c r="TEW23" s="64"/>
      <c r="TEX23" s="64"/>
      <c r="TEY23" s="64"/>
      <c r="TEZ23" s="64"/>
      <c r="TFA23" s="64"/>
      <c r="TFB23" s="64"/>
      <c r="TFC23" s="64"/>
      <c r="TFD23" s="64"/>
      <c r="TFE23" s="64"/>
      <c r="TFF23" s="64"/>
      <c r="TFG23" s="64"/>
      <c r="TFH23" s="64"/>
      <c r="TFI23" s="64"/>
      <c r="TFJ23" s="64"/>
      <c r="TFK23" s="64"/>
      <c r="TFL23" s="64"/>
      <c r="TFM23" s="64"/>
      <c r="TFN23" s="64"/>
      <c r="TFO23" s="64"/>
      <c r="TFP23" s="64"/>
      <c r="TFQ23" s="64"/>
      <c r="TFR23" s="64"/>
      <c r="TFS23" s="64"/>
      <c r="TFT23" s="64"/>
      <c r="TFU23" s="64"/>
      <c r="TFV23" s="64"/>
      <c r="TFW23" s="64"/>
      <c r="TFX23" s="64"/>
      <c r="TFY23" s="64"/>
      <c r="TFZ23" s="64"/>
      <c r="TGA23" s="64"/>
      <c r="TGB23" s="64"/>
      <c r="TGC23" s="64"/>
      <c r="TGD23" s="64"/>
      <c r="TGE23" s="64"/>
      <c r="TGF23" s="64"/>
      <c r="TGG23" s="64"/>
      <c r="TGH23" s="64"/>
      <c r="TGI23" s="64"/>
      <c r="TGJ23" s="64"/>
      <c r="TGK23" s="64"/>
      <c r="TGL23" s="64"/>
      <c r="TGM23" s="64"/>
      <c r="TGN23" s="64"/>
      <c r="TGO23" s="64"/>
      <c r="TGP23" s="64"/>
      <c r="TGQ23" s="64"/>
      <c r="TGR23" s="64"/>
      <c r="TGS23" s="64"/>
      <c r="TGT23" s="64"/>
      <c r="TGU23" s="64"/>
      <c r="TGV23" s="64"/>
      <c r="TGW23" s="64"/>
      <c r="TGX23" s="64"/>
      <c r="TGY23" s="64"/>
      <c r="TGZ23" s="64"/>
      <c r="THA23" s="64"/>
      <c r="THB23" s="64"/>
      <c r="THC23" s="64"/>
      <c r="THD23" s="64"/>
      <c r="THE23" s="64"/>
      <c r="THF23" s="64"/>
      <c r="THG23" s="64"/>
      <c r="THH23" s="64"/>
      <c r="THI23" s="64"/>
      <c r="THJ23" s="64"/>
      <c r="THK23" s="64"/>
      <c r="THL23" s="64"/>
      <c r="THM23" s="64"/>
      <c r="THN23" s="64"/>
      <c r="THO23" s="64"/>
      <c r="THP23" s="64"/>
      <c r="THQ23" s="64"/>
      <c r="THR23" s="64"/>
      <c r="THS23" s="64"/>
      <c r="THT23" s="64"/>
      <c r="THU23" s="64"/>
      <c r="THV23" s="64"/>
      <c r="THW23" s="64"/>
      <c r="THX23" s="64"/>
      <c r="THY23" s="64"/>
      <c r="THZ23" s="64"/>
      <c r="TIA23" s="64"/>
      <c r="TIB23" s="64"/>
      <c r="TIC23" s="64"/>
      <c r="TID23" s="64"/>
      <c r="TIE23" s="64"/>
      <c r="TIF23" s="64"/>
      <c r="TIG23" s="64"/>
      <c r="TIH23" s="64"/>
      <c r="TII23" s="64"/>
      <c r="TIJ23" s="64"/>
      <c r="TIK23" s="64"/>
      <c r="TIL23" s="64"/>
      <c r="TIM23" s="64"/>
      <c r="TIN23" s="64"/>
      <c r="TIO23" s="64"/>
      <c r="TIP23" s="64"/>
      <c r="TIQ23" s="64"/>
      <c r="TIR23" s="64"/>
      <c r="TIS23" s="64"/>
      <c r="TIT23" s="64"/>
      <c r="TIU23" s="64"/>
      <c r="TIV23" s="64"/>
      <c r="TIW23" s="64"/>
      <c r="TIX23" s="64"/>
      <c r="TIY23" s="64"/>
      <c r="TIZ23" s="64"/>
      <c r="TJA23" s="64"/>
      <c r="TJB23" s="64"/>
      <c r="TJC23" s="64"/>
      <c r="TJD23" s="64"/>
      <c r="TJE23" s="64"/>
      <c r="TJF23" s="64"/>
      <c r="TJG23" s="64"/>
      <c r="TJH23" s="64"/>
      <c r="TJI23" s="64"/>
      <c r="TJJ23" s="64"/>
      <c r="TJK23" s="64"/>
      <c r="TJL23" s="64"/>
      <c r="TJM23" s="64"/>
      <c r="TJN23" s="64"/>
      <c r="TJO23" s="64"/>
      <c r="TJP23" s="64"/>
      <c r="TJQ23" s="64"/>
      <c r="TJR23" s="64"/>
      <c r="TJS23" s="64"/>
      <c r="TJT23" s="64"/>
      <c r="TJU23" s="64"/>
      <c r="TJV23" s="64"/>
      <c r="TJW23" s="64"/>
      <c r="TJX23" s="64"/>
      <c r="TJY23" s="64"/>
      <c r="TJZ23" s="64"/>
      <c r="TKA23" s="64"/>
      <c r="TKB23" s="64"/>
      <c r="TKC23" s="64"/>
      <c r="TKD23" s="64"/>
      <c r="TKE23" s="64"/>
      <c r="TKF23" s="64"/>
      <c r="TKG23" s="64"/>
      <c r="TKH23" s="64"/>
      <c r="TKI23" s="64"/>
      <c r="TKJ23" s="64"/>
      <c r="TKK23" s="64"/>
      <c r="TKL23" s="64"/>
      <c r="TKM23" s="64"/>
      <c r="TKN23" s="64"/>
      <c r="TKO23" s="64"/>
      <c r="TKP23" s="64"/>
      <c r="TKQ23" s="64"/>
      <c r="TKR23" s="64"/>
      <c r="TKS23" s="64"/>
      <c r="TKT23" s="64"/>
      <c r="TKU23" s="64"/>
      <c r="TKV23" s="64"/>
      <c r="TKW23" s="64"/>
      <c r="TKX23" s="64"/>
      <c r="TKY23" s="64"/>
      <c r="TKZ23" s="64"/>
      <c r="TLA23" s="64"/>
      <c r="TLB23" s="64"/>
      <c r="TLC23" s="64"/>
      <c r="TLD23" s="64"/>
      <c r="TLE23" s="64"/>
      <c r="TLF23" s="64"/>
      <c r="TLG23" s="64"/>
      <c r="TLH23" s="64"/>
      <c r="TLI23" s="64"/>
      <c r="TLJ23" s="64"/>
      <c r="TLK23" s="64"/>
      <c r="TLL23" s="64"/>
      <c r="TLM23" s="64"/>
      <c r="TLN23" s="64"/>
      <c r="TLO23" s="64"/>
      <c r="TLP23" s="64"/>
      <c r="TLQ23" s="64"/>
      <c r="TLR23" s="64"/>
      <c r="TLS23" s="64"/>
      <c r="TLT23" s="64"/>
      <c r="TLU23" s="64"/>
      <c r="TLV23" s="64"/>
      <c r="TLW23" s="64"/>
      <c r="TLX23" s="64"/>
      <c r="TLY23" s="64"/>
      <c r="TLZ23" s="64"/>
      <c r="TMA23" s="64"/>
      <c r="TMB23" s="64"/>
      <c r="TMC23" s="64"/>
      <c r="TMD23" s="64"/>
      <c r="TME23" s="64"/>
      <c r="TMF23" s="64"/>
      <c r="TMG23" s="64"/>
      <c r="TMH23" s="64"/>
      <c r="TMI23" s="64"/>
      <c r="TMJ23" s="64"/>
      <c r="TMK23" s="64"/>
      <c r="TML23" s="64"/>
      <c r="TMM23" s="64"/>
      <c r="TMN23" s="64"/>
      <c r="TMO23" s="64"/>
      <c r="TMP23" s="64"/>
      <c r="TMQ23" s="64"/>
      <c r="TMR23" s="64"/>
      <c r="TMS23" s="64"/>
      <c r="TMT23" s="64"/>
      <c r="TMU23" s="64"/>
      <c r="TMV23" s="64"/>
      <c r="TMW23" s="64"/>
      <c r="TMX23" s="64"/>
      <c r="TMY23" s="64"/>
      <c r="TMZ23" s="64"/>
      <c r="TNA23" s="64"/>
      <c r="TNB23" s="64"/>
      <c r="TNC23" s="64"/>
      <c r="TND23" s="64"/>
      <c r="TNE23" s="64"/>
      <c r="TNF23" s="64"/>
      <c r="TNG23" s="64"/>
      <c r="TNH23" s="64"/>
      <c r="TNI23" s="64"/>
      <c r="TNJ23" s="64"/>
      <c r="TNK23" s="64"/>
      <c r="TNL23" s="64"/>
      <c r="TNM23" s="64"/>
      <c r="TNN23" s="64"/>
      <c r="TNO23" s="64"/>
      <c r="TNP23" s="64"/>
      <c r="TNQ23" s="64"/>
      <c r="TNR23" s="64"/>
      <c r="TNS23" s="64"/>
      <c r="TNT23" s="64"/>
      <c r="TNU23" s="64"/>
      <c r="TNV23" s="64"/>
      <c r="TNW23" s="64"/>
      <c r="TNX23" s="64"/>
      <c r="TNY23" s="64"/>
      <c r="TNZ23" s="64"/>
      <c r="TOA23" s="64"/>
      <c r="TOB23" s="64"/>
      <c r="TOC23" s="64"/>
      <c r="TOD23" s="64"/>
      <c r="TOE23" s="64"/>
      <c r="TOF23" s="64"/>
      <c r="TOG23" s="64"/>
      <c r="TOH23" s="64"/>
      <c r="TOI23" s="64"/>
      <c r="TOJ23" s="64"/>
      <c r="TOK23" s="64"/>
      <c r="TOL23" s="64"/>
      <c r="TOM23" s="64"/>
      <c r="TON23" s="64"/>
      <c r="TOO23" s="64"/>
      <c r="TOP23" s="64"/>
      <c r="TOQ23" s="64"/>
      <c r="TOR23" s="64"/>
      <c r="TOS23" s="64"/>
      <c r="TOT23" s="64"/>
      <c r="TOU23" s="64"/>
      <c r="TOV23" s="64"/>
      <c r="TOW23" s="64"/>
      <c r="TOX23" s="64"/>
      <c r="TOY23" s="64"/>
      <c r="TOZ23" s="64"/>
      <c r="TPA23" s="64"/>
      <c r="TPB23" s="64"/>
      <c r="TPC23" s="64"/>
      <c r="TPD23" s="64"/>
      <c r="TPE23" s="64"/>
      <c r="TPF23" s="64"/>
      <c r="TPG23" s="64"/>
      <c r="TPH23" s="64"/>
      <c r="TPI23" s="64"/>
      <c r="TPJ23" s="64"/>
      <c r="TPK23" s="64"/>
      <c r="TPL23" s="64"/>
      <c r="TPM23" s="64"/>
      <c r="TPN23" s="64"/>
      <c r="TPO23" s="64"/>
      <c r="TPP23" s="64"/>
      <c r="TPQ23" s="64"/>
      <c r="TPR23" s="64"/>
      <c r="TPS23" s="64"/>
      <c r="TPT23" s="64"/>
      <c r="TPU23" s="64"/>
      <c r="TPV23" s="64"/>
      <c r="TPW23" s="64"/>
      <c r="TPX23" s="64"/>
      <c r="TPY23" s="64"/>
      <c r="TPZ23" s="64"/>
      <c r="TQA23" s="64"/>
      <c r="TQB23" s="64"/>
      <c r="TQC23" s="64"/>
      <c r="TQD23" s="64"/>
      <c r="TQE23" s="64"/>
      <c r="TQF23" s="64"/>
      <c r="TQG23" s="64"/>
      <c r="TQH23" s="64"/>
      <c r="TQI23" s="64"/>
      <c r="TQJ23" s="64"/>
      <c r="TQK23" s="64"/>
      <c r="TQL23" s="64"/>
      <c r="TQM23" s="64"/>
      <c r="TQN23" s="64"/>
      <c r="TQO23" s="64"/>
      <c r="TQP23" s="64"/>
      <c r="TQQ23" s="64"/>
      <c r="TQR23" s="64"/>
      <c r="TQS23" s="64"/>
      <c r="TQT23" s="64"/>
      <c r="TQU23" s="64"/>
      <c r="TQV23" s="64"/>
      <c r="TQW23" s="64"/>
      <c r="TQX23" s="64"/>
      <c r="TQY23" s="64"/>
      <c r="TQZ23" s="64"/>
      <c r="TRA23" s="64"/>
      <c r="TRB23" s="64"/>
      <c r="TRC23" s="64"/>
      <c r="TRD23" s="64"/>
      <c r="TRE23" s="64"/>
      <c r="TRF23" s="64"/>
      <c r="TRG23" s="64"/>
      <c r="TRH23" s="64"/>
      <c r="TRI23" s="64"/>
      <c r="TRJ23" s="64"/>
      <c r="TRK23" s="64"/>
      <c r="TRL23" s="64"/>
      <c r="TRM23" s="64"/>
      <c r="TRN23" s="64"/>
      <c r="TRO23" s="64"/>
      <c r="TRP23" s="64"/>
      <c r="TRQ23" s="64"/>
      <c r="TRR23" s="64"/>
      <c r="TRS23" s="64"/>
      <c r="TRT23" s="64"/>
      <c r="TRU23" s="64"/>
      <c r="TRV23" s="64"/>
      <c r="TRW23" s="64"/>
      <c r="TRX23" s="64"/>
      <c r="TRY23" s="64"/>
      <c r="TRZ23" s="64"/>
      <c r="TSA23" s="64"/>
      <c r="TSB23" s="64"/>
      <c r="TSC23" s="64"/>
      <c r="TSD23" s="64"/>
      <c r="TSE23" s="64"/>
      <c r="TSF23" s="64"/>
      <c r="TSG23" s="64"/>
      <c r="TSH23" s="64"/>
      <c r="TSI23" s="64"/>
      <c r="TSJ23" s="64"/>
      <c r="TSK23" s="64"/>
      <c r="TSL23" s="64"/>
      <c r="TSM23" s="64"/>
      <c r="TSN23" s="64"/>
      <c r="TSO23" s="64"/>
      <c r="TSP23" s="64"/>
      <c r="TSQ23" s="64"/>
      <c r="TSR23" s="64"/>
      <c r="TSS23" s="64"/>
      <c r="TST23" s="64"/>
      <c r="TSU23" s="64"/>
      <c r="TSV23" s="64"/>
      <c r="TSW23" s="64"/>
      <c r="TSX23" s="64"/>
      <c r="TSY23" s="64"/>
      <c r="TSZ23" s="64"/>
      <c r="TTA23" s="64"/>
      <c r="TTB23" s="64"/>
      <c r="TTC23" s="64"/>
      <c r="TTD23" s="64"/>
      <c r="TTE23" s="64"/>
      <c r="TTF23" s="64"/>
      <c r="TTG23" s="64"/>
      <c r="TTH23" s="64"/>
      <c r="TTI23" s="64"/>
      <c r="TTJ23" s="64"/>
      <c r="TTK23" s="64"/>
      <c r="TTL23" s="64"/>
      <c r="TTM23" s="64"/>
      <c r="TTN23" s="64"/>
      <c r="TTO23" s="64"/>
      <c r="TTP23" s="64"/>
      <c r="TTQ23" s="64"/>
      <c r="TTR23" s="64"/>
      <c r="TTS23" s="64"/>
      <c r="TTT23" s="64"/>
      <c r="TTU23" s="64"/>
      <c r="TTV23" s="64"/>
      <c r="TTW23" s="64"/>
      <c r="TTX23" s="64"/>
      <c r="TTY23" s="64"/>
      <c r="TTZ23" s="64"/>
      <c r="TUA23" s="64"/>
      <c r="TUB23" s="64"/>
      <c r="TUC23" s="64"/>
      <c r="TUD23" s="64"/>
      <c r="TUE23" s="64"/>
      <c r="TUF23" s="64"/>
      <c r="TUG23" s="64"/>
      <c r="TUH23" s="64"/>
      <c r="TUI23" s="64"/>
      <c r="TUJ23" s="64"/>
      <c r="TUK23" s="64"/>
      <c r="TUL23" s="64"/>
      <c r="TUM23" s="64"/>
      <c r="TUN23" s="64"/>
      <c r="TUO23" s="64"/>
      <c r="TUP23" s="64"/>
      <c r="TUQ23" s="64"/>
      <c r="TUR23" s="64"/>
      <c r="TUS23" s="64"/>
      <c r="TUT23" s="64"/>
      <c r="TUU23" s="64"/>
      <c r="TUV23" s="64"/>
      <c r="TUW23" s="64"/>
      <c r="TUX23" s="64"/>
      <c r="TUY23" s="64"/>
      <c r="TUZ23" s="64"/>
      <c r="TVA23" s="64"/>
      <c r="TVB23" s="64"/>
      <c r="TVC23" s="64"/>
      <c r="TVD23" s="64"/>
      <c r="TVE23" s="64"/>
      <c r="TVF23" s="64"/>
      <c r="TVG23" s="64"/>
      <c r="TVH23" s="64"/>
      <c r="TVI23" s="64"/>
      <c r="TVJ23" s="64"/>
      <c r="TVK23" s="64"/>
      <c r="TVL23" s="64"/>
      <c r="TVM23" s="64"/>
      <c r="TVN23" s="64"/>
      <c r="TVO23" s="64"/>
      <c r="TVP23" s="64"/>
      <c r="TVQ23" s="64"/>
      <c r="TVR23" s="64"/>
      <c r="TVS23" s="64"/>
      <c r="TVT23" s="64"/>
      <c r="TVU23" s="64"/>
      <c r="TVV23" s="64"/>
      <c r="TVW23" s="64"/>
      <c r="TVX23" s="64"/>
      <c r="TVY23" s="64"/>
      <c r="TVZ23" s="64"/>
      <c r="TWA23" s="64"/>
      <c r="TWB23" s="64"/>
      <c r="TWC23" s="64"/>
      <c r="TWD23" s="64"/>
      <c r="TWE23" s="64"/>
      <c r="TWF23" s="64"/>
      <c r="TWG23" s="64"/>
      <c r="TWH23" s="64"/>
      <c r="TWI23" s="64"/>
      <c r="TWJ23" s="64"/>
      <c r="TWK23" s="64"/>
      <c r="TWL23" s="64"/>
      <c r="TWM23" s="64"/>
      <c r="TWN23" s="64"/>
      <c r="TWO23" s="64"/>
      <c r="TWP23" s="64"/>
      <c r="TWQ23" s="64"/>
      <c r="TWR23" s="64"/>
      <c r="TWS23" s="64"/>
      <c r="TWT23" s="64"/>
      <c r="TWU23" s="64"/>
      <c r="TWV23" s="64"/>
      <c r="TWW23" s="64"/>
      <c r="TWX23" s="64"/>
      <c r="TWY23" s="64"/>
      <c r="TWZ23" s="64"/>
      <c r="TXA23" s="64"/>
      <c r="TXB23" s="64"/>
      <c r="TXC23" s="64"/>
      <c r="TXD23" s="64"/>
      <c r="TXE23" s="64"/>
      <c r="TXF23" s="64"/>
      <c r="TXG23" s="64"/>
      <c r="TXH23" s="64"/>
      <c r="TXI23" s="64"/>
      <c r="TXJ23" s="64"/>
      <c r="TXK23" s="64"/>
      <c r="TXL23" s="64"/>
      <c r="TXM23" s="64"/>
      <c r="TXN23" s="64"/>
      <c r="TXO23" s="64"/>
      <c r="TXP23" s="64"/>
      <c r="TXQ23" s="64"/>
      <c r="TXR23" s="64"/>
      <c r="TXS23" s="64"/>
      <c r="TXT23" s="64"/>
      <c r="TXU23" s="64"/>
      <c r="TXV23" s="64"/>
      <c r="TXW23" s="64"/>
      <c r="TXX23" s="64"/>
      <c r="TXY23" s="64"/>
      <c r="TXZ23" s="64"/>
      <c r="TYA23" s="64"/>
      <c r="TYB23" s="64"/>
      <c r="TYC23" s="64"/>
      <c r="TYD23" s="64"/>
      <c r="TYE23" s="64"/>
      <c r="TYF23" s="64"/>
      <c r="TYG23" s="64"/>
      <c r="TYH23" s="64"/>
      <c r="TYI23" s="64"/>
      <c r="TYJ23" s="64"/>
      <c r="TYK23" s="64"/>
      <c r="TYL23" s="64"/>
      <c r="TYM23" s="64"/>
      <c r="TYN23" s="64"/>
      <c r="TYO23" s="64"/>
      <c r="TYP23" s="64"/>
      <c r="TYQ23" s="64"/>
      <c r="TYR23" s="64"/>
      <c r="TYS23" s="64"/>
      <c r="TYT23" s="64"/>
      <c r="TYU23" s="64"/>
      <c r="TYV23" s="64"/>
      <c r="TYW23" s="64"/>
      <c r="TYX23" s="64"/>
      <c r="TYY23" s="64"/>
      <c r="TYZ23" s="64"/>
      <c r="TZA23" s="64"/>
      <c r="TZB23" s="64"/>
      <c r="TZC23" s="64"/>
      <c r="TZD23" s="64"/>
      <c r="TZE23" s="64"/>
      <c r="TZF23" s="64"/>
      <c r="TZG23" s="64"/>
      <c r="TZH23" s="64"/>
      <c r="TZI23" s="64"/>
      <c r="TZJ23" s="64"/>
      <c r="TZK23" s="64"/>
      <c r="TZL23" s="64"/>
      <c r="TZM23" s="64"/>
      <c r="TZN23" s="64"/>
      <c r="TZO23" s="64"/>
      <c r="TZP23" s="64"/>
      <c r="TZQ23" s="64"/>
      <c r="TZR23" s="64"/>
      <c r="TZS23" s="64"/>
      <c r="TZT23" s="64"/>
      <c r="TZU23" s="64"/>
      <c r="TZV23" s="64"/>
      <c r="TZW23" s="64"/>
      <c r="TZX23" s="64"/>
      <c r="TZY23" s="64"/>
      <c r="TZZ23" s="64"/>
      <c r="UAA23" s="64"/>
      <c r="UAB23" s="64"/>
      <c r="UAC23" s="64"/>
      <c r="UAD23" s="64"/>
      <c r="UAE23" s="64"/>
      <c r="UAF23" s="64"/>
      <c r="UAG23" s="64"/>
      <c r="UAH23" s="64"/>
      <c r="UAI23" s="64"/>
      <c r="UAJ23" s="64"/>
      <c r="UAK23" s="64"/>
      <c r="UAL23" s="64"/>
      <c r="UAM23" s="64"/>
      <c r="UAN23" s="64"/>
      <c r="UAO23" s="64"/>
      <c r="UAP23" s="64"/>
      <c r="UAQ23" s="64"/>
      <c r="UAR23" s="64"/>
      <c r="UAS23" s="64"/>
      <c r="UAT23" s="64"/>
      <c r="UAU23" s="64"/>
      <c r="UAV23" s="64"/>
      <c r="UAW23" s="64"/>
      <c r="UAX23" s="64"/>
      <c r="UAY23" s="64"/>
      <c r="UAZ23" s="64"/>
      <c r="UBA23" s="64"/>
      <c r="UBB23" s="64"/>
      <c r="UBC23" s="64"/>
      <c r="UBD23" s="64"/>
      <c r="UBE23" s="64"/>
      <c r="UBF23" s="64"/>
      <c r="UBG23" s="64"/>
      <c r="UBH23" s="64"/>
      <c r="UBI23" s="64"/>
      <c r="UBJ23" s="64"/>
      <c r="UBK23" s="64"/>
      <c r="UBL23" s="64"/>
      <c r="UBM23" s="64"/>
      <c r="UBN23" s="64"/>
      <c r="UBO23" s="64"/>
      <c r="UBP23" s="64"/>
      <c r="UBQ23" s="64"/>
      <c r="UBR23" s="64"/>
      <c r="UBS23" s="64"/>
      <c r="UBT23" s="64"/>
      <c r="UBU23" s="64"/>
      <c r="UBV23" s="64"/>
      <c r="UBW23" s="64"/>
      <c r="UBX23" s="64"/>
      <c r="UBY23" s="64"/>
      <c r="UBZ23" s="64"/>
      <c r="UCA23" s="64"/>
      <c r="UCB23" s="64"/>
      <c r="UCC23" s="64"/>
      <c r="UCD23" s="64"/>
      <c r="UCE23" s="64"/>
      <c r="UCF23" s="64"/>
      <c r="UCG23" s="64"/>
      <c r="UCH23" s="64"/>
      <c r="UCI23" s="64"/>
      <c r="UCJ23" s="64"/>
      <c r="UCK23" s="64"/>
      <c r="UCL23" s="64"/>
      <c r="UCM23" s="64"/>
      <c r="UCN23" s="64"/>
      <c r="UCO23" s="64"/>
      <c r="UCP23" s="64"/>
      <c r="UCQ23" s="64"/>
      <c r="UCR23" s="64"/>
      <c r="UCS23" s="64"/>
      <c r="UCT23" s="64"/>
      <c r="UCU23" s="64"/>
      <c r="UCV23" s="64"/>
      <c r="UCW23" s="64"/>
      <c r="UCX23" s="64"/>
      <c r="UCY23" s="64"/>
      <c r="UCZ23" s="64"/>
      <c r="UDA23" s="64"/>
      <c r="UDB23" s="64"/>
      <c r="UDC23" s="64"/>
      <c r="UDD23" s="64"/>
      <c r="UDE23" s="64"/>
      <c r="UDF23" s="64"/>
      <c r="UDG23" s="64"/>
      <c r="UDH23" s="64"/>
      <c r="UDI23" s="64"/>
      <c r="UDJ23" s="64"/>
      <c r="UDK23" s="64"/>
      <c r="UDL23" s="64"/>
      <c r="UDM23" s="64"/>
      <c r="UDN23" s="64"/>
      <c r="UDO23" s="64"/>
      <c r="UDP23" s="64"/>
      <c r="UDQ23" s="64"/>
      <c r="UDR23" s="64"/>
      <c r="UDS23" s="64"/>
      <c r="UDT23" s="64"/>
      <c r="UDU23" s="64"/>
      <c r="UDV23" s="64"/>
      <c r="UDW23" s="64"/>
      <c r="UDX23" s="64"/>
      <c r="UDY23" s="64"/>
      <c r="UDZ23" s="64"/>
      <c r="UEA23" s="64"/>
      <c r="UEB23" s="64"/>
      <c r="UEC23" s="64"/>
      <c r="UED23" s="64"/>
      <c r="UEE23" s="64"/>
      <c r="UEF23" s="64"/>
      <c r="UEG23" s="64"/>
      <c r="UEH23" s="64"/>
      <c r="UEI23" s="64"/>
      <c r="UEJ23" s="64"/>
      <c r="UEK23" s="64"/>
      <c r="UEL23" s="64"/>
      <c r="UEM23" s="64"/>
      <c r="UEN23" s="64"/>
      <c r="UEO23" s="64"/>
      <c r="UEP23" s="64"/>
      <c r="UEQ23" s="64"/>
      <c r="UER23" s="64"/>
      <c r="UES23" s="64"/>
      <c r="UET23" s="64"/>
      <c r="UEU23" s="64"/>
      <c r="UEV23" s="64"/>
      <c r="UEW23" s="64"/>
      <c r="UEX23" s="64"/>
      <c r="UEY23" s="64"/>
      <c r="UEZ23" s="64"/>
      <c r="UFA23" s="64"/>
      <c r="UFB23" s="64"/>
      <c r="UFC23" s="64"/>
      <c r="UFD23" s="64"/>
      <c r="UFE23" s="64"/>
      <c r="UFF23" s="64"/>
      <c r="UFG23" s="64"/>
      <c r="UFH23" s="64"/>
      <c r="UFI23" s="64"/>
      <c r="UFJ23" s="64"/>
      <c r="UFK23" s="64"/>
      <c r="UFL23" s="64"/>
      <c r="UFM23" s="64"/>
      <c r="UFN23" s="64"/>
      <c r="UFO23" s="64"/>
      <c r="UFP23" s="64"/>
      <c r="UFQ23" s="64"/>
      <c r="UFR23" s="64"/>
      <c r="UFS23" s="64"/>
      <c r="UFT23" s="64"/>
      <c r="UFU23" s="64"/>
      <c r="UFV23" s="64"/>
      <c r="UFW23" s="64"/>
      <c r="UFX23" s="64"/>
      <c r="UFY23" s="64"/>
      <c r="UFZ23" s="64"/>
      <c r="UGA23" s="64"/>
      <c r="UGB23" s="64"/>
      <c r="UGC23" s="64"/>
      <c r="UGD23" s="64"/>
      <c r="UGE23" s="64"/>
      <c r="UGF23" s="64"/>
      <c r="UGG23" s="64"/>
      <c r="UGH23" s="64"/>
      <c r="UGI23" s="64"/>
      <c r="UGJ23" s="64"/>
      <c r="UGK23" s="64"/>
      <c r="UGL23" s="64"/>
      <c r="UGM23" s="64"/>
      <c r="UGN23" s="64"/>
      <c r="UGO23" s="64"/>
      <c r="UGP23" s="64"/>
      <c r="UGQ23" s="64"/>
      <c r="UGR23" s="64"/>
      <c r="UGS23" s="64"/>
      <c r="UGT23" s="64"/>
      <c r="UGU23" s="64"/>
      <c r="UGV23" s="64"/>
      <c r="UGW23" s="64"/>
      <c r="UGX23" s="64"/>
      <c r="UGY23" s="64"/>
      <c r="UGZ23" s="64"/>
      <c r="UHA23" s="64"/>
      <c r="UHB23" s="64"/>
      <c r="UHC23" s="64"/>
      <c r="UHD23" s="64"/>
      <c r="UHE23" s="64"/>
      <c r="UHF23" s="64"/>
      <c r="UHG23" s="64"/>
      <c r="UHH23" s="64"/>
      <c r="UHI23" s="64"/>
      <c r="UHJ23" s="64"/>
      <c r="UHK23" s="64"/>
      <c r="UHL23" s="64"/>
      <c r="UHM23" s="64"/>
      <c r="UHN23" s="64"/>
      <c r="UHO23" s="64"/>
      <c r="UHP23" s="64"/>
      <c r="UHQ23" s="64"/>
      <c r="UHR23" s="64"/>
      <c r="UHS23" s="64"/>
      <c r="UHT23" s="64"/>
      <c r="UHU23" s="64"/>
      <c r="UHV23" s="64"/>
      <c r="UHW23" s="64"/>
      <c r="UHX23" s="64"/>
      <c r="UHY23" s="64"/>
      <c r="UHZ23" s="64"/>
      <c r="UIA23" s="64"/>
      <c r="UIB23" s="64"/>
      <c r="UIC23" s="64"/>
      <c r="UID23" s="64"/>
      <c r="UIE23" s="64"/>
      <c r="UIF23" s="64"/>
      <c r="UIG23" s="64"/>
      <c r="UIH23" s="64"/>
      <c r="UII23" s="64"/>
      <c r="UIJ23" s="64"/>
      <c r="UIK23" s="64"/>
      <c r="UIL23" s="64"/>
      <c r="UIM23" s="64"/>
      <c r="UIN23" s="64"/>
      <c r="UIO23" s="64"/>
      <c r="UIP23" s="64"/>
      <c r="UIQ23" s="64"/>
      <c r="UIR23" s="64"/>
      <c r="UIS23" s="64"/>
      <c r="UIT23" s="64"/>
      <c r="UIU23" s="64"/>
      <c r="UIV23" s="64"/>
      <c r="UIW23" s="64"/>
      <c r="UIX23" s="64"/>
      <c r="UIY23" s="64"/>
      <c r="UIZ23" s="64"/>
      <c r="UJA23" s="64"/>
      <c r="UJB23" s="64"/>
      <c r="UJC23" s="64"/>
      <c r="UJD23" s="64"/>
      <c r="UJE23" s="64"/>
      <c r="UJF23" s="64"/>
      <c r="UJG23" s="64"/>
      <c r="UJH23" s="64"/>
      <c r="UJI23" s="64"/>
      <c r="UJJ23" s="64"/>
      <c r="UJK23" s="64"/>
      <c r="UJL23" s="64"/>
      <c r="UJM23" s="64"/>
      <c r="UJN23" s="64"/>
      <c r="UJO23" s="64"/>
      <c r="UJP23" s="64"/>
      <c r="UJQ23" s="64"/>
      <c r="UJR23" s="64"/>
      <c r="UJS23" s="64"/>
      <c r="UJT23" s="64"/>
      <c r="UJU23" s="64"/>
      <c r="UJV23" s="64"/>
      <c r="UJW23" s="64"/>
      <c r="UJX23" s="64"/>
      <c r="UJY23" s="64"/>
      <c r="UJZ23" s="64"/>
      <c r="UKA23" s="64"/>
      <c r="UKB23" s="64"/>
      <c r="UKC23" s="64"/>
      <c r="UKD23" s="64"/>
      <c r="UKE23" s="64"/>
      <c r="UKF23" s="64"/>
      <c r="UKG23" s="64"/>
      <c r="UKH23" s="64"/>
      <c r="UKI23" s="64"/>
      <c r="UKJ23" s="64"/>
      <c r="UKK23" s="64"/>
      <c r="UKL23" s="64"/>
      <c r="UKM23" s="64"/>
      <c r="UKN23" s="64"/>
      <c r="UKO23" s="64"/>
      <c r="UKP23" s="64"/>
      <c r="UKQ23" s="64"/>
      <c r="UKR23" s="64"/>
      <c r="UKS23" s="64"/>
      <c r="UKT23" s="64"/>
      <c r="UKU23" s="64"/>
      <c r="UKV23" s="64"/>
      <c r="UKW23" s="64"/>
      <c r="UKX23" s="64"/>
      <c r="UKY23" s="64"/>
      <c r="UKZ23" s="64"/>
      <c r="ULA23" s="64"/>
      <c r="ULB23" s="64"/>
      <c r="ULC23" s="64"/>
      <c r="ULD23" s="64"/>
      <c r="ULE23" s="64"/>
      <c r="ULF23" s="64"/>
      <c r="ULG23" s="64"/>
      <c r="ULH23" s="64"/>
      <c r="ULI23" s="64"/>
      <c r="ULJ23" s="64"/>
      <c r="ULK23" s="64"/>
      <c r="ULL23" s="64"/>
      <c r="ULM23" s="64"/>
      <c r="ULN23" s="64"/>
      <c r="ULO23" s="64"/>
      <c r="ULP23" s="64"/>
      <c r="ULQ23" s="64"/>
      <c r="ULR23" s="64"/>
      <c r="ULS23" s="64"/>
      <c r="ULT23" s="64"/>
      <c r="ULU23" s="64"/>
      <c r="ULV23" s="64"/>
      <c r="ULW23" s="64"/>
      <c r="ULX23" s="64"/>
      <c r="ULY23" s="64"/>
      <c r="ULZ23" s="64"/>
      <c r="UMA23" s="64"/>
      <c r="UMB23" s="64"/>
      <c r="UMC23" s="64"/>
      <c r="UMD23" s="64"/>
      <c r="UME23" s="64"/>
      <c r="UMF23" s="64"/>
      <c r="UMG23" s="64"/>
      <c r="UMH23" s="64"/>
      <c r="UMI23" s="64"/>
      <c r="UMJ23" s="64"/>
      <c r="UMK23" s="64"/>
      <c r="UML23" s="64"/>
      <c r="UMM23" s="64"/>
      <c r="UMN23" s="64"/>
      <c r="UMO23" s="64"/>
      <c r="UMP23" s="64"/>
      <c r="UMQ23" s="64"/>
      <c r="UMR23" s="64"/>
      <c r="UMS23" s="64"/>
      <c r="UMT23" s="64"/>
      <c r="UMU23" s="64"/>
      <c r="UMV23" s="64"/>
      <c r="UMW23" s="64"/>
      <c r="UMX23" s="64"/>
      <c r="UMY23" s="64"/>
      <c r="UMZ23" s="64"/>
      <c r="UNA23" s="64"/>
      <c r="UNB23" s="64"/>
      <c r="UNC23" s="64"/>
      <c r="UND23" s="64"/>
      <c r="UNE23" s="64"/>
      <c r="UNF23" s="64"/>
      <c r="UNG23" s="64"/>
      <c r="UNH23" s="64"/>
      <c r="UNI23" s="64"/>
      <c r="UNJ23" s="64"/>
      <c r="UNK23" s="64"/>
      <c r="UNL23" s="64"/>
      <c r="UNM23" s="64"/>
      <c r="UNN23" s="64"/>
      <c r="UNO23" s="64"/>
      <c r="UNP23" s="64"/>
      <c r="UNQ23" s="64"/>
      <c r="UNR23" s="64"/>
      <c r="UNS23" s="64"/>
      <c r="UNT23" s="64"/>
      <c r="UNU23" s="64"/>
      <c r="UNV23" s="64"/>
      <c r="UNW23" s="64"/>
      <c r="UNX23" s="64"/>
      <c r="UNY23" s="64"/>
      <c r="UNZ23" s="64"/>
      <c r="UOA23" s="64"/>
      <c r="UOB23" s="64"/>
      <c r="UOC23" s="64"/>
      <c r="UOD23" s="64"/>
      <c r="UOE23" s="64"/>
      <c r="UOF23" s="64"/>
      <c r="UOG23" s="64"/>
      <c r="UOH23" s="64"/>
      <c r="UOI23" s="64"/>
      <c r="UOJ23" s="64"/>
      <c r="UOK23" s="64"/>
      <c r="UOL23" s="64"/>
      <c r="UOM23" s="64"/>
      <c r="UON23" s="64"/>
      <c r="UOO23" s="64"/>
      <c r="UOP23" s="64"/>
      <c r="UOQ23" s="64"/>
      <c r="UOR23" s="64"/>
      <c r="UOS23" s="64"/>
      <c r="UOT23" s="64"/>
      <c r="UOU23" s="64"/>
      <c r="UOV23" s="64"/>
      <c r="UOW23" s="64"/>
      <c r="UOX23" s="64"/>
      <c r="UOY23" s="64"/>
      <c r="UOZ23" s="64"/>
      <c r="UPA23" s="64"/>
      <c r="UPB23" s="64"/>
      <c r="UPC23" s="64"/>
      <c r="UPD23" s="64"/>
      <c r="UPE23" s="64"/>
      <c r="UPF23" s="64"/>
      <c r="UPG23" s="64"/>
      <c r="UPH23" s="64"/>
      <c r="UPI23" s="64"/>
      <c r="UPJ23" s="64"/>
      <c r="UPK23" s="64"/>
      <c r="UPL23" s="64"/>
      <c r="UPM23" s="64"/>
      <c r="UPN23" s="64"/>
      <c r="UPO23" s="64"/>
      <c r="UPP23" s="64"/>
      <c r="UPQ23" s="64"/>
      <c r="UPR23" s="64"/>
      <c r="UPS23" s="64"/>
      <c r="UPT23" s="64"/>
      <c r="UPU23" s="64"/>
      <c r="UPV23" s="64"/>
      <c r="UPW23" s="64"/>
      <c r="UPX23" s="64"/>
      <c r="UPY23" s="64"/>
      <c r="UPZ23" s="64"/>
      <c r="UQA23" s="64"/>
      <c r="UQB23" s="64"/>
      <c r="UQC23" s="64"/>
      <c r="UQD23" s="64"/>
      <c r="UQE23" s="64"/>
      <c r="UQF23" s="64"/>
      <c r="UQG23" s="64"/>
      <c r="UQH23" s="64"/>
      <c r="UQI23" s="64"/>
      <c r="UQJ23" s="64"/>
      <c r="UQK23" s="64"/>
      <c r="UQL23" s="64"/>
      <c r="UQM23" s="64"/>
      <c r="UQN23" s="64"/>
      <c r="UQO23" s="64"/>
      <c r="UQP23" s="64"/>
      <c r="UQQ23" s="64"/>
      <c r="UQR23" s="64"/>
      <c r="UQS23" s="64"/>
      <c r="UQT23" s="64"/>
      <c r="UQU23" s="64"/>
      <c r="UQV23" s="64"/>
      <c r="UQW23" s="64"/>
      <c r="UQX23" s="64"/>
      <c r="UQY23" s="64"/>
      <c r="UQZ23" s="64"/>
      <c r="URA23" s="64"/>
      <c r="URB23" s="64"/>
      <c r="URC23" s="64"/>
      <c r="URD23" s="64"/>
      <c r="URE23" s="64"/>
      <c r="URF23" s="64"/>
      <c r="URG23" s="64"/>
      <c r="URH23" s="64"/>
      <c r="URI23" s="64"/>
      <c r="URJ23" s="64"/>
      <c r="URK23" s="64"/>
      <c r="URL23" s="64"/>
      <c r="URM23" s="64"/>
      <c r="URN23" s="64"/>
      <c r="URO23" s="64"/>
      <c r="URP23" s="64"/>
      <c r="URQ23" s="64"/>
      <c r="URR23" s="64"/>
      <c r="URS23" s="64"/>
      <c r="URT23" s="64"/>
      <c r="URU23" s="64"/>
      <c r="URV23" s="64"/>
      <c r="URW23" s="64"/>
      <c r="URX23" s="64"/>
      <c r="URY23" s="64"/>
      <c r="URZ23" s="64"/>
      <c r="USA23" s="64"/>
      <c r="USB23" s="64"/>
      <c r="USC23" s="64"/>
      <c r="USD23" s="64"/>
      <c r="USE23" s="64"/>
      <c r="USF23" s="64"/>
      <c r="USG23" s="64"/>
      <c r="USH23" s="64"/>
      <c r="USI23" s="64"/>
      <c r="USJ23" s="64"/>
      <c r="USK23" s="64"/>
      <c r="USL23" s="64"/>
      <c r="USM23" s="64"/>
      <c r="USN23" s="64"/>
      <c r="USO23" s="64"/>
      <c r="USP23" s="64"/>
      <c r="USQ23" s="64"/>
      <c r="USR23" s="64"/>
      <c r="USS23" s="64"/>
      <c r="UST23" s="64"/>
      <c r="USU23" s="64"/>
      <c r="USV23" s="64"/>
      <c r="USW23" s="64"/>
      <c r="USX23" s="64"/>
      <c r="USY23" s="64"/>
      <c r="USZ23" s="64"/>
      <c r="UTA23" s="64"/>
      <c r="UTB23" s="64"/>
      <c r="UTC23" s="64"/>
      <c r="UTD23" s="64"/>
      <c r="UTE23" s="64"/>
      <c r="UTF23" s="64"/>
      <c r="UTG23" s="64"/>
      <c r="UTH23" s="64"/>
      <c r="UTI23" s="64"/>
      <c r="UTJ23" s="64"/>
      <c r="UTK23" s="64"/>
      <c r="UTL23" s="64"/>
      <c r="UTM23" s="64"/>
      <c r="UTN23" s="64"/>
      <c r="UTO23" s="64"/>
      <c r="UTP23" s="64"/>
      <c r="UTQ23" s="64"/>
      <c r="UTR23" s="64"/>
      <c r="UTS23" s="64"/>
      <c r="UTT23" s="64"/>
      <c r="UTU23" s="64"/>
      <c r="UTV23" s="64"/>
      <c r="UTW23" s="64"/>
      <c r="UTX23" s="64"/>
      <c r="UTY23" s="64"/>
      <c r="UTZ23" s="64"/>
      <c r="UUA23" s="64"/>
      <c r="UUB23" s="64"/>
      <c r="UUC23" s="64"/>
      <c r="UUD23" s="64"/>
      <c r="UUE23" s="64"/>
      <c r="UUF23" s="64"/>
      <c r="UUG23" s="64"/>
      <c r="UUH23" s="64"/>
      <c r="UUI23" s="64"/>
      <c r="UUJ23" s="64"/>
      <c r="UUK23" s="64"/>
      <c r="UUL23" s="64"/>
      <c r="UUM23" s="64"/>
      <c r="UUN23" s="64"/>
      <c r="UUO23" s="64"/>
      <c r="UUP23" s="64"/>
      <c r="UUQ23" s="64"/>
      <c r="UUR23" s="64"/>
      <c r="UUS23" s="64"/>
      <c r="UUT23" s="64"/>
      <c r="UUU23" s="64"/>
      <c r="UUV23" s="64"/>
      <c r="UUW23" s="64"/>
      <c r="UUX23" s="64"/>
      <c r="UUY23" s="64"/>
      <c r="UUZ23" s="64"/>
      <c r="UVA23" s="64"/>
      <c r="UVB23" s="64"/>
      <c r="UVC23" s="64"/>
      <c r="UVD23" s="64"/>
      <c r="UVE23" s="64"/>
      <c r="UVF23" s="64"/>
      <c r="UVG23" s="64"/>
      <c r="UVH23" s="64"/>
      <c r="UVI23" s="64"/>
      <c r="UVJ23" s="64"/>
      <c r="UVK23" s="64"/>
      <c r="UVL23" s="64"/>
      <c r="UVM23" s="64"/>
      <c r="UVN23" s="64"/>
      <c r="UVO23" s="64"/>
      <c r="UVP23" s="64"/>
      <c r="UVQ23" s="64"/>
      <c r="UVR23" s="64"/>
      <c r="UVS23" s="64"/>
      <c r="UVT23" s="64"/>
      <c r="UVU23" s="64"/>
      <c r="UVV23" s="64"/>
      <c r="UVW23" s="64"/>
      <c r="UVX23" s="64"/>
      <c r="UVY23" s="64"/>
      <c r="UVZ23" s="64"/>
      <c r="UWA23" s="64"/>
      <c r="UWB23" s="64"/>
      <c r="UWC23" s="64"/>
      <c r="UWD23" s="64"/>
      <c r="UWE23" s="64"/>
      <c r="UWF23" s="64"/>
      <c r="UWG23" s="64"/>
      <c r="UWH23" s="64"/>
      <c r="UWI23" s="64"/>
      <c r="UWJ23" s="64"/>
      <c r="UWK23" s="64"/>
      <c r="UWL23" s="64"/>
      <c r="UWM23" s="64"/>
      <c r="UWN23" s="64"/>
      <c r="UWO23" s="64"/>
      <c r="UWP23" s="64"/>
      <c r="UWQ23" s="64"/>
      <c r="UWR23" s="64"/>
      <c r="UWS23" s="64"/>
      <c r="UWT23" s="64"/>
      <c r="UWU23" s="64"/>
      <c r="UWV23" s="64"/>
      <c r="UWW23" s="64"/>
      <c r="UWX23" s="64"/>
      <c r="UWY23" s="64"/>
      <c r="UWZ23" s="64"/>
      <c r="UXA23" s="64"/>
      <c r="UXB23" s="64"/>
      <c r="UXC23" s="64"/>
      <c r="UXD23" s="64"/>
      <c r="UXE23" s="64"/>
      <c r="UXF23" s="64"/>
      <c r="UXG23" s="64"/>
      <c r="UXH23" s="64"/>
      <c r="UXI23" s="64"/>
      <c r="UXJ23" s="64"/>
      <c r="UXK23" s="64"/>
      <c r="UXL23" s="64"/>
      <c r="UXM23" s="64"/>
      <c r="UXN23" s="64"/>
      <c r="UXO23" s="64"/>
      <c r="UXP23" s="64"/>
      <c r="UXQ23" s="64"/>
      <c r="UXR23" s="64"/>
      <c r="UXS23" s="64"/>
      <c r="UXT23" s="64"/>
      <c r="UXU23" s="64"/>
      <c r="UXV23" s="64"/>
      <c r="UXW23" s="64"/>
      <c r="UXX23" s="64"/>
      <c r="UXY23" s="64"/>
      <c r="UXZ23" s="64"/>
      <c r="UYA23" s="64"/>
      <c r="UYB23" s="64"/>
      <c r="UYC23" s="64"/>
      <c r="UYD23" s="64"/>
      <c r="UYE23" s="64"/>
      <c r="UYF23" s="64"/>
      <c r="UYG23" s="64"/>
      <c r="UYH23" s="64"/>
      <c r="UYI23" s="64"/>
      <c r="UYJ23" s="64"/>
      <c r="UYK23" s="64"/>
      <c r="UYL23" s="64"/>
      <c r="UYM23" s="64"/>
      <c r="UYN23" s="64"/>
      <c r="UYO23" s="64"/>
      <c r="UYP23" s="64"/>
      <c r="UYQ23" s="64"/>
      <c r="UYR23" s="64"/>
      <c r="UYS23" s="64"/>
      <c r="UYT23" s="64"/>
      <c r="UYU23" s="64"/>
      <c r="UYV23" s="64"/>
      <c r="UYW23" s="64"/>
      <c r="UYX23" s="64"/>
      <c r="UYY23" s="64"/>
      <c r="UYZ23" s="64"/>
      <c r="UZA23" s="64"/>
      <c r="UZB23" s="64"/>
      <c r="UZC23" s="64"/>
      <c r="UZD23" s="64"/>
      <c r="UZE23" s="64"/>
      <c r="UZF23" s="64"/>
      <c r="UZG23" s="64"/>
      <c r="UZH23" s="64"/>
      <c r="UZI23" s="64"/>
      <c r="UZJ23" s="64"/>
      <c r="UZK23" s="64"/>
      <c r="UZL23" s="64"/>
      <c r="UZM23" s="64"/>
      <c r="UZN23" s="64"/>
      <c r="UZO23" s="64"/>
      <c r="UZP23" s="64"/>
      <c r="UZQ23" s="64"/>
      <c r="UZR23" s="64"/>
      <c r="UZS23" s="64"/>
      <c r="UZT23" s="64"/>
      <c r="UZU23" s="64"/>
      <c r="UZV23" s="64"/>
      <c r="UZW23" s="64"/>
      <c r="UZX23" s="64"/>
      <c r="UZY23" s="64"/>
      <c r="UZZ23" s="64"/>
      <c r="VAA23" s="64"/>
      <c r="VAB23" s="64"/>
      <c r="VAC23" s="64"/>
      <c r="VAD23" s="64"/>
      <c r="VAE23" s="64"/>
      <c r="VAF23" s="64"/>
      <c r="VAG23" s="64"/>
      <c r="VAH23" s="64"/>
      <c r="VAI23" s="64"/>
      <c r="VAJ23" s="64"/>
      <c r="VAK23" s="64"/>
      <c r="VAL23" s="64"/>
      <c r="VAM23" s="64"/>
      <c r="VAN23" s="64"/>
      <c r="VAO23" s="64"/>
      <c r="VAP23" s="64"/>
      <c r="VAQ23" s="64"/>
      <c r="VAR23" s="64"/>
      <c r="VAS23" s="64"/>
      <c r="VAT23" s="64"/>
      <c r="VAU23" s="64"/>
      <c r="VAV23" s="64"/>
      <c r="VAW23" s="64"/>
      <c r="VAX23" s="64"/>
      <c r="VAY23" s="64"/>
      <c r="VAZ23" s="64"/>
      <c r="VBA23" s="64"/>
      <c r="VBB23" s="64"/>
      <c r="VBC23" s="64"/>
      <c r="VBD23" s="64"/>
      <c r="VBE23" s="64"/>
      <c r="VBF23" s="64"/>
      <c r="VBG23" s="64"/>
      <c r="VBH23" s="64"/>
      <c r="VBI23" s="64"/>
      <c r="VBJ23" s="64"/>
      <c r="VBK23" s="64"/>
      <c r="VBL23" s="64"/>
      <c r="VBM23" s="64"/>
      <c r="VBN23" s="64"/>
      <c r="VBO23" s="64"/>
      <c r="VBP23" s="64"/>
      <c r="VBQ23" s="64"/>
      <c r="VBR23" s="64"/>
      <c r="VBS23" s="64"/>
      <c r="VBT23" s="64"/>
      <c r="VBU23" s="64"/>
      <c r="VBV23" s="64"/>
      <c r="VBW23" s="64"/>
      <c r="VBX23" s="64"/>
      <c r="VBY23" s="64"/>
      <c r="VBZ23" s="64"/>
      <c r="VCA23" s="64"/>
      <c r="VCB23" s="64"/>
      <c r="VCC23" s="64"/>
      <c r="VCD23" s="64"/>
      <c r="VCE23" s="64"/>
      <c r="VCF23" s="64"/>
      <c r="VCG23" s="64"/>
      <c r="VCH23" s="64"/>
      <c r="VCI23" s="64"/>
      <c r="VCJ23" s="64"/>
      <c r="VCK23" s="64"/>
      <c r="VCL23" s="64"/>
      <c r="VCM23" s="64"/>
      <c r="VCN23" s="64"/>
      <c r="VCO23" s="64"/>
      <c r="VCP23" s="64"/>
      <c r="VCQ23" s="64"/>
      <c r="VCR23" s="64"/>
      <c r="VCS23" s="64"/>
      <c r="VCT23" s="64"/>
      <c r="VCU23" s="64"/>
      <c r="VCV23" s="64"/>
      <c r="VCW23" s="64"/>
      <c r="VCX23" s="64"/>
      <c r="VCY23" s="64"/>
      <c r="VCZ23" s="64"/>
      <c r="VDA23" s="64"/>
      <c r="VDB23" s="64"/>
      <c r="VDC23" s="64"/>
      <c r="VDD23" s="64"/>
      <c r="VDE23" s="64"/>
      <c r="VDF23" s="64"/>
      <c r="VDG23" s="64"/>
      <c r="VDH23" s="64"/>
      <c r="VDI23" s="64"/>
      <c r="VDJ23" s="64"/>
      <c r="VDK23" s="64"/>
      <c r="VDL23" s="64"/>
      <c r="VDM23" s="64"/>
      <c r="VDN23" s="64"/>
      <c r="VDO23" s="64"/>
      <c r="VDP23" s="64"/>
      <c r="VDQ23" s="64"/>
      <c r="VDR23" s="64"/>
      <c r="VDS23" s="64"/>
      <c r="VDT23" s="64"/>
      <c r="VDU23" s="64"/>
      <c r="VDV23" s="64"/>
      <c r="VDW23" s="64"/>
      <c r="VDX23" s="64"/>
      <c r="VDY23" s="64"/>
      <c r="VDZ23" s="64"/>
      <c r="VEA23" s="64"/>
      <c r="VEB23" s="64"/>
      <c r="VEC23" s="64"/>
      <c r="VED23" s="64"/>
      <c r="VEE23" s="64"/>
      <c r="VEF23" s="64"/>
      <c r="VEG23" s="64"/>
      <c r="VEH23" s="64"/>
      <c r="VEI23" s="64"/>
      <c r="VEJ23" s="64"/>
      <c r="VEK23" s="64"/>
      <c r="VEL23" s="64"/>
      <c r="VEM23" s="64"/>
      <c r="VEN23" s="64"/>
      <c r="VEO23" s="64"/>
      <c r="VEP23" s="64"/>
      <c r="VEQ23" s="64"/>
      <c r="VER23" s="64"/>
      <c r="VES23" s="64"/>
      <c r="VET23" s="64"/>
      <c r="VEU23" s="64"/>
      <c r="VEV23" s="64"/>
      <c r="VEW23" s="64"/>
      <c r="VEX23" s="64"/>
      <c r="VEY23" s="64"/>
      <c r="VEZ23" s="64"/>
      <c r="VFA23" s="64"/>
      <c r="VFB23" s="64"/>
      <c r="VFC23" s="64"/>
      <c r="VFD23" s="64"/>
      <c r="VFE23" s="64"/>
      <c r="VFF23" s="64"/>
      <c r="VFG23" s="64"/>
      <c r="VFH23" s="64"/>
      <c r="VFI23" s="64"/>
      <c r="VFJ23" s="64"/>
      <c r="VFK23" s="64"/>
      <c r="VFL23" s="64"/>
      <c r="VFM23" s="64"/>
      <c r="VFN23" s="64"/>
      <c r="VFO23" s="64"/>
      <c r="VFP23" s="64"/>
      <c r="VFQ23" s="64"/>
      <c r="VFR23" s="64"/>
      <c r="VFS23" s="64"/>
      <c r="VFT23" s="64"/>
      <c r="VFU23" s="64"/>
      <c r="VFV23" s="64"/>
      <c r="VFW23" s="64"/>
      <c r="VFX23" s="64"/>
      <c r="VFY23" s="64"/>
      <c r="VFZ23" s="64"/>
      <c r="VGA23" s="64"/>
      <c r="VGB23" s="64"/>
      <c r="VGC23" s="64"/>
      <c r="VGD23" s="64"/>
      <c r="VGE23" s="64"/>
      <c r="VGF23" s="64"/>
      <c r="VGG23" s="64"/>
      <c r="VGH23" s="64"/>
      <c r="VGI23" s="64"/>
      <c r="VGJ23" s="64"/>
      <c r="VGK23" s="64"/>
      <c r="VGL23" s="64"/>
      <c r="VGM23" s="64"/>
      <c r="VGN23" s="64"/>
      <c r="VGO23" s="64"/>
      <c r="VGP23" s="64"/>
      <c r="VGQ23" s="64"/>
      <c r="VGR23" s="64"/>
      <c r="VGS23" s="64"/>
      <c r="VGT23" s="64"/>
      <c r="VGU23" s="64"/>
      <c r="VGV23" s="64"/>
      <c r="VGW23" s="64"/>
      <c r="VGX23" s="64"/>
      <c r="VGY23" s="64"/>
      <c r="VGZ23" s="64"/>
      <c r="VHA23" s="64"/>
      <c r="VHB23" s="64"/>
      <c r="VHC23" s="64"/>
      <c r="VHD23" s="64"/>
      <c r="VHE23" s="64"/>
      <c r="VHF23" s="64"/>
      <c r="VHG23" s="64"/>
      <c r="VHH23" s="64"/>
      <c r="VHI23" s="64"/>
      <c r="VHJ23" s="64"/>
      <c r="VHK23" s="64"/>
      <c r="VHL23" s="64"/>
      <c r="VHM23" s="64"/>
      <c r="VHN23" s="64"/>
      <c r="VHO23" s="64"/>
      <c r="VHP23" s="64"/>
      <c r="VHQ23" s="64"/>
      <c r="VHR23" s="64"/>
      <c r="VHS23" s="64"/>
      <c r="VHT23" s="64"/>
      <c r="VHU23" s="64"/>
      <c r="VHV23" s="64"/>
      <c r="VHW23" s="64"/>
      <c r="VHX23" s="64"/>
      <c r="VHY23" s="64"/>
      <c r="VHZ23" s="64"/>
      <c r="VIA23" s="64"/>
      <c r="VIB23" s="64"/>
      <c r="VIC23" s="64"/>
      <c r="VID23" s="64"/>
      <c r="VIE23" s="64"/>
      <c r="VIF23" s="64"/>
      <c r="VIG23" s="64"/>
      <c r="VIH23" s="64"/>
      <c r="VII23" s="64"/>
      <c r="VIJ23" s="64"/>
      <c r="VIK23" s="64"/>
      <c r="VIL23" s="64"/>
      <c r="VIM23" s="64"/>
      <c r="VIN23" s="64"/>
      <c r="VIO23" s="64"/>
      <c r="VIP23" s="64"/>
      <c r="VIQ23" s="64"/>
      <c r="VIR23" s="64"/>
      <c r="VIS23" s="64"/>
      <c r="VIT23" s="64"/>
      <c r="VIU23" s="64"/>
      <c r="VIV23" s="64"/>
      <c r="VIW23" s="64"/>
      <c r="VIX23" s="64"/>
      <c r="VIY23" s="64"/>
      <c r="VIZ23" s="64"/>
      <c r="VJA23" s="64"/>
      <c r="VJB23" s="64"/>
      <c r="VJC23" s="64"/>
      <c r="VJD23" s="64"/>
      <c r="VJE23" s="64"/>
      <c r="VJF23" s="64"/>
      <c r="VJG23" s="64"/>
      <c r="VJH23" s="64"/>
      <c r="VJI23" s="64"/>
      <c r="VJJ23" s="64"/>
      <c r="VJK23" s="64"/>
      <c r="VJL23" s="64"/>
      <c r="VJM23" s="64"/>
      <c r="VJN23" s="64"/>
      <c r="VJO23" s="64"/>
      <c r="VJP23" s="64"/>
      <c r="VJQ23" s="64"/>
      <c r="VJR23" s="64"/>
      <c r="VJS23" s="64"/>
      <c r="VJT23" s="64"/>
      <c r="VJU23" s="64"/>
      <c r="VJV23" s="64"/>
      <c r="VJW23" s="64"/>
      <c r="VJX23" s="64"/>
      <c r="VJY23" s="64"/>
      <c r="VJZ23" s="64"/>
      <c r="VKA23" s="64"/>
      <c r="VKB23" s="64"/>
      <c r="VKC23" s="64"/>
      <c r="VKD23" s="64"/>
      <c r="VKE23" s="64"/>
      <c r="VKF23" s="64"/>
      <c r="VKG23" s="64"/>
      <c r="VKH23" s="64"/>
      <c r="VKI23" s="64"/>
      <c r="VKJ23" s="64"/>
      <c r="VKK23" s="64"/>
      <c r="VKL23" s="64"/>
      <c r="VKM23" s="64"/>
      <c r="VKN23" s="64"/>
      <c r="VKO23" s="64"/>
      <c r="VKP23" s="64"/>
      <c r="VKQ23" s="64"/>
      <c r="VKR23" s="64"/>
      <c r="VKS23" s="64"/>
      <c r="VKT23" s="64"/>
      <c r="VKU23" s="64"/>
      <c r="VKV23" s="64"/>
      <c r="VKW23" s="64"/>
      <c r="VKX23" s="64"/>
      <c r="VKY23" s="64"/>
      <c r="VKZ23" s="64"/>
      <c r="VLA23" s="64"/>
      <c r="VLB23" s="64"/>
      <c r="VLC23" s="64"/>
      <c r="VLD23" s="64"/>
      <c r="VLE23" s="64"/>
      <c r="VLF23" s="64"/>
      <c r="VLG23" s="64"/>
      <c r="VLH23" s="64"/>
      <c r="VLI23" s="64"/>
      <c r="VLJ23" s="64"/>
      <c r="VLK23" s="64"/>
      <c r="VLL23" s="64"/>
      <c r="VLM23" s="64"/>
      <c r="VLN23" s="64"/>
      <c r="VLO23" s="64"/>
      <c r="VLP23" s="64"/>
      <c r="VLQ23" s="64"/>
      <c r="VLR23" s="64"/>
      <c r="VLS23" s="64"/>
      <c r="VLT23" s="64"/>
      <c r="VLU23" s="64"/>
      <c r="VLV23" s="64"/>
      <c r="VLW23" s="64"/>
      <c r="VLX23" s="64"/>
      <c r="VLY23" s="64"/>
      <c r="VLZ23" s="64"/>
      <c r="VMA23" s="64"/>
      <c r="VMB23" s="64"/>
      <c r="VMC23" s="64"/>
      <c r="VMD23" s="64"/>
      <c r="VME23" s="64"/>
      <c r="VMF23" s="64"/>
      <c r="VMG23" s="64"/>
      <c r="VMH23" s="64"/>
      <c r="VMI23" s="64"/>
      <c r="VMJ23" s="64"/>
      <c r="VMK23" s="64"/>
      <c r="VML23" s="64"/>
      <c r="VMM23" s="64"/>
      <c r="VMN23" s="64"/>
      <c r="VMO23" s="64"/>
      <c r="VMP23" s="64"/>
      <c r="VMQ23" s="64"/>
      <c r="VMR23" s="64"/>
      <c r="VMS23" s="64"/>
      <c r="VMT23" s="64"/>
      <c r="VMU23" s="64"/>
      <c r="VMV23" s="64"/>
      <c r="VMW23" s="64"/>
      <c r="VMX23" s="64"/>
      <c r="VMY23" s="64"/>
      <c r="VMZ23" s="64"/>
      <c r="VNA23" s="64"/>
      <c r="VNB23" s="64"/>
      <c r="VNC23" s="64"/>
      <c r="VND23" s="64"/>
      <c r="VNE23" s="64"/>
      <c r="VNF23" s="64"/>
      <c r="VNG23" s="64"/>
      <c r="VNH23" s="64"/>
      <c r="VNI23" s="64"/>
      <c r="VNJ23" s="64"/>
      <c r="VNK23" s="64"/>
      <c r="VNL23" s="64"/>
      <c r="VNM23" s="64"/>
      <c r="VNN23" s="64"/>
      <c r="VNO23" s="64"/>
      <c r="VNP23" s="64"/>
      <c r="VNQ23" s="64"/>
      <c r="VNR23" s="64"/>
      <c r="VNS23" s="64"/>
      <c r="VNT23" s="64"/>
      <c r="VNU23" s="64"/>
      <c r="VNV23" s="64"/>
      <c r="VNW23" s="64"/>
      <c r="VNX23" s="64"/>
      <c r="VNY23" s="64"/>
      <c r="VNZ23" s="64"/>
      <c r="VOA23" s="64"/>
      <c r="VOB23" s="64"/>
      <c r="VOC23" s="64"/>
      <c r="VOD23" s="64"/>
      <c r="VOE23" s="64"/>
      <c r="VOF23" s="64"/>
      <c r="VOG23" s="64"/>
      <c r="VOH23" s="64"/>
      <c r="VOI23" s="64"/>
      <c r="VOJ23" s="64"/>
      <c r="VOK23" s="64"/>
      <c r="VOL23" s="64"/>
      <c r="VOM23" s="64"/>
      <c r="VON23" s="64"/>
      <c r="VOO23" s="64"/>
      <c r="VOP23" s="64"/>
      <c r="VOQ23" s="64"/>
      <c r="VOR23" s="64"/>
      <c r="VOS23" s="64"/>
      <c r="VOT23" s="64"/>
      <c r="VOU23" s="64"/>
      <c r="VOV23" s="64"/>
      <c r="VOW23" s="64"/>
      <c r="VOX23" s="64"/>
      <c r="VOY23" s="64"/>
      <c r="VOZ23" s="64"/>
      <c r="VPA23" s="64"/>
      <c r="VPB23" s="64"/>
      <c r="VPC23" s="64"/>
      <c r="VPD23" s="64"/>
      <c r="VPE23" s="64"/>
      <c r="VPF23" s="64"/>
      <c r="VPG23" s="64"/>
      <c r="VPH23" s="64"/>
      <c r="VPI23" s="64"/>
      <c r="VPJ23" s="64"/>
      <c r="VPK23" s="64"/>
      <c r="VPL23" s="64"/>
      <c r="VPM23" s="64"/>
      <c r="VPN23" s="64"/>
      <c r="VPO23" s="64"/>
      <c r="VPP23" s="64"/>
      <c r="VPQ23" s="64"/>
      <c r="VPR23" s="64"/>
      <c r="VPS23" s="64"/>
      <c r="VPT23" s="64"/>
      <c r="VPU23" s="64"/>
      <c r="VPV23" s="64"/>
      <c r="VPW23" s="64"/>
      <c r="VPX23" s="64"/>
      <c r="VPY23" s="64"/>
      <c r="VPZ23" s="64"/>
      <c r="VQA23" s="64"/>
      <c r="VQB23" s="64"/>
      <c r="VQC23" s="64"/>
      <c r="VQD23" s="64"/>
      <c r="VQE23" s="64"/>
      <c r="VQF23" s="64"/>
      <c r="VQG23" s="64"/>
      <c r="VQH23" s="64"/>
      <c r="VQI23" s="64"/>
      <c r="VQJ23" s="64"/>
      <c r="VQK23" s="64"/>
      <c r="VQL23" s="64"/>
      <c r="VQM23" s="64"/>
      <c r="VQN23" s="64"/>
      <c r="VQO23" s="64"/>
      <c r="VQP23" s="64"/>
      <c r="VQQ23" s="64"/>
      <c r="VQR23" s="64"/>
      <c r="VQS23" s="64"/>
      <c r="VQT23" s="64"/>
      <c r="VQU23" s="64"/>
      <c r="VQV23" s="64"/>
      <c r="VQW23" s="64"/>
      <c r="VQX23" s="64"/>
      <c r="VQY23" s="64"/>
      <c r="VQZ23" s="64"/>
      <c r="VRA23" s="64"/>
      <c r="VRB23" s="64"/>
      <c r="VRC23" s="64"/>
      <c r="VRD23" s="64"/>
      <c r="VRE23" s="64"/>
      <c r="VRF23" s="64"/>
      <c r="VRG23" s="64"/>
      <c r="VRH23" s="64"/>
      <c r="VRI23" s="64"/>
      <c r="VRJ23" s="64"/>
      <c r="VRK23" s="64"/>
      <c r="VRL23" s="64"/>
      <c r="VRM23" s="64"/>
      <c r="VRN23" s="64"/>
      <c r="VRO23" s="64"/>
      <c r="VRP23" s="64"/>
      <c r="VRQ23" s="64"/>
      <c r="VRR23" s="64"/>
      <c r="VRS23" s="64"/>
      <c r="VRT23" s="64"/>
      <c r="VRU23" s="64"/>
      <c r="VRV23" s="64"/>
      <c r="VRW23" s="64"/>
      <c r="VRX23" s="64"/>
      <c r="VRY23" s="64"/>
      <c r="VRZ23" s="64"/>
      <c r="VSA23" s="64"/>
      <c r="VSB23" s="64"/>
      <c r="VSC23" s="64"/>
      <c r="VSD23" s="64"/>
      <c r="VSE23" s="64"/>
      <c r="VSF23" s="64"/>
      <c r="VSG23" s="64"/>
      <c r="VSH23" s="64"/>
      <c r="VSI23" s="64"/>
      <c r="VSJ23" s="64"/>
      <c r="VSK23" s="64"/>
      <c r="VSL23" s="64"/>
      <c r="VSM23" s="64"/>
      <c r="VSN23" s="64"/>
      <c r="VSO23" s="64"/>
      <c r="VSP23" s="64"/>
      <c r="VSQ23" s="64"/>
      <c r="VSR23" s="64"/>
      <c r="VSS23" s="64"/>
      <c r="VST23" s="64"/>
      <c r="VSU23" s="64"/>
      <c r="VSV23" s="64"/>
      <c r="VSW23" s="64"/>
      <c r="VSX23" s="64"/>
      <c r="VSY23" s="64"/>
      <c r="VSZ23" s="64"/>
      <c r="VTA23" s="64"/>
      <c r="VTB23" s="64"/>
      <c r="VTC23" s="64"/>
      <c r="VTD23" s="64"/>
      <c r="VTE23" s="64"/>
      <c r="VTF23" s="64"/>
      <c r="VTG23" s="64"/>
      <c r="VTH23" s="64"/>
      <c r="VTI23" s="64"/>
      <c r="VTJ23" s="64"/>
      <c r="VTK23" s="64"/>
      <c r="VTL23" s="64"/>
      <c r="VTM23" s="64"/>
      <c r="VTN23" s="64"/>
      <c r="VTO23" s="64"/>
      <c r="VTP23" s="64"/>
      <c r="VTQ23" s="64"/>
      <c r="VTR23" s="64"/>
      <c r="VTS23" s="64"/>
      <c r="VTT23" s="64"/>
      <c r="VTU23" s="64"/>
      <c r="VTV23" s="64"/>
      <c r="VTW23" s="64"/>
      <c r="VTX23" s="64"/>
      <c r="VTY23" s="64"/>
      <c r="VTZ23" s="64"/>
      <c r="VUA23" s="64"/>
      <c r="VUB23" s="64"/>
      <c r="VUC23" s="64"/>
      <c r="VUD23" s="64"/>
      <c r="VUE23" s="64"/>
      <c r="VUF23" s="64"/>
      <c r="VUG23" s="64"/>
      <c r="VUH23" s="64"/>
      <c r="VUI23" s="64"/>
      <c r="VUJ23" s="64"/>
      <c r="VUK23" s="64"/>
      <c r="VUL23" s="64"/>
      <c r="VUM23" s="64"/>
      <c r="VUN23" s="64"/>
      <c r="VUO23" s="64"/>
      <c r="VUP23" s="64"/>
      <c r="VUQ23" s="64"/>
      <c r="VUR23" s="64"/>
      <c r="VUS23" s="64"/>
      <c r="VUT23" s="64"/>
      <c r="VUU23" s="64"/>
      <c r="VUV23" s="64"/>
      <c r="VUW23" s="64"/>
      <c r="VUX23" s="64"/>
      <c r="VUY23" s="64"/>
      <c r="VUZ23" s="64"/>
      <c r="VVA23" s="64"/>
      <c r="VVB23" s="64"/>
      <c r="VVC23" s="64"/>
      <c r="VVD23" s="64"/>
      <c r="VVE23" s="64"/>
      <c r="VVF23" s="64"/>
      <c r="VVG23" s="64"/>
      <c r="VVH23" s="64"/>
      <c r="VVI23" s="64"/>
      <c r="VVJ23" s="64"/>
      <c r="VVK23" s="64"/>
      <c r="VVL23" s="64"/>
      <c r="VVM23" s="64"/>
      <c r="VVN23" s="64"/>
      <c r="VVO23" s="64"/>
      <c r="VVP23" s="64"/>
      <c r="VVQ23" s="64"/>
      <c r="VVR23" s="64"/>
      <c r="VVS23" s="64"/>
      <c r="VVT23" s="64"/>
      <c r="VVU23" s="64"/>
      <c r="VVV23" s="64"/>
      <c r="VVW23" s="64"/>
      <c r="VVX23" s="64"/>
      <c r="VVY23" s="64"/>
      <c r="VVZ23" s="64"/>
      <c r="VWA23" s="64"/>
      <c r="VWB23" s="64"/>
      <c r="VWC23" s="64"/>
      <c r="VWD23" s="64"/>
      <c r="VWE23" s="64"/>
      <c r="VWF23" s="64"/>
      <c r="VWG23" s="64"/>
      <c r="VWH23" s="64"/>
      <c r="VWI23" s="64"/>
      <c r="VWJ23" s="64"/>
      <c r="VWK23" s="64"/>
      <c r="VWL23" s="64"/>
      <c r="VWM23" s="64"/>
      <c r="VWN23" s="64"/>
      <c r="VWO23" s="64"/>
      <c r="VWP23" s="64"/>
      <c r="VWQ23" s="64"/>
      <c r="VWR23" s="64"/>
      <c r="VWS23" s="64"/>
      <c r="VWT23" s="64"/>
      <c r="VWU23" s="64"/>
      <c r="VWV23" s="64"/>
      <c r="VWW23" s="64"/>
      <c r="VWX23" s="64"/>
      <c r="VWY23" s="64"/>
      <c r="VWZ23" s="64"/>
      <c r="VXA23" s="64"/>
      <c r="VXB23" s="64"/>
      <c r="VXC23" s="64"/>
      <c r="VXD23" s="64"/>
      <c r="VXE23" s="64"/>
      <c r="VXF23" s="64"/>
      <c r="VXG23" s="64"/>
      <c r="VXH23" s="64"/>
      <c r="VXI23" s="64"/>
      <c r="VXJ23" s="64"/>
      <c r="VXK23" s="64"/>
      <c r="VXL23" s="64"/>
      <c r="VXM23" s="64"/>
      <c r="VXN23" s="64"/>
      <c r="VXO23" s="64"/>
      <c r="VXP23" s="64"/>
      <c r="VXQ23" s="64"/>
      <c r="VXR23" s="64"/>
      <c r="VXS23" s="64"/>
      <c r="VXT23" s="64"/>
      <c r="VXU23" s="64"/>
      <c r="VXV23" s="64"/>
      <c r="VXW23" s="64"/>
      <c r="VXX23" s="64"/>
      <c r="VXY23" s="64"/>
      <c r="VXZ23" s="64"/>
      <c r="VYA23" s="64"/>
      <c r="VYB23" s="64"/>
      <c r="VYC23" s="64"/>
      <c r="VYD23" s="64"/>
      <c r="VYE23" s="64"/>
      <c r="VYF23" s="64"/>
      <c r="VYG23" s="64"/>
      <c r="VYH23" s="64"/>
      <c r="VYI23" s="64"/>
      <c r="VYJ23" s="64"/>
      <c r="VYK23" s="64"/>
      <c r="VYL23" s="64"/>
      <c r="VYM23" s="64"/>
      <c r="VYN23" s="64"/>
      <c r="VYO23" s="64"/>
      <c r="VYP23" s="64"/>
      <c r="VYQ23" s="64"/>
      <c r="VYR23" s="64"/>
      <c r="VYS23" s="64"/>
      <c r="VYT23" s="64"/>
      <c r="VYU23" s="64"/>
      <c r="VYV23" s="64"/>
      <c r="VYW23" s="64"/>
      <c r="VYX23" s="64"/>
      <c r="VYY23" s="64"/>
      <c r="VYZ23" s="64"/>
      <c r="VZA23" s="64"/>
      <c r="VZB23" s="64"/>
      <c r="VZC23" s="64"/>
      <c r="VZD23" s="64"/>
      <c r="VZE23" s="64"/>
      <c r="VZF23" s="64"/>
      <c r="VZG23" s="64"/>
      <c r="VZH23" s="64"/>
      <c r="VZI23" s="64"/>
      <c r="VZJ23" s="64"/>
      <c r="VZK23" s="64"/>
      <c r="VZL23" s="64"/>
      <c r="VZM23" s="64"/>
      <c r="VZN23" s="64"/>
      <c r="VZO23" s="64"/>
      <c r="VZP23" s="64"/>
      <c r="VZQ23" s="64"/>
      <c r="VZR23" s="64"/>
      <c r="VZS23" s="64"/>
      <c r="VZT23" s="64"/>
      <c r="VZU23" s="64"/>
      <c r="VZV23" s="64"/>
      <c r="VZW23" s="64"/>
      <c r="VZX23" s="64"/>
      <c r="VZY23" s="64"/>
      <c r="VZZ23" s="64"/>
      <c r="WAA23" s="64"/>
      <c r="WAB23" s="64"/>
      <c r="WAC23" s="64"/>
      <c r="WAD23" s="64"/>
      <c r="WAE23" s="64"/>
      <c r="WAF23" s="64"/>
      <c r="WAG23" s="64"/>
      <c r="WAH23" s="64"/>
      <c r="WAI23" s="64"/>
      <c r="WAJ23" s="64"/>
      <c r="WAK23" s="64"/>
      <c r="WAL23" s="64"/>
      <c r="WAM23" s="64"/>
      <c r="WAN23" s="64"/>
      <c r="WAO23" s="64"/>
      <c r="WAP23" s="64"/>
      <c r="WAQ23" s="64"/>
      <c r="WAR23" s="64"/>
      <c r="WAS23" s="64"/>
      <c r="WAT23" s="64"/>
      <c r="WAU23" s="64"/>
      <c r="WAV23" s="64"/>
      <c r="WAW23" s="64"/>
      <c r="WAX23" s="64"/>
      <c r="WAY23" s="64"/>
      <c r="WAZ23" s="64"/>
      <c r="WBA23" s="64"/>
      <c r="WBB23" s="64"/>
      <c r="WBC23" s="64"/>
      <c r="WBD23" s="64"/>
      <c r="WBE23" s="64"/>
      <c r="WBF23" s="64"/>
      <c r="WBG23" s="64"/>
      <c r="WBH23" s="64"/>
      <c r="WBI23" s="64"/>
      <c r="WBJ23" s="64"/>
      <c r="WBK23" s="64"/>
      <c r="WBL23" s="64"/>
      <c r="WBM23" s="64"/>
      <c r="WBN23" s="64"/>
      <c r="WBO23" s="64"/>
      <c r="WBP23" s="64"/>
      <c r="WBQ23" s="64"/>
      <c r="WBR23" s="64"/>
      <c r="WBS23" s="64"/>
      <c r="WBT23" s="64"/>
      <c r="WBU23" s="64"/>
      <c r="WBV23" s="64"/>
      <c r="WBW23" s="64"/>
      <c r="WBX23" s="64"/>
      <c r="WBY23" s="64"/>
      <c r="WBZ23" s="64"/>
      <c r="WCA23" s="64"/>
      <c r="WCB23" s="64"/>
      <c r="WCC23" s="64"/>
      <c r="WCD23" s="64"/>
      <c r="WCE23" s="64"/>
      <c r="WCF23" s="64"/>
      <c r="WCG23" s="64"/>
      <c r="WCH23" s="64"/>
      <c r="WCI23" s="64"/>
      <c r="WCJ23" s="64"/>
      <c r="WCK23" s="64"/>
      <c r="WCL23" s="64"/>
      <c r="WCM23" s="64"/>
      <c r="WCN23" s="64"/>
      <c r="WCO23" s="64"/>
      <c r="WCP23" s="64"/>
      <c r="WCQ23" s="64"/>
      <c r="WCR23" s="64"/>
      <c r="WCS23" s="64"/>
      <c r="WCT23" s="64"/>
      <c r="WCU23" s="64"/>
      <c r="WCV23" s="64"/>
      <c r="WCW23" s="64"/>
      <c r="WCX23" s="64"/>
      <c r="WCY23" s="64"/>
      <c r="WCZ23" s="64"/>
      <c r="WDA23" s="64"/>
      <c r="WDB23" s="64"/>
      <c r="WDC23" s="64"/>
      <c r="WDD23" s="64"/>
      <c r="WDE23" s="64"/>
      <c r="WDF23" s="64"/>
      <c r="WDG23" s="64"/>
      <c r="WDH23" s="64"/>
      <c r="WDI23" s="64"/>
      <c r="WDJ23" s="64"/>
      <c r="WDK23" s="64"/>
      <c r="WDL23" s="64"/>
      <c r="WDM23" s="64"/>
      <c r="WDN23" s="64"/>
      <c r="WDO23" s="64"/>
      <c r="WDP23" s="64"/>
      <c r="WDQ23" s="64"/>
      <c r="WDR23" s="64"/>
      <c r="WDS23" s="64"/>
      <c r="WDT23" s="64"/>
      <c r="WDU23" s="64"/>
      <c r="WDV23" s="64"/>
      <c r="WDW23" s="64"/>
      <c r="WDX23" s="64"/>
      <c r="WDY23" s="64"/>
      <c r="WDZ23" s="64"/>
      <c r="WEA23" s="64"/>
      <c r="WEB23" s="64"/>
      <c r="WEC23" s="64"/>
      <c r="WED23" s="64"/>
      <c r="WEE23" s="64"/>
      <c r="WEF23" s="64"/>
      <c r="WEG23" s="64"/>
      <c r="WEH23" s="64"/>
      <c r="WEI23" s="64"/>
      <c r="WEJ23" s="64"/>
      <c r="WEK23" s="64"/>
      <c r="WEL23" s="64"/>
      <c r="WEM23" s="64"/>
      <c r="WEN23" s="64"/>
      <c r="WEO23" s="64"/>
      <c r="WEP23" s="64"/>
      <c r="WEQ23" s="64"/>
      <c r="WER23" s="64"/>
      <c r="WES23" s="64"/>
      <c r="WET23" s="64"/>
      <c r="WEU23" s="64"/>
      <c r="WEV23" s="64"/>
      <c r="WEW23" s="64"/>
      <c r="WEX23" s="64"/>
      <c r="WEY23" s="64"/>
      <c r="WEZ23" s="64"/>
      <c r="WFA23" s="64"/>
      <c r="WFB23" s="64"/>
      <c r="WFC23" s="64"/>
      <c r="WFD23" s="64"/>
      <c r="WFE23" s="64"/>
      <c r="WFF23" s="64"/>
      <c r="WFG23" s="64"/>
      <c r="WFH23" s="64"/>
      <c r="WFI23" s="64"/>
      <c r="WFJ23" s="64"/>
      <c r="WFK23" s="64"/>
      <c r="WFL23" s="64"/>
      <c r="WFM23" s="64"/>
      <c r="WFN23" s="64"/>
      <c r="WFO23" s="64"/>
      <c r="WFP23" s="64"/>
      <c r="WFQ23" s="64"/>
      <c r="WFR23" s="64"/>
      <c r="WFS23" s="64"/>
      <c r="WFT23" s="64"/>
      <c r="WFU23" s="64"/>
      <c r="WFV23" s="64"/>
      <c r="WFW23" s="64"/>
      <c r="WFX23" s="64"/>
      <c r="WFY23" s="64"/>
      <c r="WFZ23" s="64"/>
      <c r="WGA23" s="64"/>
      <c r="WGB23" s="64"/>
      <c r="WGC23" s="64"/>
      <c r="WGD23" s="64"/>
      <c r="WGE23" s="64"/>
      <c r="WGF23" s="64"/>
      <c r="WGG23" s="64"/>
      <c r="WGH23" s="64"/>
      <c r="WGI23" s="64"/>
      <c r="WGJ23" s="64"/>
      <c r="WGK23" s="64"/>
      <c r="WGL23" s="64"/>
      <c r="WGM23" s="64"/>
      <c r="WGN23" s="64"/>
      <c r="WGO23" s="64"/>
      <c r="WGP23" s="64"/>
      <c r="WGQ23" s="64"/>
      <c r="WGR23" s="64"/>
      <c r="WGS23" s="64"/>
      <c r="WGT23" s="64"/>
      <c r="WGU23" s="64"/>
      <c r="WGV23" s="64"/>
      <c r="WGW23" s="64"/>
      <c r="WGX23" s="64"/>
      <c r="WGY23" s="64"/>
      <c r="WGZ23" s="64"/>
      <c r="WHA23" s="64"/>
      <c r="WHB23" s="64"/>
      <c r="WHC23" s="64"/>
      <c r="WHD23" s="64"/>
      <c r="WHE23" s="64"/>
      <c r="WHF23" s="64"/>
      <c r="WHG23" s="64"/>
      <c r="WHH23" s="64"/>
      <c r="WHI23" s="64"/>
      <c r="WHJ23" s="64"/>
      <c r="WHK23" s="64"/>
      <c r="WHL23" s="64"/>
      <c r="WHM23" s="64"/>
      <c r="WHN23" s="64"/>
      <c r="WHO23" s="64"/>
      <c r="WHP23" s="64"/>
      <c r="WHQ23" s="64"/>
      <c r="WHR23" s="64"/>
      <c r="WHS23" s="64"/>
      <c r="WHT23" s="64"/>
      <c r="WHU23" s="64"/>
      <c r="WHV23" s="64"/>
      <c r="WHW23" s="64"/>
      <c r="WHX23" s="64"/>
      <c r="WHY23" s="64"/>
      <c r="WHZ23" s="64"/>
      <c r="WIA23" s="64"/>
      <c r="WIB23" s="64"/>
      <c r="WIC23" s="64"/>
      <c r="WID23" s="64"/>
      <c r="WIE23" s="64"/>
      <c r="WIF23" s="64"/>
      <c r="WIG23" s="64"/>
      <c r="WIH23" s="64"/>
      <c r="WII23" s="64"/>
      <c r="WIJ23" s="64"/>
      <c r="WIK23" s="64"/>
      <c r="WIL23" s="64"/>
      <c r="WIM23" s="64"/>
      <c r="WIN23" s="64"/>
      <c r="WIO23" s="64"/>
      <c r="WIP23" s="64"/>
      <c r="WIQ23" s="64"/>
      <c r="WIR23" s="64"/>
      <c r="WIS23" s="64"/>
      <c r="WIT23" s="64"/>
      <c r="WIU23" s="64"/>
      <c r="WIV23" s="64"/>
      <c r="WIW23" s="64"/>
      <c r="WIX23" s="64"/>
      <c r="WIY23" s="64"/>
      <c r="WIZ23" s="64"/>
      <c r="WJA23" s="64"/>
      <c r="WJB23" s="64"/>
      <c r="WJC23" s="64"/>
      <c r="WJD23" s="64"/>
      <c r="WJE23" s="64"/>
      <c r="WJF23" s="64"/>
      <c r="WJG23" s="64"/>
      <c r="WJH23" s="64"/>
      <c r="WJI23" s="64"/>
      <c r="WJJ23" s="64"/>
      <c r="WJK23" s="64"/>
      <c r="WJL23" s="64"/>
      <c r="WJM23" s="64"/>
      <c r="WJN23" s="64"/>
      <c r="WJO23" s="64"/>
      <c r="WJP23" s="64"/>
      <c r="WJQ23" s="64"/>
      <c r="WJR23" s="64"/>
      <c r="WJS23" s="64"/>
      <c r="WJT23" s="64"/>
      <c r="WJU23" s="64"/>
      <c r="WJV23" s="64"/>
      <c r="WJW23" s="64"/>
      <c r="WJX23" s="64"/>
      <c r="WJY23" s="64"/>
      <c r="WJZ23" s="64"/>
      <c r="WKA23" s="64"/>
      <c r="WKB23" s="64"/>
      <c r="WKC23" s="64"/>
      <c r="WKD23" s="64"/>
      <c r="WKE23" s="64"/>
      <c r="WKF23" s="64"/>
      <c r="WKG23" s="64"/>
      <c r="WKH23" s="64"/>
      <c r="WKI23" s="64"/>
      <c r="WKJ23" s="64"/>
      <c r="WKK23" s="64"/>
      <c r="WKL23" s="64"/>
      <c r="WKM23" s="64"/>
      <c r="WKN23" s="64"/>
      <c r="WKO23" s="64"/>
      <c r="WKP23" s="64"/>
      <c r="WKQ23" s="64"/>
      <c r="WKR23" s="64"/>
      <c r="WKS23" s="64"/>
      <c r="WKT23" s="64"/>
      <c r="WKU23" s="64"/>
      <c r="WKV23" s="64"/>
      <c r="WKW23" s="64"/>
      <c r="WKX23" s="64"/>
      <c r="WKY23" s="64"/>
      <c r="WKZ23" s="64"/>
      <c r="WLA23" s="64"/>
      <c r="WLB23" s="64"/>
      <c r="WLC23" s="64"/>
      <c r="WLD23" s="64"/>
      <c r="WLE23" s="64"/>
      <c r="WLF23" s="64"/>
      <c r="WLG23" s="64"/>
      <c r="WLH23" s="64"/>
      <c r="WLI23" s="64"/>
      <c r="WLJ23" s="64"/>
      <c r="WLK23" s="64"/>
      <c r="WLL23" s="64"/>
      <c r="WLM23" s="64"/>
      <c r="WLN23" s="64"/>
      <c r="WLO23" s="64"/>
      <c r="WLP23" s="64"/>
      <c r="WLQ23" s="64"/>
      <c r="WLR23" s="64"/>
      <c r="WLS23" s="64"/>
      <c r="WLT23" s="64"/>
      <c r="WLU23" s="64"/>
      <c r="WLV23" s="64"/>
      <c r="WLW23" s="64"/>
      <c r="WLX23" s="64"/>
      <c r="WLY23" s="64"/>
      <c r="WLZ23" s="64"/>
      <c r="WMA23" s="64"/>
      <c r="WMB23" s="64"/>
      <c r="WMC23" s="64"/>
      <c r="WMD23" s="64"/>
      <c r="WME23" s="64"/>
      <c r="WMF23" s="64"/>
      <c r="WMG23" s="64"/>
      <c r="WMH23" s="64"/>
      <c r="WMI23" s="64"/>
      <c r="WMJ23" s="64"/>
      <c r="WMK23" s="64"/>
      <c r="WML23" s="64"/>
      <c r="WMM23" s="64"/>
      <c r="WMN23" s="64"/>
      <c r="WMO23" s="64"/>
      <c r="WMP23" s="64"/>
      <c r="WMQ23" s="64"/>
      <c r="WMR23" s="64"/>
      <c r="WMS23" s="64"/>
      <c r="WMT23" s="64"/>
      <c r="WMU23" s="64"/>
      <c r="WMV23" s="64"/>
      <c r="WMW23" s="64"/>
      <c r="WMX23" s="64"/>
      <c r="WMY23" s="64"/>
      <c r="WMZ23" s="64"/>
      <c r="WNA23" s="64"/>
      <c r="WNB23" s="64"/>
      <c r="WNC23" s="64"/>
      <c r="WND23" s="64"/>
      <c r="WNE23" s="64"/>
      <c r="WNF23" s="64"/>
      <c r="WNG23" s="64"/>
      <c r="WNH23" s="64"/>
      <c r="WNI23" s="64"/>
      <c r="WNJ23" s="64"/>
      <c r="WNK23" s="64"/>
      <c r="WNL23" s="64"/>
      <c r="WNM23" s="64"/>
      <c r="WNN23" s="64"/>
      <c r="WNO23" s="64"/>
      <c r="WNP23" s="64"/>
      <c r="WNQ23" s="64"/>
      <c r="WNR23" s="64"/>
      <c r="WNS23" s="64"/>
      <c r="WNT23" s="64"/>
      <c r="WNU23" s="64"/>
      <c r="WNV23" s="64"/>
      <c r="WNW23" s="64"/>
      <c r="WNX23" s="64"/>
      <c r="WNY23" s="64"/>
      <c r="WNZ23" s="64"/>
      <c r="WOA23" s="64"/>
      <c r="WOB23" s="64"/>
      <c r="WOC23" s="64"/>
      <c r="WOD23" s="64"/>
      <c r="WOE23" s="64"/>
      <c r="WOF23" s="64"/>
      <c r="WOG23" s="64"/>
      <c r="WOH23" s="64"/>
      <c r="WOI23" s="64"/>
      <c r="WOJ23" s="64"/>
      <c r="WOK23" s="64"/>
      <c r="WOL23" s="64"/>
      <c r="WOM23" s="64"/>
      <c r="WON23" s="64"/>
      <c r="WOO23" s="64"/>
      <c r="WOP23" s="64"/>
      <c r="WOQ23" s="64"/>
      <c r="WOR23" s="64"/>
      <c r="WOS23" s="64"/>
      <c r="WOT23" s="64"/>
      <c r="WOU23" s="64"/>
      <c r="WOV23" s="64"/>
      <c r="WOW23" s="64"/>
      <c r="WOX23" s="64"/>
      <c r="WOY23" s="64"/>
      <c r="WOZ23" s="64"/>
      <c r="WPA23" s="64"/>
      <c r="WPB23" s="64"/>
      <c r="WPC23" s="64"/>
      <c r="WPD23" s="64"/>
      <c r="WPE23" s="64"/>
      <c r="WPF23" s="64"/>
      <c r="WPG23" s="64"/>
      <c r="WPH23" s="64"/>
      <c r="WPI23" s="64"/>
      <c r="WPJ23" s="64"/>
      <c r="WPK23" s="64"/>
      <c r="WPL23" s="64"/>
      <c r="WPM23" s="64"/>
      <c r="WPN23" s="64"/>
      <c r="WPO23" s="64"/>
      <c r="WPP23" s="64"/>
      <c r="WPQ23" s="64"/>
      <c r="WPR23" s="64"/>
      <c r="WPS23" s="64"/>
      <c r="WPT23" s="64"/>
      <c r="WPU23" s="64"/>
      <c r="WPV23" s="64"/>
      <c r="WPW23" s="64"/>
      <c r="WPX23" s="64"/>
      <c r="WPY23" s="64"/>
      <c r="WPZ23" s="64"/>
      <c r="WQA23" s="64"/>
      <c r="WQB23" s="64"/>
      <c r="WQC23" s="64"/>
      <c r="WQD23" s="64"/>
      <c r="WQE23" s="64"/>
      <c r="WQF23" s="64"/>
      <c r="WQG23" s="64"/>
      <c r="WQH23" s="64"/>
      <c r="WQI23" s="64"/>
      <c r="WQJ23" s="64"/>
      <c r="WQK23" s="64"/>
      <c r="WQL23" s="64"/>
      <c r="WQM23" s="64"/>
      <c r="WQN23" s="64"/>
      <c r="WQO23" s="64"/>
      <c r="WQP23" s="64"/>
      <c r="WQQ23" s="64"/>
      <c r="WQR23" s="64"/>
      <c r="WQS23" s="64"/>
      <c r="WQT23" s="64"/>
      <c r="WQU23" s="64"/>
      <c r="WQV23" s="64"/>
      <c r="WQW23" s="64"/>
      <c r="WQX23" s="64"/>
      <c r="WQY23" s="64"/>
      <c r="WQZ23" s="64"/>
      <c r="WRA23" s="64"/>
      <c r="WRB23" s="64"/>
      <c r="WRC23" s="64"/>
      <c r="WRD23" s="64"/>
      <c r="WRE23" s="64"/>
      <c r="WRF23" s="64"/>
      <c r="WRG23" s="64"/>
      <c r="WRH23" s="64"/>
      <c r="WRI23" s="64"/>
      <c r="WRJ23" s="64"/>
      <c r="WRK23" s="64"/>
      <c r="WRL23" s="64"/>
      <c r="WRM23" s="64"/>
      <c r="WRN23" s="64"/>
      <c r="WRO23" s="64"/>
      <c r="WRP23" s="64"/>
      <c r="WRQ23" s="64"/>
      <c r="WRR23" s="64"/>
      <c r="WRS23" s="64"/>
      <c r="WRT23" s="64"/>
      <c r="WRU23" s="64"/>
      <c r="WRV23" s="64"/>
      <c r="WRW23" s="64"/>
      <c r="WRX23" s="64"/>
      <c r="WRY23" s="64"/>
      <c r="WRZ23" s="64"/>
      <c r="WSA23" s="64"/>
      <c r="WSB23" s="64"/>
      <c r="WSC23" s="64"/>
      <c r="WSD23" s="64"/>
      <c r="WSE23" s="64"/>
      <c r="WSF23" s="64"/>
      <c r="WSG23" s="64"/>
      <c r="WSH23" s="64"/>
      <c r="WSI23" s="64"/>
      <c r="WSJ23" s="64"/>
      <c r="WSK23" s="64"/>
      <c r="WSL23" s="64"/>
      <c r="WSM23" s="64"/>
      <c r="WSN23" s="64"/>
      <c r="WSO23" s="64"/>
      <c r="WSP23" s="64"/>
      <c r="WSQ23" s="64"/>
      <c r="WSR23" s="64"/>
      <c r="WSS23" s="64"/>
      <c r="WST23" s="64"/>
      <c r="WSU23" s="64"/>
      <c r="WSV23" s="64"/>
      <c r="WSW23" s="64"/>
      <c r="WSX23" s="64"/>
      <c r="WSY23" s="64"/>
      <c r="WSZ23" s="64"/>
      <c r="WTA23" s="64"/>
      <c r="WTB23" s="64"/>
      <c r="WTC23" s="64"/>
      <c r="WTD23" s="64"/>
      <c r="WTE23" s="64"/>
      <c r="WTF23" s="64"/>
      <c r="WTG23" s="64"/>
      <c r="WTH23" s="64"/>
      <c r="WTI23" s="64"/>
      <c r="WTJ23" s="64"/>
      <c r="WTK23" s="64"/>
      <c r="WTL23" s="64"/>
      <c r="WTM23" s="64"/>
      <c r="WTN23" s="64"/>
      <c r="WTO23" s="64"/>
      <c r="WTP23" s="64"/>
      <c r="WTQ23" s="64"/>
      <c r="WTR23" s="64"/>
      <c r="WTS23" s="64"/>
      <c r="WTT23" s="64"/>
      <c r="WTU23" s="64"/>
      <c r="WTV23" s="64"/>
      <c r="WTW23" s="64"/>
      <c r="WTX23" s="64"/>
      <c r="WTY23" s="64"/>
      <c r="WTZ23" s="64"/>
      <c r="WUA23" s="64"/>
      <c r="WUB23" s="64"/>
      <c r="WUC23" s="64"/>
      <c r="WUD23" s="64"/>
      <c r="WUE23" s="64"/>
      <c r="WUF23" s="64"/>
      <c r="WUG23" s="64"/>
      <c r="WUH23" s="64"/>
      <c r="WUI23" s="64"/>
      <c r="WUJ23" s="64"/>
      <c r="WUK23" s="64"/>
      <c r="WUL23" s="64"/>
      <c r="WUM23" s="64"/>
      <c r="WUN23" s="64"/>
      <c r="WUO23" s="64"/>
      <c r="WUP23" s="64"/>
      <c r="WUQ23" s="64"/>
      <c r="WUR23" s="64"/>
      <c r="WUS23" s="64"/>
      <c r="WUT23" s="64"/>
      <c r="WUU23" s="64"/>
      <c r="WUV23" s="64"/>
      <c r="WUW23" s="64"/>
      <c r="WUX23" s="64"/>
      <c r="WUY23" s="64"/>
      <c r="WUZ23" s="64"/>
      <c r="WVA23" s="64"/>
      <c r="WVB23" s="64"/>
      <c r="WVC23" s="64"/>
      <c r="WVD23" s="64"/>
      <c r="WVE23" s="64"/>
      <c r="WVF23" s="64"/>
      <c r="WVG23" s="64"/>
      <c r="WVH23" s="64"/>
      <c r="WVI23" s="64"/>
      <c r="WVJ23" s="64"/>
      <c r="WVK23" s="64"/>
      <c r="WVL23" s="64"/>
      <c r="WVM23" s="64"/>
      <c r="WVN23" s="64"/>
      <c r="WVO23" s="64"/>
      <c r="WVP23" s="64"/>
      <c r="WVQ23" s="64"/>
      <c r="WVR23" s="64"/>
      <c r="WVS23" s="64"/>
      <c r="WVT23" s="64"/>
      <c r="WVU23" s="64"/>
      <c r="WVV23" s="64"/>
      <c r="WVW23" s="64"/>
      <c r="WVX23" s="64"/>
      <c r="WVY23" s="64"/>
      <c r="WVZ23" s="64"/>
      <c r="WWA23" s="64"/>
      <c r="WWB23" s="64"/>
      <c r="WWC23" s="64"/>
      <c r="WWD23" s="64"/>
      <c r="WWE23" s="64"/>
      <c r="WWF23" s="64"/>
      <c r="WWG23" s="64"/>
      <c r="WWH23" s="64"/>
      <c r="WWI23" s="64"/>
      <c r="WWJ23" s="64"/>
      <c r="WWK23" s="64"/>
      <c r="WWL23" s="64"/>
      <c r="WWM23" s="64"/>
      <c r="WWN23" s="64"/>
      <c r="WWO23" s="64"/>
      <c r="WWP23" s="64"/>
      <c r="WWQ23" s="64"/>
      <c r="WWR23" s="64"/>
      <c r="WWS23" s="64"/>
      <c r="WWT23" s="64"/>
      <c r="WWU23" s="64"/>
      <c r="WWV23" s="64"/>
      <c r="WWW23" s="64"/>
      <c r="WWX23" s="64"/>
      <c r="WWY23" s="64"/>
      <c r="WWZ23" s="64"/>
      <c r="WXA23" s="64"/>
      <c r="WXB23" s="64"/>
      <c r="WXC23" s="64"/>
      <c r="WXD23" s="64"/>
      <c r="WXE23" s="64"/>
      <c r="WXF23" s="64"/>
      <c r="WXG23" s="64"/>
      <c r="WXH23" s="64"/>
      <c r="WXI23" s="64"/>
      <c r="WXJ23" s="64"/>
      <c r="WXK23" s="64"/>
      <c r="WXL23" s="64"/>
      <c r="WXM23" s="64"/>
      <c r="WXN23" s="64"/>
      <c r="WXO23" s="64"/>
      <c r="WXP23" s="64"/>
      <c r="WXQ23" s="64"/>
      <c r="WXR23" s="64"/>
      <c r="WXS23" s="64"/>
      <c r="WXT23" s="64"/>
      <c r="WXU23" s="64"/>
      <c r="WXV23" s="64"/>
      <c r="WXW23" s="64"/>
      <c r="WXX23" s="64"/>
      <c r="WXY23" s="64"/>
      <c r="WXZ23" s="64"/>
      <c r="WYA23" s="64"/>
      <c r="WYB23" s="64"/>
      <c r="WYC23" s="64"/>
      <c r="WYD23" s="64"/>
      <c r="WYE23" s="64"/>
      <c r="WYF23" s="64"/>
      <c r="WYG23" s="64"/>
      <c r="WYH23" s="64"/>
      <c r="WYI23" s="64"/>
      <c r="WYJ23" s="64"/>
      <c r="WYK23" s="64"/>
      <c r="WYL23" s="64"/>
      <c r="WYM23" s="64"/>
      <c r="WYN23" s="64"/>
      <c r="WYO23" s="64"/>
      <c r="WYP23" s="64"/>
      <c r="WYQ23" s="64"/>
      <c r="WYR23" s="64"/>
      <c r="WYS23" s="64"/>
      <c r="WYT23" s="64"/>
      <c r="WYU23" s="64"/>
      <c r="WYV23" s="64"/>
      <c r="WYW23" s="64"/>
      <c r="WYX23" s="64"/>
      <c r="WYY23" s="64"/>
      <c r="WYZ23" s="64"/>
      <c r="WZA23" s="64"/>
      <c r="WZB23" s="64"/>
      <c r="WZC23" s="64"/>
      <c r="WZD23" s="64"/>
      <c r="WZE23" s="64"/>
      <c r="WZF23" s="64"/>
      <c r="WZG23" s="64"/>
      <c r="WZH23" s="64"/>
      <c r="WZI23" s="64"/>
      <c r="WZJ23" s="64"/>
      <c r="WZK23" s="64"/>
      <c r="WZL23" s="64"/>
      <c r="WZM23" s="64"/>
      <c r="WZN23" s="64"/>
      <c r="WZO23" s="64"/>
      <c r="WZP23" s="64"/>
      <c r="WZQ23" s="64"/>
      <c r="WZR23" s="64"/>
      <c r="WZS23" s="64"/>
      <c r="WZT23" s="64"/>
      <c r="WZU23" s="64"/>
      <c r="WZV23" s="64"/>
      <c r="WZW23" s="64"/>
      <c r="WZX23" s="64"/>
      <c r="WZY23" s="64"/>
      <c r="WZZ23" s="64"/>
      <c r="XAA23" s="64"/>
      <c r="XAB23" s="64"/>
      <c r="XAC23" s="64"/>
      <c r="XAD23" s="64"/>
      <c r="XAE23" s="64"/>
      <c r="XAF23" s="64"/>
      <c r="XAG23" s="64"/>
      <c r="XAH23" s="64"/>
      <c r="XAI23" s="64"/>
      <c r="XAJ23" s="64"/>
      <c r="XAK23" s="64"/>
      <c r="XAL23" s="64"/>
      <c r="XAM23" s="64"/>
      <c r="XAN23" s="64"/>
      <c r="XAO23" s="64"/>
      <c r="XAP23" s="64"/>
      <c r="XAQ23" s="64"/>
      <c r="XAR23" s="64"/>
      <c r="XAS23" s="64"/>
      <c r="XAT23" s="64"/>
      <c r="XAU23" s="64"/>
      <c r="XAV23" s="64"/>
      <c r="XAW23" s="64"/>
      <c r="XAX23" s="64"/>
      <c r="XAY23" s="64"/>
      <c r="XAZ23" s="64"/>
      <c r="XBA23" s="64"/>
      <c r="XBB23" s="64"/>
      <c r="XBC23" s="64"/>
      <c r="XBD23" s="64"/>
      <c r="XBE23" s="64"/>
      <c r="XBF23" s="64"/>
      <c r="XBG23" s="64"/>
      <c r="XBH23" s="64"/>
      <c r="XBI23" s="64"/>
      <c r="XBJ23" s="64"/>
      <c r="XBK23" s="64"/>
      <c r="XBL23" s="64"/>
      <c r="XBM23" s="64"/>
      <c r="XBN23" s="64"/>
      <c r="XBO23" s="64"/>
      <c r="XBP23" s="64"/>
      <c r="XBQ23" s="64"/>
      <c r="XBR23" s="64"/>
      <c r="XBS23" s="64"/>
      <c r="XBT23" s="64"/>
      <c r="XBU23" s="64"/>
      <c r="XBV23" s="64"/>
      <c r="XBW23" s="64"/>
      <c r="XBX23" s="64"/>
      <c r="XBY23" s="64"/>
      <c r="XBZ23" s="64"/>
      <c r="XCA23" s="64"/>
      <c r="XCB23" s="64"/>
      <c r="XCC23" s="64"/>
      <c r="XCD23" s="64"/>
      <c r="XCE23" s="64"/>
      <c r="XCF23" s="64"/>
      <c r="XCG23" s="64"/>
      <c r="XCH23" s="64"/>
      <c r="XCI23" s="64"/>
      <c r="XCJ23" s="64"/>
      <c r="XCK23" s="64"/>
      <c r="XCL23" s="64"/>
      <c r="XCM23" s="64"/>
      <c r="XCN23" s="64"/>
      <c r="XCO23" s="64"/>
      <c r="XCP23" s="64"/>
      <c r="XCQ23" s="64"/>
      <c r="XCR23" s="64"/>
      <c r="XCS23" s="64"/>
      <c r="XCT23" s="64"/>
      <c r="XCU23" s="64"/>
      <c r="XCV23" s="64"/>
      <c r="XCW23" s="64"/>
      <c r="XCX23" s="64"/>
      <c r="XCY23" s="64"/>
      <c r="XCZ23" s="64"/>
      <c r="XDA23" s="64"/>
      <c r="XDB23" s="64"/>
      <c r="XDC23" s="64"/>
      <c r="XDD23" s="64"/>
      <c r="XDE23" s="64"/>
      <c r="XDF23" s="64"/>
      <c r="XDG23" s="64"/>
      <c r="XDH23" s="64"/>
      <c r="XDI23" s="64"/>
      <c r="XDJ23" s="64"/>
      <c r="XDK23" s="64"/>
      <c r="XDL23" s="64"/>
      <c r="XDM23" s="64"/>
      <c r="XDN23" s="64"/>
      <c r="XDO23" s="64"/>
      <c r="XDP23" s="64"/>
      <c r="XDQ23" s="64"/>
      <c r="XDR23" s="64"/>
      <c r="XDS23" s="64"/>
      <c r="XDT23" s="64"/>
      <c r="XDU23" s="64"/>
      <c r="XDV23" s="64"/>
      <c r="XDW23" s="64"/>
      <c r="XDX23" s="64"/>
      <c r="XDY23" s="64"/>
      <c r="XDZ23" s="64"/>
      <c r="XEA23" s="64"/>
      <c r="XEB23" s="64"/>
      <c r="XEC23" s="64"/>
      <c r="XED23" s="64"/>
      <c r="XEE23" s="64"/>
      <c r="XEF23" s="64"/>
      <c r="XEG23" s="64"/>
      <c r="XEH23" s="64"/>
      <c r="XEI23" s="64"/>
      <c r="XEJ23" s="64"/>
      <c r="XEK23" s="64"/>
      <c r="XEL23" s="64"/>
      <c r="XEM23" s="64"/>
      <c r="XEN23" s="64"/>
      <c r="XEO23" s="64"/>
      <c r="XEP23" s="64"/>
      <c r="XEQ23" s="64"/>
      <c r="XER23" s="64"/>
      <c r="XES23" s="64"/>
      <c r="XET23" s="64"/>
      <c r="XEU23" s="64"/>
      <c r="XEV23" s="64"/>
      <c r="XEW23" s="64"/>
      <c r="XEX23" s="64"/>
      <c r="XEY23" s="64"/>
      <c r="XEZ23" s="64"/>
      <c r="XFA23" s="64"/>
      <c r="XFB23" s="64"/>
      <c r="XFC23" s="64"/>
      <c r="XFD23" s="64"/>
    </row>
    <row r="24" spans="1:16384" ht="20">
      <c r="A24" s="22" t="s">
        <v>358</v>
      </c>
      <c r="B24">
        <v>135723</v>
      </c>
      <c r="C24">
        <v>141731.28</v>
      </c>
      <c r="D24">
        <v>158130.94</v>
      </c>
      <c r="E24">
        <v>135235.44</v>
      </c>
      <c r="F24">
        <v>114576.79999999999</v>
      </c>
      <c r="G24">
        <v>135723</v>
      </c>
      <c r="H24">
        <v>102658.15</v>
      </c>
      <c r="I24">
        <v>119252.28000000001</v>
      </c>
      <c r="J24">
        <v>126310.15000000001</v>
      </c>
      <c r="K24">
        <v>142745.79</v>
      </c>
      <c r="L24">
        <v>149903</v>
      </c>
      <c r="M24">
        <v>113830.9</v>
      </c>
      <c r="N24">
        <v>128173.19999999998</v>
      </c>
      <c r="O24">
        <v>146883.75</v>
      </c>
      <c r="P24">
        <v>114940.56000000001</v>
      </c>
      <c r="Q24">
        <v>122411.36</v>
      </c>
      <c r="R24">
        <v>155883</v>
      </c>
      <c r="S24">
        <v>150575.37</v>
      </c>
      <c r="T24">
        <v>135235.44</v>
      </c>
      <c r="U24">
        <v>136078.22</v>
      </c>
      <c r="V24">
        <v>97638.2</v>
      </c>
      <c r="W24">
        <v>122423.19</v>
      </c>
      <c r="X24">
        <v>128581.74000000002</v>
      </c>
      <c r="Y24">
        <v>134585.60000000001</v>
      </c>
      <c r="Z24">
        <v>107779.25</v>
      </c>
      <c r="AA24">
        <v>137328.57999999999</v>
      </c>
      <c r="AB24">
        <v>154437.62</v>
      </c>
      <c r="AC24">
        <v>158130.94</v>
      </c>
      <c r="AD24">
        <v>111134.40000000001</v>
      </c>
      <c r="AE24">
        <v>154437.62</v>
      </c>
      <c r="AF24">
        <v>151610.28</v>
      </c>
      <c r="AG24">
        <v>142650.62</v>
      </c>
      <c r="AH24">
        <v>148244.97</v>
      </c>
      <c r="AI24">
        <v>106445.59999999999</v>
      </c>
      <c r="AJ24">
        <v>110964</v>
      </c>
      <c r="AK24">
        <v>123526.38999999998</v>
      </c>
      <c r="AL24">
        <v>143306.79999999999</v>
      </c>
      <c r="AM24">
        <v>108587.08</v>
      </c>
      <c r="AN24">
        <v>110728.8</v>
      </c>
      <c r="AO24">
        <v>107618.67</v>
      </c>
      <c r="AP24">
        <v>98526.959999999992</v>
      </c>
      <c r="AQ24">
        <v>113723.99999999999</v>
      </c>
      <c r="AR24">
        <v>110964</v>
      </c>
      <c r="AS24">
        <v>124754.62</v>
      </c>
      <c r="AT24">
        <v>122411.36</v>
      </c>
      <c r="AU24">
        <v>146233.07999999999</v>
      </c>
      <c r="AV24">
        <v>131154.81</v>
      </c>
      <c r="AW24">
        <v>137470.20000000001</v>
      </c>
      <c r="AX24" t="e">
        <v>#N/A</v>
      </c>
      <c r="AY24">
        <v>117206.69999999998</v>
      </c>
      <c r="AZ24">
        <v>131154.81</v>
      </c>
      <c r="BA24">
        <v>151765.98000000001</v>
      </c>
      <c r="BB24">
        <v>136751.46000000002</v>
      </c>
      <c r="BC24">
        <v>119826.09</v>
      </c>
      <c r="BD24">
        <v>120424.50000000001</v>
      </c>
      <c r="BE24">
        <v>148890.51999999999</v>
      </c>
      <c r="BF24">
        <v>144892.32</v>
      </c>
      <c r="BG24">
        <v>121964.84999999999</v>
      </c>
      <c r="BH24">
        <v>134437.68</v>
      </c>
      <c r="BI24">
        <v>96964.47</v>
      </c>
      <c r="BJ24">
        <v>102658.15</v>
      </c>
      <c r="BK24">
        <v>118664.90000000001</v>
      </c>
      <c r="BL24">
        <v>118664.90000000001</v>
      </c>
      <c r="BM24">
        <v>114922.00000000001</v>
      </c>
      <c r="BN24">
        <v>136539.19999999998</v>
      </c>
      <c r="BO24">
        <v>134337.41</v>
      </c>
      <c r="BP24">
        <v>115480.89</v>
      </c>
      <c r="BQ24">
        <v>134437.68</v>
      </c>
      <c r="BR24">
        <v>116643.41</v>
      </c>
      <c r="BS24">
        <v>115698.23999999999</v>
      </c>
      <c r="BT24">
        <v>113702.39999999999</v>
      </c>
      <c r="BU24">
        <v>124060.5</v>
      </c>
      <c r="BV24">
        <v>137328.57999999999</v>
      </c>
      <c r="BW24">
        <v>150575.37</v>
      </c>
      <c r="BX24">
        <v>124754.62</v>
      </c>
      <c r="BY24" t="e">
        <v>#N/A</v>
      </c>
      <c r="BZ24">
        <v>127365.6</v>
      </c>
      <c r="CA24">
        <v>120342.2</v>
      </c>
      <c r="CB24">
        <v>137470.20000000001</v>
      </c>
      <c r="CC24" t="e">
        <v>#N/A</v>
      </c>
      <c r="CD24" t="e">
        <v>#N/A</v>
      </c>
      <c r="CE24">
        <v>155883</v>
      </c>
      <c r="CF24">
        <v>97638.2</v>
      </c>
      <c r="CG24">
        <v>111134.40000000001</v>
      </c>
      <c r="CH24">
        <v>115763.2</v>
      </c>
      <c r="CI24">
        <v>204595.19999999998</v>
      </c>
      <c r="CJ24">
        <v>138375.36000000002</v>
      </c>
      <c r="CK24">
        <v>131154.81</v>
      </c>
      <c r="CL24">
        <v>112544.25</v>
      </c>
      <c r="CM24">
        <v>146561.4</v>
      </c>
      <c r="CN24">
        <v>131420.04</v>
      </c>
      <c r="CO24">
        <v>153561.66</v>
      </c>
      <c r="CP24">
        <v>107410.59</v>
      </c>
      <c r="CQ24">
        <v>120122.75</v>
      </c>
      <c r="CR24">
        <v>96964.47</v>
      </c>
      <c r="CS24">
        <v>100176.64</v>
      </c>
      <c r="CT24">
        <v>128431.45000000001</v>
      </c>
      <c r="CU24">
        <v>123343.53</v>
      </c>
      <c r="CV24">
        <v>91938.3</v>
      </c>
      <c r="CW24">
        <v>113830.9</v>
      </c>
      <c r="CX24">
        <v>108945.21</v>
      </c>
      <c r="CY24">
        <v>130338.00999999998</v>
      </c>
      <c r="CZ24">
        <v>131154.81</v>
      </c>
      <c r="DA24" s="97">
        <v>102658.15</v>
      </c>
      <c r="DB24">
        <v>131420.04</v>
      </c>
      <c r="DC24">
        <v>124465.2</v>
      </c>
      <c r="DD24">
        <v>123580.80000000002</v>
      </c>
      <c r="DE24">
        <v>135235.44</v>
      </c>
      <c r="DF24">
        <v>152519.5</v>
      </c>
      <c r="DG24">
        <v>135961.46</v>
      </c>
      <c r="DH24">
        <v>131154.81</v>
      </c>
      <c r="DI24">
        <v>132396.46</v>
      </c>
      <c r="DJ24">
        <v>137068.92000000001</v>
      </c>
      <c r="DK24">
        <v>124855.38</v>
      </c>
      <c r="DL24">
        <v>124855.38</v>
      </c>
      <c r="DM24">
        <v>148777.74</v>
      </c>
      <c r="DN24">
        <v>126277.25</v>
      </c>
      <c r="DO24">
        <v>127020.6</v>
      </c>
      <c r="DP24">
        <v>122411.36</v>
      </c>
      <c r="DQ24">
        <v>141731.28</v>
      </c>
      <c r="DR24">
        <v>128581.74000000002</v>
      </c>
      <c r="DS24">
        <v>147753.9</v>
      </c>
      <c r="DT24" t="e">
        <v>#N/A</v>
      </c>
      <c r="DU24">
        <v>204595.19999999998</v>
      </c>
      <c r="DV24">
        <v>125990.27999999998</v>
      </c>
      <c r="DW24">
        <v>117206.69999999998</v>
      </c>
      <c r="DX24">
        <v>116643.41</v>
      </c>
      <c r="DY24">
        <v>119201.35</v>
      </c>
      <c r="DZ24">
        <v>116472.95999999999</v>
      </c>
      <c r="EA24">
        <v>106445.59999999999</v>
      </c>
      <c r="EB24">
        <v>127693.85</v>
      </c>
      <c r="EC24">
        <v>97638.2</v>
      </c>
      <c r="ED24">
        <v>110685.12000000001</v>
      </c>
      <c r="EE24">
        <v>110728.8</v>
      </c>
      <c r="EF24">
        <v>107779.25</v>
      </c>
      <c r="EG24">
        <v>111134.40000000001</v>
      </c>
      <c r="EH24">
        <v>119252.28000000001</v>
      </c>
      <c r="EI24">
        <v>110964</v>
      </c>
      <c r="EJ24">
        <v>115698.23999999999</v>
      </c>
      <c r="EK24">
        <v>122423.19</v>
      </c>
      <c r="EL24">
        <v>114499.51999999999</v>
      </c>
      <c r="EM24">
        <v>109545.77999999998</v>
      </c>
      <c r="EN24">
        <v>114576.8</v>
      </c>
      <c r="EO24">
        <v>91938.3</v>
      </c>
      <c r="EP24">
        <v>96964.47</v>
      </c>
      <c r="EQ24">
        <v>155883</v>
      </c>
      <c r="ER24">
        <v>116342.40000000002</v>
      </c>
      <c r="ES24">
        <v>127575.76000000001</v>
      </c>
      <c r="ET24">
        <v>125423.76000000001</v>
      </c>
      <c r="EU24">
        <v>115763.2</v>
      </c>
      <c r="EV24">
        <v>126211.45000000001</v>
      </c>
      <c r="EW24">
        <v>143306.79999999999</v>
      </c>
      <c r="EX24">
        <v>204595.19999999998</v>
      </c>
      <c r="EY24">
        <v>123343.53</v>
      </c>
      <c r="EZ24">
        <v>115763.2</v>
      </c>
      <c r="FA24">
        <v>148543.44</v>
      </c>
      <c r="FB24">
        <v>112544.25</v>
      </c>
      <c r="FC24">
        <v>98895.400000000009</v>
      </c>
      <c r="FD24">
        <v>124754.62</v>
      </c>
      <c r="FE24">
        <v>123526.38999999998</v>
      </c>
      <c r="FF24">
        <v>136539.19999999998</v>
      </c>
      <c r="FG24">
        <v>100176.64</v>
      </c>
      <c r="FH24">
        <v>112110.92</v>
      </c>
      <c r="FI24">
        <v>98526.959999999992</v>
      </c>
      <c r="FJ24">
        <v>148244.97</v>
      </c>
      <c r="FK24">
        <v>127365.6</v>
      </c>
      <c r="FL24">
        <v>120424.5</v>
      </c>
      <c r="FM24">
        <v>151610.28</v>
      </c>
      <c r="FN24">
        <v>115480.89</v>
      </c>
      <c r="FO24">
        <v>120122.75</v>
      </c>
      <c r="FP24" t="e">
        <v>#N/A</v>
      </c>
      <c r="FQ24">
        <v>146639.16</v>
      </c>
      <c r="FR24" s="1">
        <v>130338.01</v>
      </c>
      <c r="FS24">
        <v>146233.07999999999</v>
      </c>
      <c r="FT24">
        <v>123724.16</v>
      </c>
      <c r="FU24">
        <v>170029.38</v>
      </c>
      <c r="FV24">
        <v>136078.22</v>
      </c>
      <c r="FW24">
        <v>118828.08</v>
      </c>
      <c r="FX24">
        <v>118828.08</v>
      </c>
      <c r="FY24">
        <v>123956.99999999999</v>
      </c>
      <c r="FZ24">
        <v>132456.72</v>
      </c>
      <c r="GA24">
        <v>142650.62</v>
      </c>
      <c r="GB24">
        <v>137934.94</v>
      </c>
      <c r="GC24">
        <v>116682.01000000001</v>
      </c>
      <c r="GD24">
        <v>137470.20000000001</v>
      </c>
      <c r="GE24">
        <v>134559.63</v>
      </c>
      <c r="GF24">
        <v>136651.20000000001</v>
      </c>
      <c r="GG24" t="e">
        <v>#N/A</v>
      </c>
      <c r="GH24">
        <v>136751.46000000002</v>
      </c>
      <c r="GI24">
        <v>138375.36000000002</v>
      </c>
      <c r="GJ24">
        <v>146561.4</v>
      </c>
      <c r="GK24">
        <v>140158.96</v>
      </c>
      <c r="GL24" t="e">
        <v>#N/A</v>
      </c>
      <c r="GM24">
        <v>120351</v>
      </c>
      <c r="GN24">
        <v>126310.15000000001</v>
      </c>
      <c r="GO24">
        <v>120668.79</v>
      </c>
      <c r="GP24">
        <v>118664.90000000001</v>
      </c>
      <c r="GQ24">
        <v>158130.94</v>
      </c>
      <c r="GR24">
        <v>121964.84999999999</v>
      </c>
      <c r="GS24">
        <v>101446.38</v>
      </c>
      <c r="GT24">
        <v>134337.41</v>
      </c>
      <c r="GU24">
        <v>113723.99999999999</v>
      </c>
      <c r="GV24">
        <v>103465.34999999999</v>
      </c>
      <c r="GW24">
        <v>142745.79</v>
      </c>
      <c r="GX24">
        <v>95477</v>
      </c>
      <c r="GY24">
        <v>118978.92</v>
      </c>
      <c r="GZ24">
        <v>176708.35</v>
      </c>
      <c r="HA24">
        <v>136790.80000000002</v>
      </c>
      <c r="HB24" t="e">
        <v>#N/A</v>
      </c>
      <c r="HC24">
        <v>124060.5</v>
      </c>
      <c r="HD24">
        <v>163629.74</v>
      </c>
      <c r="HE24">
        <v>152965.12</v>
      </c>
      <c r="HF24">
        <v>134524.4</v>
      </c>
      <c r="HG24">
        <v>107924.95</v>
      </c>
      <c r="HH24">
        <v>111163</v>
      </c>
      <c r="HI24">
        <v>151765.98000000001</v>
      </c>
      <c r="HJ24" t="e">
        <v>#N/A</v>
      </c>
      <c r="HK24">
        <v>134585.60000000001</v>
      </c>
      <c r="HL24">
        <v>103767.72</v>
      </c>
      <c r="HM24">
        <v>107410.59</v>
      </c>
      <c r="HN24">
        <v>128173.19999999998</v>
      </c>
      <c r="HO24">
        <v>125854.56000000001</v>
      </c>
      <c r="HP24">
        <v>108945.21</v>
      </c>
      <c r="HQ24">
        <v>108587.08</v>
      </c>
      <c r="HR24">
        <v>107618.67</v>
      </c>
      <c r="HS24">
        <v>119826.09</v>
      </c>
      <c r="HT24">
        <v>114940.56</v>
      </c>
      <c r="HU24">
        <v>102658.15</v>
      </c>
      <c r="HV24">
        <v>113702.39999999999</v>
      </c>
      <c r="HW24">
        <v>114922.00000000001</v>
      </c>
      <c r="HX24">
        <v>136413.20000000001</v>
      </c>
      <c r="HY24">
        <v>122847.27</v>
      </c>
      <c r="HZ24">
        <v>128431.45000000001</v>
      </c>
      <c r="IA24">
        <v>134437.68</v>
      </c>
      <c r="IB24">
        <v>114836.4</v>
      </c>
      <c r="IC24">
        <v>135723</v>
      </c>
      <c r="ID24">
        <v>114855</v>
      </c>
      <c r="IE24">
        <v>133053.85</v>
      </c>
      <c r="IF24">
        <v>133053.85</v>
      </c>
      <c r="IG24">
        <v>143249.31</v>
      </c>
      <c r="IH24">
        <v>122795.2</v>
      </c>
      <c r="II24">
        <v>143881.92000000001</v>
      </c>
      <c r="IJ24">
        <v>113830.9</v>
      </c>
      <c r="IK24">
        <v>118066.00000000001</v>
      </c>
      <c r="IL24">
        <v>154523.54</v>
      </c>
      <c r="IM24">
        <v>146883.75</v>
      </c>
      <c r="IN24">
        <v>137328.57999999999</v>
      </c>
      <c r="IO24">
        <v>120342.20000000001</v>
      </c>
      <c r="IP24">
        <v>133287.28</v>
      </c>
      <c r="IQ24">
        <v>149903</v>
      </c>
      <c r="IR24" t="e">
        <v>#N/A</v>
      </c>
      <c r="IS24">
        <v>144892.32</v>
      </c>
      <c r="IT24">
        <v>150575.37</v>
      </c>
      <c r="IU24">
        <v>154437.62</v>
      </c>
      <c r="IV24">
        <v>153561.66</v>
      </c>
      <c r="IW24">
        <v>152149.07999999999</v>
      </c>
      <c r="IX24">
        <v>148890.51999999999</v>
      </c>
      <c r="IY24">
        <v>147968.69999999998</v>
      </c>
      <c r="IZ24">
        <v>139714.68000000002</v>
      </c>
      <c r="JA24" s="64"/>
      <c r="JB24" s="64"/>
      <c r="JC24" s="64"/>
      <c r="JD24" s="64"/>
      <c r="JE24" s="64"/>
      <c r="JF24" s="64"/>
      <c r="JG24" s="64"/>
      <c r="JH24" s="64"/>
      <c r="JI24" s="64"/>
      <c r="JJ24" s="64"/>
      <c r="JK24" s="64"/>
      <c r="JL24" s="64"/>
      <c r="JM24" s="64"/>
      <c r="JN24" s="64"/>
      <c r="JO24" s="64"/>
      <c r="JP24" s="64"/>
      <c r="JQ24" s="64"/>
      <c r="JR24" s="64"/>
      <c r="JS24" s="64"/>
      <c r="JT24" s="64"/>
      <c r="JU24" s="64"/>
      <c r="JV24" s="64"/>
      <c r="JW24" s="64"/>
      <c r="JX24" s="64"/>
      <c r="JY24" s="64"/>
      <c r="JZ24" s="64"/>
      <c r="KA24" s="64"/>
      <c r="KB24" s="64"/>
      <c r="KC24" s="64"/>
      <c r="KD24" s="64"/>
      <c r="KE24" s="64"/>
      <c r="KF24" s="64"/>
      <c r="KG24" s="64"/>
      <c r="KH24" s="64"/>
      <c r="KI24" s="64"/>
      <c r="KJ24" s="64"/>
      <c r="KK24" s="64"/>
      <c r="KL24" s="64"/>
      <c r="KM24" s="64"/>
      <c r="KN24" s="64"/>
      <c r="KO24" s="64"/>
      <c r="KP24" s="64"/>
      <c r="KQ24" s="64"/>
      <c r="KR24" s="64"/>
      <c r="KS24" s="64"/>
      <c r="KT24" s="64"/>
      <c r="KU24" s="64"/>
      <c r="KV24" s="64"/>
      <c r="KW24" s="64"/>
      <c r="KX24" s="64"/>
      <c r="KY24" s="64"/>
      <c r="KZ24" s="64"/>
      <c r="LA24" s="64"/>
      <c r="LB24" s="64"/>
      <c r="LC24" s="64"/>
      <c r="LD24" s="64"/>
      <c r="LE24" s="64"/>
      <c r="LF24" s="64"/>
      <c r="LG24" s="64"/>
      <c r="LH24" s="64"/>
      <c r="LI24" s="64"/>
      <c r="LJ24" s="64"/>
      <c r="LK24" s="64"/>
      <c r="LL24" s="64"/>
      <c r="LM24" s="64"/>
      <c r="LN24" s="64"/>
      <c r="LO24" s="64"/>
      <c r="LP24" s="64"/>
      <c r="LQ24" s="64"/>
      <c r="LR24" s="64"/>
      <c r="LS24" s="64"/>
      <c r="LT24" s="64"/>
      <c r="LU24" s="64"/>
      <c r="LV24" s="64"/>
      <c r="LW24" s="64"/>
      <c r="LX24" s="64"/>
      <c r="LY24" s="64"/>
      <c r="LZ24" s="64"/>
      <c r="MA24" s="64"/>
      <c r="MB24" s="64"/>
      <c r="MC24" s="64"/>
      <c r="MD24" s="64"/>
      <c r="ME24" s="64"/>
      <c r="MF24" s="64"/>
      <c r="MG24" s="64"/>
      <c r="MH24" s="64"/>
      <c r="MI24" s="64"/>
      <c r="MJ24" s="64"/>
      <c r="MK24" s="64"/>
      <c r="ML24" s="64"/>
      <c r="MM24" s="64"/>
      <c r="MN24" s="64"/>
      <c r="MO24" s="64"/>
      <c r="MP24" s="64"/>
      <c r="MQ24" s="64"/>
      <c r="MR24" s="64"/>
      <c r="MS24" s="64"/>
      <c r="MT24" s="64"/>
      <c r="MU24" s="64"/>
      <c r="MV24" s="64"/>
      <c r="MW24" s="64"/>
      <c r="MX24" s="64"/>
      <c r="MY24" s="64"/>
      <c r="MZ24" s="64"/>
      <c r="NA24" s="64"/>
      <c r="NB24" s="64"/>
      <c r="NC24" s="64"/>
      <c r="ND24" s="64"/>
      <c r="NE24" s="64"/>
      <c r="NF24" s="64"/>
      <c r="NG24" s="64"/>
      <c r="NH24" s="64"/>
      <c r="NI24" s="64"/>
      <c r="NJ24" s="64"/>
      <c r="NK24" s="64"/>
      <c r="NL24" s="64"/>
      <c r="NM24" s="64"/>
      <c r="NN24" s="64"/>
      <c r="NO24" s="64"/>
      <c r="NP24" s="64"/>
      <c r="NQ24" s="64"/>
      <c r="NR24" s="64"/>
      <c r="NS24" s="64"/>
      <c r="NT24" s="64"/>
      <c r="NU24" s="64"/>
      <c r="NV24" s="64"/>
      <c r="NW24" s="64"/>
      <c r="NX24" s="64"/>
      <c r="NY24" s="64"/>
      <c r="NZ24" s="64"/>
      <c r="OA24" s="64"/>
      <c r="OB24" s="64"/>
      <c r="OC24" s="64"/>
      <c r="OD24" s="64"/>
      <c r="OE24" s="64"/>
      <c r="OF24" s="64"/>
      <c r="OG24" s="64"/>
      <c r="OH24" s="64"/>
      <c r="OI24" s="64"/>
      <c r="OJ24" s="64"/>
      <c r="OK24" s="64"/>
      <c r="OL24" s="64"/>
      <c r="OM24" s="64"/>
      <c r="ON24" s="64"/>
      <c r="OO24" s="64"/>
      <c r="OP24" s="64"/>
      <c r="OQ24" s="64"/>
      <c r="OR24" s="64"/>
      <c r="OS24" s="64"/>
      <c r="OT24" s="64"/>
      <c r="OU24" s="64"/>
      <c r="OV24" s="64"/>
      <c r="OW24" s="64"/>
      <c r="OX24" s="64"/>
      <c r="OY24" s="64"/>
      <c r="OZ24" s="64"/>
      <c r="PA24" s="64"/>
      <c r="PB24" s="64"/>
      <c r="PC24" s="64"/>
      <c r="PD24" s="64"/>
      <c r="PE24" s="64"/>
      <c r="PF24" s="64"/>
      <c r="PG24" s="64"/>
      <c r="PH24" s="64"/>
      <c r="PI24" s="64"/>
      <c r="PJ24" s="64"/>
      <c r="PK24" s="64"/>
      <c r="PL24" s="64"/>
      <c r="PM24" s="64"/>
      <c r="PN24" s="64"/>
      <c r="PO24" s="64"/>
      <c r="PP24" s="64"/>
      <c r="PQ24" s="64"/>
      <c r="PR24" s="64"/>
      <c r="PS24" s="64"/>
      <c r="PT24" s="64"/>
      <c r="PU24" s="64"/>
      <c r="PV24" s="64"/>
      <c r="PW24" s="64"/>
      <c r="PX24" s="64"/>
      <c r="PY24" s="64"/>
      <c r="PZ24" s="64"/>
      <c r="QA24" s="64"/>
      <c r="QB24" s="64"/>
      <c r="QC24" s="64"/>
      <c r="QD24" s="64"/>
      <c r="QE24" s="64"/>
      <c r="QF24" s="64"/>
      <c r="QG24" s="64"/>
      <c r="QH24" s="64"/>
      <c r="QI24" s="64"/>
      <c r="QJ24" s="64"/>
      <c r="QK24" s="64"/>
      <c r="QL24" s="64"/>
      <c r="QM24" s="64"/>
      <c r="QN24" s="64"/>
      <c r="QO24" s="64"/>
      <c r="QP24" s="64"/>
      <c r="QQ24" s="64"/>
      <c r="QR24" s="64"/>
      <c r="QS24" s="64"/>
      <c r="QT24" s="64"/>
      <c r="QU24" s="64"/>
      <c r="QV24" s="64"/>
      <c r="QW24" s="64"/>
      <c r="QX24" s="64"/>
      <c r="QY24" s="64"/>
      <c r="QZ24" s="64"/>
      <c r="RA24" s="64"/>
      <c r="RB24" s="64"/>
      <c r="RC24" s="64"/>
      <c r="RD24" s="64"/>
      <c r="RE24" s="64"/>
      <c r="RF24" s="64"/>
      <c r="RG24" s="64"/>
      <c r="RH24" s="64"/>
      <c r="RI24" s="64"/>
      <c r="RJ24" s="64"/>
      <c r="RK24" s="64"/>
      <c r="RL24" s="64"/>
      <c r="RM24" s="64"/>
      <c r="RN24" s="64"/>
      <c r="RO24" s="64"/>
      <c r="RP24" s="64"/>
      <c r="RQ24" s="64"/>
      <c r="RR24" s="64"/>
      <c r="RS24" s="64"/>
      <c r="RT24" s="64"/>
      <c r="RU24" s="64"/>
      <c r="RV24" s="64"/>
      <c r="RW24" s="64"/>
      <c r="RX24" s="64"/>
      <c r="RY24" s="64"/>
      <c r="RZ24" s="64"/>
      <c r="SA24" s="64"/>
      <c r="SB24" s="64"/>
      <c r="SC24" s="64"/>
      <c r="SD24" s="64"/>
      <c r="SE24" s="64"/>
      <c r="SF24" s="64"/>
      <c r="SG24" s="64"/>
      <c r="SH24" s="64"/>
      <c r="SI24" s="64"/>
      <c r="SJ24" s="64"/>
      <c r="SK24" s="64"/>
      <c r="SL24" s="64"/>
      <c r="SM24" s="64"/>
      <c r="SN24" s="64"/>
      <c r="SO24" s="64"/>
      <c r="SP24" s="64"/>
      <c r="SQ24" s="64"/>
      <c r="SR24" s="64"/>
      <c r="SS24" s="64"/>
      <c r="ST24" s="64"/>
      <c r="SU24" s="64"/>
      <c r="SV24" s="64"/>
      <c r="SW24" s="64"/>
      <c r="SX24" s="64"/>
      <c r="SY24" s="64"/>
      <c r="SZ24" s="64"/>
      <c r="TA24" s="64"/>
      <c r="TB24" s="64"/>
      <c r="TC24" s="64"/>
      <c r="TD24" s="64"/>
      <c r="TE24" s="64"/>
      <c r="TF24" s="64"/>
      <c r="TG24" s="64"/>
      <c r="TH24" s="64"/>
      <c r="TI24" s="64"/>
      <c r="TJ24" s="64"/>
      <c r="TK24" s="64"/>
      <c r="TL24" s="64"/>
      <c r="TM24" s="64"/>
      <c r="TN24" s="64"/>
      <c r="TO24" s="64"/>
      <c r="TP24" s="64"/>
      <c r="TQ24" s="64"/>
      <c r="TR24" s="64"/>
      <c r="TS24" s="64"/>
      <c r="TT24" s="64"/>
      <c r="TU24" s="64"/>
      <c r="TV24" s="64"/>
      <c r="TW24" s="64"/>
      <c r="TX24" s="64"/>
      <c r="TY24" s="64"/>
      <c r="TZ24" s="64"/>
      <c r="UA24" s="64"/>
      <c r="UB24" s="64"/>
      <c r="UC24" s="64"/>
      <c r="UD24" s="64"/>
      <c r="UE24" s="64"/>
      <c r="UF24" s="64"/>
      <c r="UG24" s="64"/>
      <c r="UH24" s="64"/>
      <c r="UI24" s="64"/>
      <c r="UJ24" s="64"/>
      <c r="UK24" s="64"/>
      <c r="UL24" s="64"/>
      <c r="UM24" s="64"/>
      <c r="UN24" s="64"/>
      <c r="UO24" s="64"/>
      <c r="UP24" s="64"/>
      <c r="UQ24" s="64"/>
      <c r="UR24" s="64"/>
      <c r="US24" s="64"/>
      <c r="UT24" s="64"/>
      <c r="UU24" s="64"/>
      <c r="UV24" s="64"/>
      <c r="UW24" s="64"/>
      <c r="UX24" s="64"/>
      <c r="UY24" s="64"/>
      <c r="UZ24" s="64"/>
      <c r="VA24" s="64"/>
      <c r="VB24" s="64"/>
      <c r="VC24" s="64"/>
      <c r="VD24" s="64"/>
      <c r="VE24" s="64"/>
      <c r="VF24" s="64"/>
      <c r="VG24" s="64"/>
      <c r="VH24" s="64"/>
      <c r="VI24" s="64"/>
      <c r="VJ24" s="64"/>
      <c r="VK24" s="64"/>
      <c r="VL24" s="64"/>
      <c r="VM24" s="64"/>
      <c r="VN24" s="64"/>
      <c r="VO24" s="64"/>
      <c r="VP24" s="64"/>
      <c r="VQ24" s="64"/>
      <c r="VR24" s="64"/>
      <c r="VS24" s="64"/>
      <c r="VT24" s="64"/>
      <c r="VU24" s="64"/>
      <c r="VV24" s="64"/>
      <c r="VW24" s="64"/>
      <c r="VX24" s="64"/>
      <c r="VY24" s="64"/>
      <c r="VZ24" s="64"/>
      <c r="WA24" s="64"/>
      <c r="WB24" s="64"/>
      <c r="WC24" s="64"/>
      <c r="WD24" s="64"/>
      <c r="WE24" s="64"/>
      <c r="WF24" s="64"/>
      <c r="WG24" s="64"/>
      <c r="WH24" s="64"/>
      <c r="WI24" s="64"/>
      <c r="WJ24" s="64"/>
      <c r="WK24" s="64"/>
      <c r="WL24" s="64"/>
      <c r="WM24" s="64"/>
      <c r="WN24" s="64"/>
      <c r="WO24" s="64"/>
      <c r="WP24" s="64"/>
      <c r="WQ24" s="64"/>
      <c r="WR24" s="64"/>
      <c r="WS24" s="64"/>
      <c r="WT24" s="64"/>
      <c r="WU24" s="64"/>
      <c r="WV24" s="64"/>
      <c r="WW24" s="64"/>
      <c r="WX24" s="64"/>
      <c r="WY24" s="64"/>
      <c r="WZ24" s="64"/>
      <c r="XA24" s="64"/>
      <c r="XB24" s="64"/>
      <c r="XC24" s="64"/>
      <c r="XD24" s="64"/>
      <c r="XE24" s="64"/>
      <c r="XF24" s="64"/>
      <c r="XG24" s="64"/>
      <c r="XH24" s="64"/>
      <c r="XI24" s="64"/>
      <c r="XJ24" s="64"/>
      <c r="XK24" s="64"/>
      <c r="XL24" s="64"/>
      <c r="XM24" s="64"/>
      <c r="XN24" s="64"/>
      <c r="XO24" s="64"/>
      <c r="XP24" s="64"/>
      <c r="XQ24" s="64"/>
      <c r="XR24" s="64"/>
      <c r="XS24" s="64"/>
      <c r="XT24" s="64"/>
      <c r="XU24" s="64"/>
      <c r="XV24" s="64"/>
      <c r="XW24" s="64"/>
      <c r="XX24" s="64"/>
      <c r="XY24" s="64"/>
      <c r="XZ24" s="64"/>
      <c r="YA24" s="64"/>
      <c r="YB24" s="64"/>
      <c r="YC24" s="64"/>
      <c r="YD24" s="64"/>
      <c r="YE24" s="64"/>
      <c r="YF24" s="64"/>
      <c r="YG24" s="64"/>
      <c r="YH24" s="64"/>
      <c r="YI24" s="64"/>
      <c r="YJ24" s="64"/>
      <c r="YK24" s="64"/>
      <c r="YL24" s="64"/>
      <c r="YM24" s="64"/>
      <c r="YN24" s="64"/>
      <c r="YO24" s="64"/>
      <c r="YP24" s="64"/>
      <c r="YQ24" s="64"/>
      <c r="YR24" s="64"/>
      <c r="YS24" s="64"/>
      <c r="YT24" s="64"/>
      <c r="YU24" s="64"/>
      <c r="YV24" s="64"/>
      <c r="YW24" s="64"/>
      <c r="YX24" s="64"/>
      <c r="YY24" s="64"/>
      <c r="YZ24" s="64"/>
      <c r="ZA24" s="64"/>
      <c r="ZB24" s="64"/>
      <c r="ZC24" s="64"/>
      <c r="ZD24" s="64"/>
      <c r="ZE24" s="64"/>
      <c r="ZF24" s="64"/>
      <c r="ZG24" s="64"/>
      <c r="ZH24" s="64"/>
      <c r="ZI24" s="64"/>
      <c r="ZJ24" s="64"/>
      <c r="ZK24" s="64"/>
      <c r="ZL24" s="64"/>
      <c r="ZM24" s="64"/>
      <c r="ZN24" s="64"/>
      <c r="ZO24" s="64"/>
      <c r="ZP24" s="64"/>
      <c r="ZQ24" s="64"/>
      <c r="ZR24" s="64"/>
      <c r="ZS24" s="64"/>
      <c r="ZT24" s="64"/>
      <c r="ZU24" s="64"/>
      <c r="ZV24" s="64"/>
      <c r="ZW24" s="64"/>
      <c r="ZX24" s="64"/>
      <c r="ZY24" s="64"/>
      <c r="ZZ24" s="64"/>
      <c r="AAA24" s="64"/>
      <c r="AAB24" s="64"/>
      <c r="AAC24" s="64"/>
      <c r="AAD24" s="64"/>
      <c r="AAE24" s="64"/>
      <c r="AAF24" s="64"/>
      <c r="AAG24" s="64"/>
      <c r="AAH24" s="64"/>
      <c r="AAI24" s="64"/>
      <c r="AAJ24" s="64"/>
      <c r="AAK24" s="64"/>
      <c r="AAL24" s="64"/>
      <c r="AAM24" s="64"/>
      <c r="AAN24" s="64"/>
      <c r="AAO24" s="64"/>
      <c r="AAP24" s="64"/>
      <c r="AAQ24" s="64"/>
      <c r="AAR24" s="64"/>
      <c r="AAS24" s="64"/>
      <c r="AAT24" s="64"/>
      <c r="AAU24" s="64"/>
      <c r="AAV24" s="64"/>
      <c r="AAW24" s="64"/>
      <c r="AAX24" s="64"/>
      <c r="AAY24" s="64"/>
      <c r="AAZ24" s="64"/>
      <c r="ABA24" s="64"/>
      <c r="ABB24" s="64"/>
      <c r="ABC24" s="64"/>
      <c r="ABD24" s="64"/>
      <c r="ABE24" s="64"/>
      <c r="ABF24" s="64"/>
      <c r="ABG24" s="64"/>
      <c r="ABH24" s="64"/>
      <c r="ABI24" s="64"/>
      <c r="ABJ24" s="64"/>
      <c r="ABK24" s="64"/>
      <c r="ABL24" s="64"/>
      <c r="ABM24" s="64"/>
      <c r="ABN24" s="64"/>
      <c r="ABO24" s="64"/>
      <c r="ABP24" s="64"/>
      <c r="ABQ24" s="64"/>
      <c r="ABR24" s="64"/>
      <c r="ABS24" s="64"/>
      <c r="ABT24" s="64"/>
      <c r="ABU24" s="64"/>
      <c r="ABV24" s="64"/>
      <c r="ABW24" s="64"/>
      <c r="ABX24" s="64"/>
      <c r="ABY24" s="64"/>
      <c r="ABZ24" s="64"/>
      <c r="ACA24" s="64"/>
      <c r="ACB24" s="64"/>
      <c r="ACC24" s="64"/>
      <c r="ACD24" s="64"/>
      <c r="ACE24" s="64"/>
      <c r="ACF24" s="64"/>
      <c r="ACG24" s="64"/>
      <c r="ACH24" s="64"/>
      <c r="ACI24" s="64"/>
      <c r="ACJ24" s="64"/>
      <c r="ACK24" s="64"/>
      <c r="ACL24" s="64"/>
      <c r="ACM24" s="64"/>
      <c r="ACN24" s="64"/>
      <c r="ACO24" s="64"/>
      <c r="ACP24" s="64"/>
      <c r="ACQ24" s="64"/>
      <c r="ACR24" s="64"/>
      <c r="ACS24" s="64"/>
      <c r="ACT24" s="64"/>
      <c r="ACU24" s="64"/>
      <c r="ACV24" s="64"/>
      <c r="ACW24" s="64"/>
      <c r="ACX24" s="64"/>
      <c r="ACY24" s="64"/>
      <c r="ACZ24" s="64"/>
      <c r="ADA24" s="64"/>
      <c r="ADB24" s="64"/>
      <c r="ADC24" s="64"/>
      <c r="ADD24" s="64"/>
      <c r="ADE24" s="64"/>
      <c r="ADF24" s="64"/>
      <c r="ADG24" s="64"/>
      <c r="ADH24" s="64"/>
      <c r="ADI24" s="64"/>
      <c r="ADJ24" s="64"/>
      <c r="ADK24" s="64"/>
      <c r="ADL24" s="64"/>
      <c r="ADM24" s="64"/>
      <c r="ADN24" s="64"/>
      <c r="ADO24" s="64"/>
      <c r="ADP24" s="64"/>
      <c r="ADQ24" s="64"/>
      <c r="ADR24" s="64"/>
      <c r="ADS24" s="64"/>
      <c r="ADT24" s="64"/>
      <c r="ADU24" s="64"/>
      <c r="ADV24" s="64"/>
      <c r="ADW24" s="64"/>
      <c r="ADX24" s="64"/>
      <c r="ADY24" s="64"/>
      <c r="ADZ24" s="64"/>
      <c r="AEA24" s="64"/>
      <c r="AEB24" s="64"/>
      <c r="AEC24" s="64"/>
      <c r="AED24" s="64"/>
      <c r="AEE24" s="64"/>
      <c r="AEF24" s="64"/>
      <c r="AEG24" s="64"/>
      <c r="AEH24" s="64"/>
      <c r="AEI24" s="64"/>
      <c r="AEJ24" s="64"/>
      <c r="AEK24" s="64"/>
      <c r="AEL24" s="64"/>
      <c r="AEM24" s="64"/>
      <c r="AEN24" s="64"/>
      <c r="AEO24" s="64"/>
      <c r="AEP24" s="64"/>
      <c r="AEQ24" s="64"/>
      <c r="AER24" s="64"/>
      <c r="AES24" s="64"/>
      <c r="AET24" s="64"/>
      <c r="AEU24" s="64"/>
      <c r="AEV24" s="64"/>
      <c r="AEW24" s="64"/>
      <c r="AEX24" s="64"/>
      <c r="AEY24" s="64"/>
      <c r="AEZ24" s="64"/>
      <c r="AFA24" s="64"/>
      <c r="AFB24" s="64"/>
      <c r="AFC24" s="64"/>
      <c r="AFD24" s="64"/>
      <c r="AFE24" s="64"/>
      <c r="AFF24" s="64"/>
      <c r="AFG24" s="64"/>
      <c r="AFH24" s="64"/>
      <c r="AFI24" s="64"/>
      <c r="AFJ24" s="64"/>
      <c r="AFK24" s="64"/>
      <c r="AFL24" s="64"/>
      <c r="AFM24" s="64"/>
      <c r="AFN24" s="64"/>
      <c r="AFO24" s="64"/>
      <c r="AFP24" s="64"/>
      <c r="AFQ24" s="64"/>
      <c r="AFR24" s="64"/>
      <c r="AFS24" s="64"/>
      <c r="AFT24" s="64"/>
      <c r="AFU24" s="64"/>
      <c r="AFV24" s="64"/>
      <c r="AFW24" s="64"/>
      <c r="AFX24" s="64"/>
      <c r="AFY24" s="64"/>
      <c r="AFZ24" s="64"/>
      <c r="AGA24" s="64"/>
      <c r="AGB24" s="64"/>
      <c r="AGC24" s="64"/>
      <c r="AGD24" s="64"/>
      <c r="AGE24" s="64"/>
      <c r="AGF24" s="64"/>
      <c r="AGG24" s="64"/>
      <c r="AGH24" s="64"/>
      <c r="AGI24" s="64"/>
      <c r="AGJ24" s="64"/>
      <c r="AGK24" s="64"/>
      <c r="AGL24" s="64"/>
      <c r="AGM24" s="64"/>
      <c r="AGN24" s="64"/>
      <c r="AGO24" s="64"/>
      <c r="AGP24" s="64"/>
      <c r="AGQ24" s="64"/>
      <c r="AGR24" s="64"/>
      <c r="AGS24" s="64"/>
      <c r="AGT24" s="64"/>
      <c r="AGU24" s="64"/>
      <c r="AGV24" s="64"/>
      <c r="AGW24" s="64"/>
      <c r="AGX24" s="64"/>
      <c r="AGY24" s="64"/>
      <c r="AGZ24" s="64"/>
      <c r="AHA24" s="64"/>
      <c r="AHB24" s="64"/>
      <c r="AHC24" s="64"/>
      <c r="AHD24" s="64"/>
      <c r="AHE24" s="64"/>
      <c r="AHF24" s="64"/>
      <c r="AHG24" s="64"/>
      <c r="AHH24" s="64"/>
      <c r="AHI24" s="64"/>
      <c r="AHJ24" s="64"/>
      <c r="AHK24" s="64"/>
      <c r="AHL24" s="64"/>
      <c r="AHM24" s="64"/>
      <c r="AHN24" s="64"/>
      <c r="AHO24" s="64"/>
      <c r="AHP24" s="64"/>
      <c r="AHQ24" s="64"/>
      <c r="AHR24" s="64"/>
      <c r="AHS24" s="64"/>
      <c r="AHT24" s="64"/>
      <c r="AHU24" s="64"/>
      <c r="AHV24" s="64"/>
      <c r="AHW24" s="64"/>
      <c r="AHX24" s="64"/>
      <c r="AHY24" s="64"/>
      <c r="AHZ24" s="64"/>
      <c r="AIA24" s="64"/>
      <c r="AIB24" s="64"/>
      <c r="AIC24" s="64"/>
      <c r="AID24" s="64"/>
      <c r="AIE24" s="64"/>
      <c r="AIF24" s="64"/>
      <c r="AIG24" s="64"/>
      <c r="AIH24" s="64"/>
      <c r="AII24" s="64"/>
      <c r="AIJ24" s="64"/>
      <c r="AIK24" s="64"/>
      <c r="AIL24" s="64"/>
      <c r="AIM24" s="64"/>
      <c r="AIN24" s="64"/>
      <c r="AIO24" s="64"/>
      <c r="AIP24" s="64"/>
      <c r="AIQ24" s="64"/>
      <c r="AIR24" s="64"/>
      <c r="AIS24" s="64"/>
      <c r="AIT24" s="64"/>
      <c r="AIU24" s="64"/>
      <c r="AIV24" s="64"/>
      <c r="AIW24" s="64"/>
      <c r="AIX24" s="64"/>
      <c r="AIY24" s="64"/>
      <c r="AIZ24" s="64"/>
      <c r="AJA24" s="64"/>
      <c r="AJB24" s="64"/>
      <c r="AJC24" s="64"/>
      <c r="AJD24" s="64"/>
      <c r="AJE24" s="64"/>
      <c r="AJF24" s="64"/>
      <c r="AJG24" s="64"/>
      <c r="AJH24" s="64"/>
      <c r="AJI24" s="64"/>
      <c r="AJJ24" s="64"/>
      <c r="AJK24" s="64"/>
      <c r="AJL24" s="64"/>
      <c r="AJM24" s="64"/>
      <c r="AJN24" s="64"/>
      <c r="AJO24" s="64"/>
      <c r="AJP24" s="64"/>
      <c r="AJQ24" s="64"/>
      <c r="AJR24" s="64"/>
      <c r="AJS24" s="64"/>
      <c r="AJT24" s="64"/>
      <c r="AJU24" s="64"/>
      <c r="AJV24" s="64"/>
      <c r="AJW24" s="64"/>
      <c r="AJX24" s="64"/>
      <c r="AJY24" s="64"/>
      <c r="AJZ24" s="64"/>
      <c r="AKA24" s="64"/>
      <c r="AKB24" s="64"/>
      <c r="AKC24" s="64"/>
      <c r="AKD24" s="64"/>
      <c r="AKE24" s="64"/>
      <c r="AKF24" s="64"/>
      <c r="AKG24" s="64"/>
      <c r="AKH24" s="64"/>
      <c r="AKI24" s="64"/>
      <c r="AKJ24" s="64"/>
      <c r="AKK24" s="64"/>
      <c r="AKL24" s="64"/>
      <c r="AKM24" s="64"/>
      <c r="AKN24" s="64"/>
      <c r="AKO24" s="64"/>
      <c r="AKP24" s="64"/>
      <c r="AKQ24" s="64"/>
      <c r="AKR24" s="64"/>
      <c r="AKS24" s="64"/>
      <c r="AKT24" s="64"/>
      <c r="AKU24" s="64"/>
      <c r="AKV24" s="64"/>
      <c r="AKW24" s="64"/>
      <c r="AKX24" s="64"/>
      <c r="AKY24" s="64"/>
      <c r="AKZ24" s="64"/>
      <c r="ALA24" s="64"/>
      <c r="ALB24" s="64"/>
      <c r="ALC24" s="64"/>
      <c r="ALD24" s="64"/>
      <c r="ALE24" s="64"/>
      <c r="ALF24" s="64"/>
      <c r="ALG24" s="64"/>
      <c r="ALH24" s="64"/>
      <c r="ALI24" s="64"/>
      <c r="ALJ24" s="64"/>
      <c r="ALK24" s="64"/>
      <c r="ALL24" s="64"/>
      <c r="ALM24" s="64"/>
      <c r="ALN24" s="64"/>
      <c r="ALO24" s="64"/>
      <c r="ALP24" s="64"/>
      <c r="ALQ24" s="64"/>
      <c r="ALR24" s="64"/>
      <c r="ALS24" s="64"/>
      <c r="ALT24" s="64"/>
      <c r="ALU24" s="64"/>
      <c r="ALV24" s="64"/>
      <c r="ALW24" s="64"/>
      <c r="ALX24" s="64"/>
      <c r="ALY24" s="64"/>
      <c r="ALZ24" s="64"/>
      <c r="AMA24" s="64"/>
      <c r="AMB24" s="64"/>
      <c r="AMC24" s="64"/>
      <c r="AMD24" s="64"/>
      <c r="AME24" s="64"/>
      <c r="AMF24" s="64"/>
      <c r="AMG24" s="64"/>
      <c r="AMH24" s="64"/>
      <c r="AMI24" s="64"/>
      <c r="AMJ24" s="64"/>
      <c r="AMK24" s="64"/>
      <c r="AML24" s="64"/>
      <c r="AMM24" s="64"/>
      <c r="AMN24" s="64"/>
      <c r="AMO24" s="64"/>
      <c r="AMP24" s="64"/>
      <c r="AMQ24" s="64"/>
      <c r="AMR24" s="64"/>
      <c r="AMS24" s="64"/>
      <c r="AMT24" s="64"/>
      <c r="AMU24" s="64"/>
      <c r="AMV24" s="64"/>
      <c r="AMW24" s="64"/>
      <c r="AMX24" s="64"/>
      <c r="AMY24" s="64"/>
      <c r="AMZ24" s="64"/>
      <c r="ANA24" s="64"/>
      <c r="ANB24" s="64"/>
      <c r="ANC24" s="64"/>
      <c r="AND24" s="64"/>
      <c r="ANE24" s="64"/>
      <c r="ANF24" s="64"/>
      <c r="ANG24" s="64"/>
      <c r="ANH24" s="64"/>
      <c r="ANI24" s="64"/>
      <c r="ANJ24" s="64"/>
      <c r="ANK24" s="64"/>
      <c r="ANL24" s="64"/>
      <c r="ANM24" s="64"/>
      <c r="ANN24" s="64"/>
      <c r="ANO24" s="64"/>
      <c r="ANP24" s="64"/>
      <c r="ANQ24" s="64"/>
      <c r="ANR24" s="64"/>
      <c r="ANS24" s="64"/>
      <c r="ANT24" s="64"/>
      <c r="ANU24" s="64"/>
      <c r="ANV24" s="64"/>
      <c r="ANW24" s="64"/>
      <c r="ANX24" s="64"/>
      <c r="ANY24" s="64"/>
      <c r="ANZ24" s="64"/>
      <c r="AOA24" s="64"/>
      <c r="AOB24" s="64"/>
      <c r="AOC24" s="64"/>
      <c r="AOD24" s="64"/>
      <c r="AOE24" s="64"/>
      <c r="AOF24" s="64"/>
      <c r="AOG24" s="64"/>
      <c r="AOH24" s="64"/>
      <c r="AOI24" s="64"/>
      <c r="AOJ24" s="64"/>
      <c r="AOK24" s="64"/>
      <c r="AOL24" s="64"/>
      <c r="AOM24" s="64"/>
      <c r="AON24" s="64"/>
      <c r="AOO24" s="64"/>
      <c r="AOP24" s="64"/>
      <c r="AOQ24" s="64"/>
      <c r="AOR24" s="64"/>
      <c r="AOS24" s="64"/>
      <c r="AOT24" s="64"/>
      <c r="AOU24" s="64"/>
      <c r="AOV24" s="64"/>
      <c r="AOW24" s="64"/>
      <c r="AOX24" s="64"/>
      <c r="AOY24" s="64"/>
      <c r="AOZ24" s="64"/>
      <c r="APA24" s="64"/>
      <c r="APB24" s="64"/>
      <c r="APC24" s="64"/>
      <c r="APD24" s="64"/>
      <c r="APE24" s="64"/>
      <c r="APF24" s="64"/>
      <c r="APG24" s="64"/>
      <c r="APH24" s="64"/>
      <c r="API24" s="64"/>
      <c r="APJ24" s="64"/>
      <c r="APK24" s="64"/>
      <c r="APL24" s="64"/>
      <c r="APM24" s="64"/>
      <c r="APN24" s="64"/>
      <c r="APO24" s="64"/>
      <c r="APP24" s="64"/>
      <c r="APQ24" s="64"/>
      <c r="APR24" s="64"/>
      <c r="APS24" s="64"/>
      <c r="APT24" s="64"/>
      <c r="APU24" s="64"/>
      <c r="APV24" s="64"/>
      <c r="APW24" s="64"/>
      <c r="APX24" s="64"/>
      <c r="APY24" s="64"/>
      <c r="APZ24" s="64"/>
      <c r="AQA24" s="64"/>
      <c r="AQB24" s="64"/>
      <c r="AQC24" s="64"/>
      <c r="AQD24" s="64"/>
      <c r="AQE24" s="64"/>
      <c r="AQF24" s="64"/>
      <c r="AQG24" s="64"/>
      <c r="AQH24" s="64"/>
      <c r="AQI24" s="64"/>
      <c r="AQJ24" s="64"/>
      <c r="AQK24" s="64"/>
      <c r="AQL24" s="64"/>
      <c r="AQM24" s="64"/>
      <c r="AQN24" s="64"/>
      <c r="AQO24" s="64"/>
      <c r="AQP24" s="64"/>
      <c r="AQQ24" s="64"/>
      <c r="AQR24" s="64"/>
      <c r="AQS24" s="64"/>
      <c r="AQT24" s="64"/>
      <c r="AQU24" s="64"/>
      <c r="AQV24" s="64"/>
      <c r="AQW24" s="64"/>
      <c r="AQX24" s="64"/>
      <c r="AQY24" s="64"/>
      <c r="AQZ24" s="64"/>
      <c r="ARA24" s="64"/>
      <c r="ARB24" s="64"/>
      <c r="ARC24" s="64"/>
      <c r="ARD24" s="64"/>
      <c r="ARE24" s="64"/>
      <c r="ARF24" s="64"/>
      <c r="ARG24" s="64"/>
      <c r="ARH24" s="64"/>
      <c r="ARI24" s="64"/>
      <c r="ARJ24" s="64"/>
      <c r="ARK24" s="64"/>
      <c r="ARL24" s="64"/>
      <c r="ARM24" s="64"/>
      <c r="ARN24" s="64"/>
      <c r="ARO24" s="64"/>
      <c r="ARP24" s="64"/>
      <c r="ARQ24" s="64"/>
      <c r="ARR24" s="64"/>
      <c r="ARS24" s="64"/>
      <c r="ART24" s="64"/>
      <c r="ARU24" s="64"/>
      <c r="ARV24" s="64"/>
      <c r="ARW24" s="64"/>
      <c r="ARX24" s="64"/>
      <c r="ARY24" s="64"/>
      <c r="ARZ24" s="64"/>
      <c r="ASA24" s="64"/>
      <c r="ASB24" s="64"/>
      <c r="ASC24" s="64"/>
      <c r="ASD24" s="64"/>
      <c r="ASE24" s="64"/>
      <c r="ASF24" s="64"/>
      <c r="ASG24" s="64"/>
      <c r="ASH24" s="64"/>
      <c r="ASI24" s="64"/>
      <c r="ASJ24" s="64"/>
      <c r="ASK24" s="64"/>
      <c r="ASL24" s="64"/>
      <c r="ASM24" s="64"/>
      <c r="ASN24" s="64"/>
      <c r="ASO24" s="64"/>
      <c r="ASP24" s="64"/>
      <c r="ASQ24" s="64"/>
      <c r="ASR24" s="64"/>
      <c r="ASS24" s="64"/>
      <c r="AST24" s="64"/>
      <c r="ASU24" s="64"/>
      <c r="ASV24" s="64"/>
      <c r="ASW24" s="64"/>
      <c r="ASX24" s="64"/>
      <c r="ASY24" s="64"/>
      <c r="ASZ24" s="64"/>
      <c r="ATA24" s="64"/>
      <c r="ATB24" s="64"/>
      <c r="ATC24" s="64"/>
      <c r="ATD24" s="64"/>
      <c r="ATE24" s="64"/>
      <c r="ATF24" s="64"/>
      <c r="ATG24" s="64"/>
      <c r="ATH24" s="64"/>
      <c r="ATI24" s="64"/>
      <c r="ATJ24" s="64"/>
      <c r="ATK24" s="64"/>
      <c r="ATL24" s="64"/>
      <c r="ATM24" s="64"/>
      <c r="ATN24" s="64"/>
      <c r="ATO24" s="64"/>
      <c r="ATP24" s="64"/>
      <c r="ATQ24" s="64"/>
      <c r="ATR24" s="64"/>
      <c r="ATS24" s="64"/>
      <c r="ATT24" s="64"/>
      <c r="ATU24" s="64"/>
      <c r="ATV24" s="64"/>
      <c r="ATW24" s="64"/>
      <c r="ATX24" s="64"/>
      <c r="ATY24" s="64"/>
      <c r="ATZ24" s="64"/>
      <c r="AUA24" s="64"/>
      <c r="AUB24" s="64"/>
      <c r="AUC24" s="64"/>
      <c r="AUD24" s="64"/>
      <c r="AUE24" s="64"/>
      <c r="AUF24" s="64"/>
      <c r="AUG24" s="64"/>
      <c r="AUH24" s="64"/>
      <c r="AUI24" s="64"/>
      <c r="AUJ24" s="64"/>
      <c r="AUK24" s="64"/>
      <c r="AUL24" s="64"/>
      <c r="AUM24" s="64"/>
      <c r="AUN24" s="64"/>
      <c r="AUO24" s="64"/>
      <c r="AUP24" s="64"/>
      <c r="AUQ24" s="64"/>
      <c r="AUR24" s="64"/>
      <c r="AUS24" s="64"/>
      <c r="AUT24" s="64"/>
      <c r="AUU24" s="64"/>
      <c r="AUV24" s="64"/>
      <c r="AUW24" s="64"/>
      <c r="AUX24" s="64"/>
      <c r="AUY24" s="64"/>
      <c r="AUZ24" s="64"/>
      <c r="AVA24" s="64"/>
      <c r="AVB24" s="64"/>
      <c r="AVC24" s="64"/>
      <c r="AVD24" s="64"/>
      <c r="AVE24" s="64"/>
      <c r="AVF24" s="64"/>
      <c r="AVG24" s="64"/>
      <c r="AVH24" s="64"/>
      <c r="AVI24" s="64"/>
      <c r="AVJ24" s="64"/>
      <c r="AVK24" s="64"/>
      <c r="AVL24" s="64"/>
      <c r="AVM24" s="64"/>
      <c r="AVN24" s="64"/>
      <c r="AVO24" s="64"/>
      <c r="AVP24" s="64"/>
      <c r="AVQ24" s="64"/>
      <c r="AVR24" s="64"/>
      <c r="AVS24" s="64"/>
      <c r="AVT24" s="64"/>
      <c r="AVU24" s="64"/>
      <c r="AVV24" s="64"/>
      <c r="AVW24" s="64"/>
      <c r="AVX24" s="64"/>
      <c r="AVY24" s="64"/>
      <c r="AVZ24" s="64"/>
      <c r="AWA24" s="64"/>
      <c r="AWB24" s="64"/>
      <c r="AWC24" s="64"/>
      <c r="AWD24" s="64"/>
      <c r="AWE24" s="64"/>
      <c r="AWF24" s="64"/>
      <c r="AWG24" s="64"/>
      <c r="AWH24" s="64"/>
      <c r="AWI24" s="64"/>
      <c r="AWJ24" s="64"/>
      <c r="AWK24" s="64"/>
      <c r="AWL24" s="64"/>
      <c r="AWM24" s="64"/>
      <c r="AWN24" s="64"/>
      <c r="AWO24" s="64"/>
      <c r="AWP24" s="64"/>
      <c r="AWQ24" s="64"/>
      <c r="AWR24" s="64"/>
      <c r="AWS24" s="64"/>
      <c r="AWT24" s="64"/>
      <c r="AWU24" s="64"/>
      <c r="AWV24" s="64"/>
      <c r="AWW24" s="64"/>
      <c r="AWX24" s="64"/>
      <c r="AWY24" s="64"/>
      <c r="AWZ24" s="64"/>
      <c r="AXA24" s="64"/>
      <c r="AXB24" s="64"/>
      <c r="AXC24" s="64"/>
      <c r="AXD24" s="64"/>
      <c r="AXE24" s="64"/>
      <c r="AXF24" s="64"/>
      <c r="AXG24" s="64"/>
      <c r="AXH24" s="64"/>
      <c r="AXI24" s="64"/>
      <c r="AXJ24" s="64"/>
      <c r="AXK24" s="64"/>
      <c r="AXL24" s="64"/>
      <c r="AXM24" s="64"/>
      <c r="AXN24" s="64"/>
      <c r="AXO24" s="64"/>
      <c r="AXP24" s="64"/>
      <c r="AXQ24" s="64"/>
      <c r="AXR24" s="64"/>
      <c r="AXS24" s="64"/>
      <c r="AXT24" s="64"/>
      <c r="AXU24" s="64"/>
      <c r="AXV24" s="64"/>
      <c r="AXW24" s="64"/>
      <c r="AXX24" s="64"/>
      <c r="AXY24" s="64"/>
      <c r="AXZ24" s="64"/>
      <c r="AYA24" s="64"/>
      <c r="AYB24" s="64"/>
      <c r="AYC24" s="64"/>
      <c r="AYD24" s="64"/>
      <c r="AYE24" s="64"/>
      <c r="AYF24" s="64"/>
      <c r="AYG24" s="64"/>
      <c r="AYH24" s="64"/>
      <c r="AYI24" s="64"/>
      <c r="AYJ24" s="64"/>
      <c r="AYK24" s="64"/>
      <c r="AYL24" s="64"/>
      <c r="AYM24" s="64"/>
      <c r="AYN24" s="64"/>
      <c r="AYO24" s="64"/>
      <c r="AYP24" s="64"/>
      <c r="AYQ24" s="64"/>
      <c r="AYR24" s="64"/>
      <c r="AYS24" s="64"/>
      <c r="AYT24" s="64"/>
      <c r="AYU24" s="64"/>
      <c r="AYV24" s="64"/>
      <c r="AYW24" s="64"/>
      <c r="AYX24" s="64"/>
      <c r="AYY24" s="64"/>
      <c r="AYZ24" s="64"/>
      <c r="AZA24" s="64"/>
      <c r="AZB24" s="64"/>
      <c r="AZC24" s="64"/>
      <c r="AZD24" s="64"/>
      <c r="AZE24" s="64"/>
      <c r="AZF24" s="64"/>
      <c r="AZG24" s="64"/>
      <c r="AZH24" s="64"/>
      <c r="AZI24" s="64"/>
      <c r="AZJ24" s="64"/>
      <c r="AZK24" s="64"/>
      <c r="AZL24" s="64"/>
      <c r="AZM24" s="64"/>
      <c r="AZN24" s="64"/>
      <c r="AZO24" s="64"/>
      <c r="AZP24" s="64"/>
      <c r="AZQ24" s="64"/>
      <c r="AZR24" s="64"/>
      <c r="AZS24" s="64"/>
      <c r="AZT24" s="64"/>
      <c r="AZU24" s="64"/>
      <c r="AZV24" s="64"/>
      <c r="AZW24" s="64"/>
      <c r="AZX24" s="64"/>
      <c r="AZY24" s="64"/>
      <c r="AZZ24" s="64"/>
      <c r="BAA24" s="64"/>
      <c r="BAB24" s="64"/>
      <c r="BAC24" s="64"/>
      <c r="BAD24" s="64"/>
      <c r="BAE24" s="64"/>
      <c r="BAF24" s="64"/>
      <c r="BAG24" s="64"/>
      <c r="BAH24" s="64"/>
      <c r="BAI24" s="64"/>
      <c r="BAJ24" s="64"/>
      <c r="BAK24" s="64"/>
      <c r="BAL24" s="64"/>
      <c r="BAM24" s="64"/>
      <c r="BAN24" s="64"/>
      <c r="BAO24" s="64"/>
      <c r="BAP24" s="64"/>
      <c r="BAQ24" s="64"/>
      <c r="BAR24" s="64"/>
      <c r="BAS24" s="64"/>
      <c r="BAT24" s="64"/>
      <c r="BAU24" s="64"/>
      <c r="BAV24" s="64"/>
      <c r="BAW24" s="64"/>
      <c r="BAX24" s="64"/>
      <c r="BAY24" s="64"/>
      <c r="BAZ24" s="64"/>
      <c r="BBA24" s="64"/>
      <c r="BBB24" s="64"/>
      <c r="BBC24" s="64"/>
      <c r="BBD24" s="64"/>
      <c r="BBE24" s="64"/>
      <c r="BBF24" s="64"/>
      <c r="BBG24" s="64"/>
      <c r="BBH24" s="64"/>
      <c r="BBI24" s="64"/>
      <c r="BBJ24" s="64"/>
      <c r="BBK24" s="64"/>
      <c r="BBL24" s="64"/>
      <c r="BBM24" s="64"/>
      <c r="BBN24" s="64"/>
      <c r="BBO24" s="64"/>
      <c r="BBP24" s="64"/>
      <c r="BBQ24" s="64"/>
      <c r="BBR24" s="64"/>
      <c r="BBS24" s="64"/>
      <c r="BBT24" s="64"/>
      <c r="BBU24" s="64"/>
      <c r="BBV24" s="64"/>
      <c r="BBW24" s="64"/>
      <c r="BBX24" s="64"/>
      <c r="BBY24" s="64"/>
      <c r="BBZ24" s="64"/>
      <c r="BCA24" s="64"/>
      <c r="BCB24" s="64"/>
      <c r="BCC24" s="64"/>
      <c r="BCD24" s="64"/>
      <c r="BCE24" s="64"/>
      <c r="BCF24" s="64"/>
      <c r="BCG24" s="64"/>
      <c r="BCH24" s="64"/>
      <c r="BCI24" s="64"/>
      <c r="BCJ24" s="64"/>
      <c r="BCK24" s="64"/>
      <c r="BCL24" s="64"/>
      <c r="BCM24" s="64"/>
      <c r="BCN24" s="64"/>
      <c r="BCO24" s="64"/>
      <c r="BCP24" s="64"/>
      <c r="BCQ24" s="64"/>
      <c r="BCR24" s="64"/>
      <c r="BCS24" s="64"/>
      <c r="BCT24" s="64"/>
      <c r="BCU24" s="64"/>
      <c r="BCV24" s="64"/>
      <c r="BCW24" s="64"/>
      <c r="BCX24" s="64"/>
      <c r="BCY24" s="64"/>
      <c r="BCZ24" s="64"/>
      <c r="BDA24" s="64"/>
      <c r="BDB24" s="64"/>
      <c r="BDC24" s="64"/>
      <c r="BDD24" s="64"/>
      <c r="BDE24" s="64"/>
      <c r="BDF24" s="64"/>
      <c r="BDG24" s="64"/>
      <c r="BDH24" s="64"/>
      <c r="BDI24" s="64"/>
      <c r="BDJ24" s="64"/>
      <c r="BDK24" s="64"/>
      <c r="BDL24" s="64"/>
      <c r="BDM24" s="64"/>
      <c r="BDN24" s="64"/>
      <c r="BDO24" s="64"/>
      <c r="BDP24" s="64"/>
      <c r="BDQ24" s="64"/>
      <c r="BDR24" s="64"/>
      <c r="BDS24" s="64"/>
      <c r="BDT24" s="64"/>
      <c r="BDU24" s="64"/>
      <c r="BDV24" s="64"/>
      <c r="BDW24" s="64"/>
      <c r="BDX24" s="64"/>
      <c r="BDY24" s="64"/>
      <c r="BDZ24" s="64"/>
      <c r="BEA24" s="64"/>
      <c r="BEB24" s="64"/>
      <c r="BEC24" s="64"/>
      <c r="BED24" s="64"/>
      <c r="BEE24" s="64"/>
      <c r="BEF24" s="64"/>
      <c r="BEG24" s="64"/>
      <c r="BEH24" s="64"/>
      <c r="BEI24" s="64"/>
      <c r="BEJ24" s="64"/>
      <c r="BEK24" s="64"/>
      <c r="BEL24" s="64"/>
      <c r="BEM24" s="64"/>
      <c r="BEN24" s="64"/>
      <c r="BEO24" s="64"/>
      <c r="BEP24" s="64"/>
      <c r="BEQ24" s="64"/>
      <c r="BER24" s="64"/>
      <c r="BES24" s="64"/>
      <c r="BET24" s="64"/>
      <c r="BEU24" s="64"/>
      <c r="BEV24" s="64"/>
      <c r="BEW24" s="64"/>
      <c r="BEX24" s="64"/>
      <c r="BEY24" s="64"/>
      <c r="BEZ24" s="64"/>
      <c r="BFA24" s="64"/>
      <c r="BFB24" s="64"/>
      <c r="BFC24" s="64"/>
      <c r="BFD24" s="64"/>
      <c r="BFE24" s="64"/>
      <c r="BFF24" s="64"/>
      <c r="BFG24" s="64"/>
      <c r="BFH24" s="64"/>
      <c r="BFI24" s="64"/>
      <c r="BFJ24" s="64"/>
      <c r="BFK24" s="64"/>
      <c r="BFL24" s="64"/>
      <c r="BFM24" s="64"/>
      <c r="BFN24" s="64"/>
      <c r="BFO24" s="64"/>
      <c r="BFP24" s="64"/>
      <c r="BFQ24" s="64"/>
      <c r="BFR24" s="64"/>
      <c r="BFS24" s="64"/>
      <c r="BFT24" s="64"/>
      <c r="BFU24" s="64"/>
      <c r="BFV24" s="64"/>
      <c r="BFW24" s="64"/>
      <c r="BFX24" s="64"/>
      <c r="BFY24" s="64"/>
      <c r="BFZ24" s="64"/>
      <c r="BGA24" s="64"/>
      <c r="BGB24" s="64"/>
      <c r="BGC24" s="64"/>
      <c r="BGD24" s="64"/>
      <c r="BGE24" s="64"/>
      <c r="BGF24" s="64"/>
      <c r="BGG24" s="64"/>
      <c r="BGH24" s="64"/>
      <c r="BGI24" s="64"/>
      <c r="BGJ24" s="64"/>
      <c r="BGK24" s="64"/>
      <c r="BGL24" s="64"/>
      <c r="BGM24" s="64"/>
      <c r="BGN24" s="64"/>
      <c r="BGO24" s="64"/>
      <c r="BGP24" s="64"/>
      <c r="BGQ24" s="64"/>
      <c r="BGR24" s="64"/>
      <c r="BGS24" s="64"/>
      <c r="BGT24" s="64"/>
      <c r="BGU24" s="64"/>
      <c r="BGV24" s="64"/>
      <c r="BGW24" s="64"/>
      <c r="BGX24" s="64"/>
      <c r="BGY24" s="64"/>
      <c r="BGZ24" s="64"/>
      <c r="BHA24" s="64"/>
      <c r="BHB24" s="64"/>
      <c r="BHC24" s="64"/>
      <c r="BHD24" s="64"/>
      <c r="BHE24" s="64"/>
      <c r="BHF24" s="64"/>
      <c r="BHG24" s="64"/>
      <c r="BHH24" s="64"/>
      <c r="BHI24" s="64"/>
      <c r="BHJ24" s="64"/>
      <c r="BHK24" s="64"/>
      <c r="BHL24" s="64"/>
      <c r="BHM24" s="64"/>
      <c r="BHN24" s="64"/>
      <c r="BHO24" s="64"/>
      <c r="BHP24" s="64"/>
      <c r="BHQ24" s="64"/>
      <c r="BHR24" s="64"/>
      <c r="BHS24" s="64"/>
      <c r="BHT24" s="64"/>
      <c r="BHU24" s="64"/>
      <c r="BHV24" s="64"/>
      <c r="BHW24" s="64"/>
      <c r="BHX24" s="64"/>
      <c r="BHY24" s="64"/>
      <c r="BHZ24" s="64"/>
      <c r="BIA24" s="64"/>
      <c r="BIB24" s="64"/>
      <c r="BIC24" s="64"/>
      <c r="BID24" s="64"/>
      <c r="BIE24" s="64"/>
      <c r="BIF24" s="64"/>
      <c r="BIG24" s="64"/>
      <c r="BIH24" s="64"/>
      <c r="BII24" s="64"/>
      <c r="BIJ24" s="64"/>
      <c r="BIK24" s="64"/>
      <c r="BIL24" s="64"/>
      <c r="BIM24" s="64"/>
      <c r="BIN24" s="64"/>
      <c r="BIO24" s="64"/>
      <c r="BIP24" s="64"/>
      <c r="BIQ24" s="64"/>
      <c r="BIR24" s="64"/>
      <c r="BIS24" s="64"/>
      <c r="BIT24" s="64"/>
      <c r="BIU24" s="64"/>
      <c r="BIV24" s="64"/>
      <c r="BIW24" s="64"/>
      <c r="BIX24" s="64"/>
      <c r="BIY24" s="64"/>
      <c r="BIZ24" s="64"/>
      <c r="BJA24" s="64"/>
      <c r="BJB24" s="64"/>
      <c r="BJC24" s="64"/>
      <c r="BJD24" s="64"/>
      <c r="BJE24" s="64"/>
      <c r="BJF24" s="64"/>
      <c r="BJG24" s="64"/>
      <c r="BJH24" s="64"/>
      <c r="BJI24" s="64"/>
      <c r="BJJ24" s="64"/>
      <c r="BJK24" s="64"/>
      <c r="BJL24" s="64"/>
      <c r="BJM24" s="64"/>
      <c r="BJN24" s="64"/>
      <c r="BJO24" s="64"/>
      <c r="BJP24" s="64"/>
      <c r="BJQ24" s="64"/>
      <c r="BJR24" s="64"/>
      <c r="BJS24" s="64"/>
      <c r="BJT24" s="64"/>
      <c r="BJU24" s="64"/>
      <c r="BJV24" s="64"/>
      <c r="BJW24" s="64"/>
      <c r="BJX24" s="64"/>
      <c r="BJY24" s="64"/>
      <c r="BJZ24" s="64"/>
      <c r="BKA24" s="64"/>
      <c r="BKB24" s="64"/>
      <c r="BKC24" s="64"/>
      <c r="BKD24" s="64"/>
      <c r="BKE24" s="64"/>
      <c r="BKF24" s="64"/>
      <c r="BKG24" s="64"/>
      <c r="BKH24" s="64"/>
      <c r="BKI24" s="64"/>
      <c r="BKJ24" s="64"/>
      <c r="BKK24" s="64"/>
      <c r="BKL24" s="64"/>
      <c r="BKM24" s="64"/>
      <c r="BKN24" s="64"/>
      <c r="BKO24" s="64"/>
      <c r="BKP24" s="64"/>
      <c r="BKQ24" s="64"/>
      <c r="BKR24" s="64"/>
      <c r="BKS24" s="64"/>
      <c r="BKT24" s="64"/>
      <c r="BKU24" s="64"/>
      <c r="BKV24" s="64"/>
      <c r="BKW24" s="64"/>
      <c r="BKX24" s="64"/>
      <c r="BKY24" s="64"/>
      <c r="BKZ24" s="64"/>
      <c r="BLA24" s="64"/>
      <c r="BLB24" s="64"/>
      <c r="BLC24" s="64"/>
      <c r="BLD24" s="64"/>
      <c r="BLE24" s="64"/>
      <c r="BLF24" s="64"/>
      <c r="BLG24" s="64"/>
      <c r="BLH24" s="64"/>
      <c r="BLI24" s="64"/>
      <c r="BLJ24" s="64"/>
      <c r="BLK24" s="64"/>
      <c r="BLL24" s="64"/>
      <c r="BLM24" s="64"/>
      <c r="BLN24" s="64"/>
      <c r="BLO24" s="64"/>
      <c r="BLP24" s="64"/>
      <c r="BLQ24" s="64"/>
      <c r="BLR24" s="64"/>
      <c r="BLS24" s="64"/>
      <c r="BLT24" s="64"/>
      <c r="BLU24" s="64"/>
      <c r="BLV24" s="64"/>
      <c r="BLW24" s="64"/>
      <c r="BLX24" s="64"/>
      <c r="BLY24" s="64"/>
      <c r="BLZ24" s="64"/>
      <c r="BMA24" s="64"/>
      <c r="BMB24" s="64"/>
      <c r="BMC24" s="64"/>
      <c r="BMD24" s="64"/>
      <c r="BME24" s="64"/>
      <c r="BMF24" s="64"/>
      <c r="BMG24" s="64"/>
      <c r="BMH24" s="64"/>
      <c r="BMI24" s="64"/>
      <c r="BMJ24" s="64"/>
      <c r="BMK24" s="64"/>
      <c r="BML24" s="64"/>
      <c r="BMM24" s="64"/>
      <c r="BMN24" s="64"/>
      <c r="BMO24" s="64"/>
      <c r="BMP24" s="64"/>
      <c r="BMQ24" s="64"/>
      <c r="BMR24" s="64"/>
      <c r="BMS24" s="64"/>
      <c r="BMT24" s="64"/>
      <c r="BMU24" s="64"/>
      <c r="BMV24" s="64"/>
      <c r="BMW24" s="64"/>
      <c r="BMX24" s="64"/>
      <c r="BMY24" s="64"/>
      <c r="BMZ24" s="64"/>
      <c r="BNA24" s="64"/>
      <c r="BNB24" s="64"/>
      <c r="BNC24" s="64"/>
      <c r="BND24" s="64"/>
      <c r="BNE24" s="64"/>
      <c r="BNF24" s="64"/>
      <c r="BNG24" s="64"/>
      <c r="BNH24" s="64"/>
      <c r="BNI24" s="64"/>
      <c r="BNJ24" s="64"/>
      <c r="BNK24" s="64"/>
      <c r="BNL24" s="64"/>
      <c r="BNM24" s="64"/>
      <c r="BNN24" s="64"/>
      <c r="BNO24" s="64"/>
      <c r="BNP24" s="64"/>
      <c r="BNQ24" s="64"/>
      <c r="BNR24" s="64"/>
      <c r="BNS24" s="64"/>
      <c r="BNT24" s="64"/>
      <c r="BNU24" s="64"/>
      <c r="BNV24" s="64"/>
      <c r="BNW24" s="64"/>
      <c r="BNX24" s="64"/>
      <c r="BNY24" s="64"/>
      <c r="BNZ24" s="64"/>
      <c r="BOA24" s="64"/>
      <c r="BOB24" s="64"/>
      <c r="BOC24" s="64"/>
      <c r="BOD24" s="64"/>
      <c r="BOE24" s="64"/>
      <c r="BOF24" s="64"/>
      <c r="BOG24" s="64"/>
      <c r="BOH24" s="64"/>
      <c r="BOI24" s="64"/>
      <c r="BOJ24" s="64"/>
      <c r="BOK24" s="64"/>
      <c r="BOL24" s="64"/>
      <c r="BOM24" s="64"/>
      <c r="BON24" s="64"/>
      <c r="BOO24" s="64"/>
      <c r="BOP24" s="64"/>
      <c r="BOQ24" s="64"/>
      <c r="BOR24" s="64"/>
      <c r="BOS24" s="64"/>
      <c r="BOT24" s="64"/>
      <c r="BOU24" s="64"/>
      <c r="BOV24" s="64"/>
      <c r="BOW24" s="64"/>
      <c r="BOX24" s="64"/>
      <c r="BOY24" s="64"/>
      <c r="BOZ24" s="64"/>
      <c r="BPA24" s="64"/>
      <c r="BPB24" s="64"/>
      <c r="BPC24" s="64"/>
      <c r="BPD24" s="64"/>
      <c r="BPE24" s="64"/>
      <c r="BPF24" s="64"/>
      <c r="BPG24" s="64"/>
      <c r="BPH24" s="64"/>
      <c r="BPI24" s="64"/>
      <c r="BPJ24" s="64"/>
      <c r="BPK24" s="64"/>
      <c r="BPL24" s="64"/>
      <c r="BPM24" s="64"/>
      <c r="BPN24" s="64"/>
      <c r="BPO24" s="64"/>
      <c r="BPP24" s="64"/>
      <c r="BPQ24" s="64"/>
      <c r="BPR24" s="64"/>
      <c r="BPS24" s="64"/>
      <c r="BPT24" s="64"/>
      <c r="BPU24" s="64"/>
      <c r="BPV24" s="64"/>
      <c r="BPW24" s="64"/>
      <c r="BPX24" s="64"/>
      <c r="BPY24" s="64"/>
      <c r="BPZ24" s="64"/>
      <c r="BQA24" s="64"/>
      <c r="BQB24" s="64"/>
      <c r="BQC24" s="64"/>
      <c r="BQD24" s="64"/>
      <c r="BQE24" s="64"/>
      <c r="BQF24" s="64"/>
      <c r="BQG24" s="64"/>
      <c r="BQH24" s="64"/>
      <c r="BQI24" s="64"/>
      <c r="BQJ24" s="64"/>
      <c r="BQK24" s="64"/>
      <c r="BQL24" s="64"/>
      <c r="BQM24" s="64"/>
      <c r="BQN24" s="64"/>
      <c r="BQO24" s="64"/>
      <c r="BQP24" s="64"/>
      <c r="BQQ24" s="64"/>
      <c r="BQR24" s="64"/>
      <c r="BQS24" s="64"/>
      <c r="BQT24" s="64"/>
      <c r="BQU24" s="64"/>
      <c r="BQV24" s="64"/>
      <c r="BQW24" s="64"/>
      <c r="BQX24" s="64"/>
      <c r="BQY24" s="64"/>
      <c r="BQZ24" s="64"/>
      <c r="BRA24" s="64"/>
      <c r="BRB24" s="64"/>
      <c r="BRC24" s="64"/>
      <c r="BRD24" s="64"/>
      <c r="BRE24" s="64"/>
      <c r="BRF24" s="64"/>
      <c r="BRG24" s="64"/>
      <c r="BRH24" s="64"/>
      <c r="BRI24" s="64"/>
      <c r="BRJ24" s="64"/>
      <c r="BRK24" s="64"/>
      <c r="BRL24" s="64"/>
      <c r="BRM24" s="64"/>
      <c r="BRN24" s="64"/>
      <c r="BRO24" s="64"/>
      <c r="BRP24" s="64"/>
      <c r="BRQ24" s="64"/>
      <c r="BRR24" s="64"/>
      <c r="BRS24" s="64"/>
      <c r="BRT24" s="64"/>
      <c r="BRU24" s="64"/>
      <c r="BRV24" s="64"/>
      <c r="BRW24" s="64"/>
      <c r="BRX24" s="64"/>
      <c r="BRY24" s="64"/>
      <c r="BRZ24" s="64"/>
      <c r="BSA24" s="64"/>
      <c r="BSB24" s="64"/>
      <c r="BSC24" s="64"/>
      <c r="BSD24" s="64"/>
      <c r="BSE24" s="64"/>
      <c r="BSF24" s="64"/>
      <c r="BSG24" s="64"/>
      <c r="BSH24" s="64"/>
      <c r="BSI24" s="64"/>
      <c r="BSJ24" s="64"/>
      <c r="BSK24" s="64"/>
      <c r="BSL24" s="64"/>
      <c r="BSM24" s="64"/>
      <c r="BSN24" s="64"/>
      <c r="BSO24" s="64"/>
      <c r="BSP24" s="64"/>
      <c r="BSQ24" s="64"/>
      <c r="BSR24" s="64"/>
      <c r="BSS24" s="64"/>
      <c r="BST24" s="64"/>
      <c r="BSU24" s="64"/>
      <c r="BSV24" s="64"/>
      <c r="BSW24" s="64"/>
      <c r="BSX24" s="64"/>
      <c r="BSY24" s="64"/>
      <c r="BSZ24" s="64"/>
      <c r="BTA24" s="64"/>
      <c r="BTB24" s="64"/>
      <c r="BTC24" s="64"/>
      <c r="BTD24" s="64"/>
      <c r="BTE24" s="64"/>
      <c r="BTF24" s="64"/>
      <c r="BTG24" s="64"/>
      <c r="BTH24" s="64"/>
      <c r="BTI24" s="64"/>
      <c r="BTJ24" s="64"/>
      <c r="BTK24" s="64"/>
      <c r="BTL24" s="64"/>
      <c r="BTM24" s="64"/>
      <c r="BTN24" s="64"/>
      <c r="BTO24" s="64"/>
      <c r="BTP24" s="64"/>
      <c r="BTQ24" s="64"/>
      <c r="BTR24" s="64"/>
      <c r="BTS24" s="64"/>
      <c r="BTT24" s="64"/>
      <c r="BTU24" s="64"/>
      <c r="BTV24" s="64"/>
      <c r="BTW24" s="64"/>
      <c r="BTX24" s="64"/>
      <c r="BTY24" s="64"/>
      <c r="BTZ24" s="64"/>
      <c r="BUA24" s="64"/>
      <c r="BUB24" s="64"/>
      <c r="BUC24" s="64"/>
      <c r="BUD24" s="64"/>
      <c r="BUE24" s="64"/>
      <c r="BUF24" s="64"/>
      <c r="BUG24" s="64"/>
      <c r="BUH24" s="64"/>
      <c r="BUI24" s="64"/>
      <c r="BUJ24" s="64"/>
      <c r="BUK24" s="64"/>
      <c r="BUL24" s="64"/>
      <c r="BUM24" s="64"/>
      <c r="BUN24" s="64"/>
      <c r="BUO24" s="64"/>
      <c r="BUP24" s="64"/>
      <c r="BUQ24" s="64"/>
      <c r="BUR24" s="64"/>
      <c r="BUS24" s="64"/>
      <c r="BUT24" s="64"/>
      <c r="BUU24" s="64"/>
      <c r="BUV24" s="64"/>
      <c r="BUW24" s="64"/>
      <c r="BUX24" s="64"/>
      <c r="BUY24" s="64"/>
      <c r="BUZ24" s="64"/>
      <c r="BVA24" s="64"/>
      <c r="BVB24" s="64"/>
      <c r="BVC24" s="64"/>
      <c r="BVD24" s="64"/>
      <c r="BVE24" s="64"/>
      <c r="BVF24" s="64"/>
      <c r="BVG24" s="64"/>
      <c r="BVH24" s="64"/>
      <c r="BVI24" s="64"/>
      <c r="BVJ24" s="64"/>
      <c r="BVK24" s="64"/>
      <c r="BVL24" s="64"/>
      <c r="BVM24" s="64"/>
      <c r="BVN24" s="64"/>
      <c r="BVO24" s="64"/>
      <c r="BVP24" s="64"/>
      <c r="BVQ24" s="64"/>
      <c r="BVR24" s="64"/>
      <c r="BVS24" s="64"/>
      <c r="BVT24" s="64"/>
      <c r="BVU24" s="64"/>
      <c r="BVV24" s="64"/>
      <c r="BVW24" s="64"/>
      <c r="BVX24" s="64"/>
      <c r="BVY24" s="64"/>
      <c r="BVZ24" s="64"/>
      <c r="BWA24" s="64"/>
      <c r="BWB24" s="64"/>
      <c r="BWC24" s="64"/>
      <c r="BWD24" s="64"/>
      <c r="BWE24" s="64"/>
      <c r="BWF24" s="64"/>
      <c r="BWG24" s="64"/>
      <c r="BWH24" s="64"/>
      <c r="BWI24" s="64"/>
      <c r="BWJ24" s="64"/>
      <c r="BWK24" s="64"/>
      <c r="BWL24" s="64"/>
      <c r="BWM24" s="64"/>
      <c r="BWN24" s="64"/>
      <c r="BWO24" s="64"/>
      <c r="BWP24" s="64"/>
      <c r="BWQ24" s="64"/>
      <c r="BWR24" s="64"/>
      <c r="BWS24" s="64"/>
      <c r="BWT24" s="64"/>
      <c r="BWU24" s="64"/>
      <c r="BWV24" s="64"/>
      <c r="BWW24" s="64"/>
      <c r="BWX24" s="64"/>
      <c r="BWY24" s="64"/>
      <c r="BWZ24" s="64"/>
      <c r="BXA24" s="64"/>
      <c r="BXB24" s="64"/>
      <c r="BXC24" s="64"/>
      <c r="BXD24" s="64"/>
      <c r="BXE24" s="64"/>
      <c r="BXF24" s="64"/>
      <c r="BXG24" s="64"/>
      <c r="BXH24" s="64"/>
      <c r="BXI24" s="64"/>
      <c r="BXJ24" s="64"/>
      <c r="BXK24" s="64"/>
      <c r="BXL24" s="64"/>
      <c r="BXM24" s="64"/>
      <c r="BXN24" s="64"/>
      <c r="BXO24" s="64"/>
      <c r="BXP24" s="64"/>
      <c r="BXQ24" s="64"/>
      <c r="BXR24" s="64"/>
      <c r="BXS24" s="64"/>
      <c r="BXT24" s="64"/>
      <c r="BXU24" s="64"/>
      <c r="BXV24" s="64"/>
      <c r="BXW24" s="64"/>
      <c r="BXX24" s="64"/>
      <c r="BXY24" s="64"/>
      <c r="BXZ24" s="64"/>
      <c r="BYA24" s="64"/>
      <c r="BYB24" s="64"/>
      <c r="BYC24" s="64"/>
      <c r="BYD24" s="64"/>
      <c r="BYE24" s="64"/>
      <c r="BYF24" s="64"/>
      <c r="BYG24" s="64"/>
      <c r="BYH24" s="64"/>
      <c r="BYI24" s="64"/>
      <c r="BYJ24" s="64"/>
      <c r="BYK24" s="64"/>
      <c r="BYL24" s="64"/>
      <c r="BYM24" s="64"/>
      <c r="BYN24" s="64"/>
      <c r="BYO24" s="64"/>
      <c r="BYP24" s="64"/>
      <c r="BYQ24" s="64"/>
      <c r="BYR24" s="64"/>
      <c r="BYS24" s="64"/>
      <c r="BYT24" s="64"/>
      <c r="BYU24" s="64"/>
      <c r="BYV24" s="64"/>
      <c r="BYW24" s="64"/>
      <c r="BYX24" s="64"/>
      <c r="BYY24" s="64"/>
      <c r="BYZ24" s="64"/>
      <c r="BZA24" s="64"/>
      <c r="BZB24" s="64"/>
      <c r="BZC24" s="64"/>
      <c r="BZD24" s="64"/>
      <c r="BZE24" s="64"/>
      <c r="BZF24" s="64"/>
      <c r="BZG24" s="64"/>
      <c r="BZH24" s="64"/>
      <c r="BZI24" s="64"/>
      <c r="BZJ24" s="64"/>
      <c r="BZK24" s="64"/>
      <c r="BZL24" s="64"/>
      <c r="BZM24" s="64"/>
      <c r="BZN24" s="64"/>
      <c r="BZO24" s="64"/>
      <c r="BZP24" s="64"/>
      <c r="BZQ24" s="64"/>
      <c r="BZR24" s="64"/>
      <c r="BZS24" s="64"/>
      <c r="BZT24" s="64"/>
      <c r="BZU24" s="64"/>
      <c r="BZV24" s="64"/>
      <c r="BZW24" s="64"/>
      <c r="BZX24" s="64"/>
      <c r="BZY24" s="64"/>
      <c r="BZZ24" s="64"/>
      <c r="CAA24" s="64"/>
      <c r="CAB24" s="64"/>
      <c r="CAC24" s="64"/>
      <c r="CAD24" s="64"/>
      <c r="CAE24" s="64"/>
      <c r="CAF24" s="64"/>
      <c r="CAG24" s="64"/>
      <c r="CAH24" s="64"/>
      <c r="CAI24" s="64"/>
      <c r="CAJ24" s="64"/>
      <c r="CAK24" s="64"/>
      <c r="CAL24" s="64"/>
      <c r="CAM24" s="64"/>
      <c r="CAN24" s="64"/>
      <c r="CAO24" s="64"/>
      <c r="CAP24" s="64"/>
      <c r="CAQ24" s="64"/>
      <c r="CAR24" s="64"/>
      <c r="CAS24" s="64"/>
      <c r="CAT24" s="64"/>
      <c r="CAU24" s="64"/>
      <c r="CAV24" s="64"/>
      <c r="CAW24" s="64"/>
      <c r="CAX24" s="64"/>
      <c r="CAY24" s="64"/>
      <c r="CAZ24" s="64"/>
      <c r="CBA24" s="64"/>
      <c r="CBB24" s="64"/>
      <c r="CBC24" s="64"/>
      <c r="CBD24" s="64"/>
      <c r="CBE24" s="64"/>
      <c r="CBF24" s="64"/>
      <c r="CBG24" s="64"/>
      <c r="CBH24" s="64"/>
      <c r="CBI24" s="64"/>
      <c r="CBJ24" s="64"/>
      <c r="CBK24" s="64"/>
      <c r="CBL24" s="64"/>
      <c r="CBM24" s="64"/>
      <c r="CBN24" s="64"/>
      <c r="CBO24" s="64"/>
      <c r="CBP24" s="64"/>
      <c r="CBQ24" s="64"/>
      <c r="CBR24" s="64"/>
      <c r="CBS24" s="64"/>
      <c r="CBT24" s="64"/>
      <c r="CBU24" s="64"/>
      <c r="CBV24" s="64"/>
      <c r="CBW24" s="64"/>
      <c r="CBX24" s="64"/>
      <c r="CBY24" s="64"/>
      <c r="CBZ24" s="64"/>
      <c r="CCA24" s="64"/>
      <c r="CCB24" s="64"/>
      <c r="CCC24" s="64"/>
      <c r="CCD24" s="64"/>
      <c r="CCE24" s="64"/>
      <c r="CCF24" s="64"/>
      <c r="CCG24" s="64"/>
      <c r="CCH24" s="64"/>
      <c r="CCI24" s="64"/>
      <c r="CCJ24" s="64"/>
      <c r="CCK24" s="64"/>
      <c r="CCL24" s="64"/>
      <c r="CCM24" s="64"/>
      <c r="CCN24" s="64"/>
      <c r="CCO24" s="64"/>
      <c r="CCP24" s="64"/>
      <c r="CCQ24" s="64"/>
      <c r="CCR24" s="64"/>
      <c r="CCS24" s="64"/>
      <c r="CCT24" s="64"/>
      <c r="CCU24" s="64"/>
      <c r="CCV24" s="64"/>
      <c r="CCW24" s="64"/>
      <c r="CCX24" s="64"/>
      <c r="CCY24" s="64"/>
      <c r="CCZ24" s="64"/>
      <c r="CDA24" s="64"/>
      <c r="CDB24" s="64"/>
      <c r="CDC24" s="64"/>
      <c r="CDD24" s="64"/>
      <c r="CDE24" s="64"/>
      <c r="CDF24" s="64"/>
      <c r="CDG24" s="64"/>
      <c r="CDH24" s="64"/>
      <c r="CDI24" s="64"/>
      <c r="CDJ24" s="64"/>
      <c r="CDK24" s="64"/>
      <c r="CDL24" s="64"/>
      <c r="CDM24" s="64"/>
      <c r="CDN24" s="64"/>
      <c r="CDO24" s="64"/>
      <c r="CDP24" s="64"/>
      <c r="CDQ24" s="64"/>
      <c r="CDR24" s="64"/>
      <c r="CDS24" s="64"/>
      <c r="CDT24" s="64"/>
      <c r="CDU24" s="64"/>
      <c r="CDV24" s="64"/>
      <c r="CDW24" s="64"/>
      <c r="CDX24" s="64"/>
      <c r="CDY24" s="64"/>
      <c r="CDZ24" s="64"/>
      <c r="CEA24" s="64"/>
      <c r="CEB24" s="64"/>
      <c r="CEC24" s="64"/>
      <c r="CED24" s="64"/>
      <c r="CEE24" s="64"/>
      <c r="CEF24" s="64"/>
      <c r="CEG24" s="64"/>
      <c r="CEH24" s="64"/>
      <c r="CEI24" s="64"/>
      <c r="CEJ24" s="64"/>
      <c r="CEK24" s="64"/>
      <c r="CEL24" s="64"/>
      <c r="CEM24" s="64"/>
      <c r="CEN24" s="64"/>
      <c r="CEO24" s="64"/>
      <c r="CEP24" s="64"/>
      <c r="CEQ24" s="64"/>
      <c r="CER24" s="64"/>
      <c r="CES24" s="64"/>
      <c r="CET24" s="64"/>
      <c r="CEU24" s="64"/>
      <c r="CEV24" s="64"/>
      <c r="CEW24" s="64"/>
      <c r="CEX24" s="64"/>
      <c r="CEY24" s="64"/>
      <c r="CEZ24" s="64"/>
      <c r="CFA24" s="64"/>
      <c r="CFB24" s="64"/>
      <c r="CFC24" s="64"/>
      <c r="CFD24" s="64"/>
      <c r="CFE24" s="64"/>
      <c r="CFF24" s="64"/>
      <c r="CFG24" s="64"/>
      <c r="CFH24" s="64"/>
      <c r="CFI24" s="64"/>
      <c r="CFJ24" s="64"/>
      <c r="CFK24" s="64"/>
      <c r="CFL24" s="64"/>
      <c r="CFM24" s="64"/>
      <c r="CFN24" s="64"/>
      <c r="CFO24" s="64"/>
      <c r="CFP24" s="64"/>
      <c r="CFQ24" s="64"/>
      <c r="CFR24" s="64"/>
      <c r="CFS24" s="64"/>
      <c r="CFT24" s="64"/>
      <c r="CFU24" s="64"/>
      <c r="CFV24" s="64"/>
      <c r="CFW24" s="64"/>
      <c r="CFX24" s="64"/>
      <c r="CFY24" s="64"/>
      <c r="CFZ24" s="64"/>
      <c r="CGA24" s="64"/>
      <c r="CGB24" s="64"/>
      <c r="CGC24" s="64"/>
      <c r="CGD24" s="64"/>
      <c r="CGE24" s="64"/>
      <c r="CGF24" s="64"/>
      <c r="CGG24" s="64"/>
      <c r="CGH24" s="64"/>
      <c r="CGI24" s="64"/>
      <c r="CGJ24" s="64"/>
      <c r="CGK24" s="64"/>
      <c r="CGL24" s="64"/>
      <c r="CGM24" s="64"/>
      <c r="CGN24" s="64"/>
      <c r="CGO24" s="64"/>
      <c r="CGP24" s="64"/>
      <c r="CGQ24" s="64"/>
      <c r="CGR24" s="64"/>
      <c r="CGS24" s="64"/>
      <c r="CGT24" s="64"/>
      <c r="CGU24" s="64"/>
      <c r="CGV24" s="64"/>
      <c r="CGW24" s="64"/>
      <c r="CGX24" s="64"/>
      <c r="CGY24" s="64"/>
      <c r="CGZ24" s="64"/>
      <c r="CHA24" s="64"/>
      <c r="CHB24" s="64"/>
      <c r="CHC24" s="64"/>
      <c r="CHD24" s="64"/>
      <c r="CHE24" s="64"/>
      <c r="CHF24" s="64"/>
      <c r="CHG24" s="64"/>
      <c r="CHH24" s="64"/>
      <c r="CHI24" s="64"/>
      <c r="CHJ24" s="64"/>
      <c r="CHK24" s="64"/>
      <c r="CHL24" s="64"/>
      <c r="CHM24" s="64"/>
      <c r="CHN24" s="64"/>
      <c r="CHO24" s="64"/>
      <c r="CHP24" s="64"/>
      <c r="CHQ24" s="64"/>
      <c r="CHR24" s="64"/>
      <c r="CHS24" s="64"/>
      <c r="CHT24" s="64"/>
      <c r="CHU24" s="64"/>
      <c r="CHV24" s="64"/>
      <c r="CHW24" s="64"/>
      <c r="CHX24" s="64"/>
      <c r="CHY24" s="64"/>
      <c r="CHZ24" s="64"/>
      <c r="CIA24" s="64"/>
      <c r="CIB24" s="64"/>
      <c r="CIC24" s="64"/>
      <c r="CID24" s="64"/>
      <c r="CIE24" s="64"/>
      <c r="CIF24" s="64"/>
      <c r="CIG24" s="64"/>
      <c r="CIH24" s="64"/>
      <c r="CII24" s="64"/>
      <c r="CIJ24" s="64"/>
      <c r="CIK24" s="64"/>
      <c r="CIL24" s="64"/>
      <c r="CIM24" s="64"/>
      <c r="CIN24" s="64"/>
      <c r="CIO24" s="64"/>
      <c r="CIP24" s="64"/>
      <c r="CIQ24" s="64"/>
      <c r="CIR24" s="64"/>
      <c r="CIS24" s="64"/>
      <c r="CIT24" s="64"/>
      <c r="CIU24" s="64"/>
      <c r="CIV24" s="64"/>
      <c r="CIW24" s="64"/>
      <c r="CIX24" s="64"/>
      <c r="CIY24" s="64"/>
      <c r="CIZ24" s="64"/>
      <c r="CJA24" s="64"/>
      <c r="CJB24" s="64"/>
      <c r="CJC24" s="64"/>
      <c r="CJD24" s="64"/>
      <c r="CJE24" s="64"/>
      <c r="CJF24" s="64"/>
      <c r="CJG24" s="64"/>
      <c r="CJH24" s="64"/>
      <c r="CJI24" s="64"/>
      <c r="CJJ24" s="64"/>
      <c r="CJK24" s="64"/>
      <c r="CJL24" s="64"/>
      <c r="CJM24" s="64"/>
      <c r="CJN24" s="64"/>
      <c r="CJO24" s="64"/>
      <c r="CJP24" s="64"/>
      <c r="CJQ24" s="64"/>
      <c r="CJR24" s="64"/>
      <c r="CJS24" s="64"/>
      <c r="CJT24" s="64"/>
      <c r="CJU24" s="64"/>
      <c r="CJV24" s="64"/>
      <c r="CJW24" s="64"/>
      <c r="CJX24" s="64"/>
      <c r="CJY24" s="64"/>
      <c r="CJZ24" s="64"/>
      <c r="CKA24" s="64"/>
      <c r="CKB24" s="64"/>
      <c r="CKC24" s="64"/>
      <c r="CKD24" s="64"/>
      <c r="CKE24" s="64"/>
      <c r="CKF24" s="64"/>
      <c r="CKG24" s="64"/>
      <c r="CKH24" s="64"/>
      <c r="CKI24" s="64"/>
      <c r="CKJ24" s="64"/>
      <c r="CKK24" s="64"/>
      <c r="CKL24" s="64"/>
      <c r="CKM24" s="64"/>
      <c r="CKN24" s="64"/>
      <c r="CKO24" s="64"/>
      <c r="CKP24" s="64"/>
      <c r="CKQ24" s="64"/>
      <c r="CKR24" s="64"/>
      <c r="CKS24" s="64"/>
      <c r="CKT24" s="64"/>
      <c r="CKU24" s="64"/>
      <c r="CKV24" s="64"/>
      <c r="CKW24" s="64"/>
      <c r="CKX24" s="64"/>
      <c r="CKY24" s="64"/>
      <c r="CKZ24" s="64"/>
      <c r="CLA24" s="64"/>
      <c r="CLB24" s="64"/>
      <c r="CLC24" s="64"/>
      <c r="CLD24" s="64"/>
      <c r="CLE24" s="64"/>
      <c r="CLF24" s="64"/>
      <c r="CLG24" s="64"/>
      <c r="CLH24" s="64"/>
      <c r="CLI24" s="64"/>
      <c r="CLJ24" s="64"/>
      <c r="CLK24" s="64"/>
      <c r="CLL24" s="64"/>
      <c r="CLM24" s="64"/>
      <c r="CLN24" s="64"/>
      <c r="CLO24" s="64"/>
      <c r="CLP24" s="64"/>
      <c r="CLQ24" s="64"/>
      <c r="CLR24" s="64"/>
      <c r="CLS24" s="64"/>
      <c r="CLT24" s="64"/>
      <c r="CLU24" s="64"/>
      <c r="CLV24" s="64"/>
      <c r="CLW24" s="64"/>
      <c r="CLX24" s="64"/>
      <c r="CLY24" s="64"/>
      <c r="CLZ24" s="64"/>
      <c r="CMA24" s="64"/>
      <c r="CMB24" s="64"/>
      <c r="CMC24" s="64"/>
      <c r="CMD24" s="64"/>
      <c r="CME24" s="64"/>
      <c r="CMF24" s="64"/>
      <c r="CMG24" s="64"/>
      <c r="CMH24" s="64"/>
      <c r="CMI24" s="64"/>
      <c r="CMJ24" s="64"/>
      <c r="CMK24" s="64"/>
      <c r="CML24" s="64"/>
      <c r="CMM24" s="64"/>
      <c r="CMN24" s="64"/>
      <c r="CMO24" s="64"/>
      <c r="CMP24" s="64"/>
      <c r="CMQ24" s="64"/>
      <c r="CMR24" s="64"/>
      <c r="CMS24" s="64"/>
      <c r="CMT24" s="64"/>
      <c r="CMU24" s="64"/>
      <c r="CMV24" s="64"/>
      <c r="CMW24" s="64"/>
      <c r="CMX24" s="64"/>
      <c r="CMY24" s="64"/>
      <c r="CMZ24" s="64"/>
      <c r="CNA24" s="64"/>
      <c r="CNB24" s="64"/>
      <c r="CNC24" s="64"/>
      <c r="CND24" s="64"/>
      <c r="CNE24" s="64"/>
      <c r="CNF24" s="64"/>
      <c r="CNG24" s="64"/>
      <c r="CNH24" s="64"/>
      <c r="CNI24" s="64"/>
      <c r="CNJ24" s="64"/>
      <c r="CNK24" s="64"/>
      <c r="CNL24" s="64"/>
      <c r="CNM24" s="64"/>
      <c r="CNN24" s="64"/>
      <c r="CNO24" s="64"/>
      <c r="CNP24" s="64"/>
      <c r="CNQ24" s="64"/>
      <c r="CNR24" s="64"/>
      <c r="CNS24" s="64"/>
      <c r="CNT24" s="64"/>
      <c r="CNU24" s="64"/>
      <c r="CNV24" s="64"/>
      <c r="CNW24" s="64"/>
      <c r="CNX24" s="64"/>
      <c r="CNY24" s="64"/>
      <c r="CNZ24" s="64"/>
      <c r="COA24" s="64"/>
      <c r="COB24" s="64"/>
      <c r="COC24" s="64"/>
      <c r="COD24" s="64"/>
      <c r="COE24" s="64"/>
      <c r="COF24" s="64"/>
      <c r="COG24" s="64"/>
      <c r="COH24" s="64"/>
      <c r="COI24" s="64"/>
      <c r="COJ24" s="64"/>
      <c r="COK24" s="64"/>
      <c r="COL24" s="64"/>
      <c r="COM24" s="64"/>
      <c r="CON24" s="64"/>
      <c r="COO24" s="64"/>
      <c r="COP24" s="64"/>
      <c r="COQ24" s="64"/>
      <c r="COR24" s="64"/>
      <c r="COS24" s="64"/>
      <c r="COT24" s="64"/>
      <c r="COU24" s="64"/>
      <c r="COV24" s="64"/>
      <c r="COW24" s="64"/>
      <c r="COX24" s="64"/>
      <c r="COY24" s="64"/>
      <c r="COZ24" s="64"/>
      <c r="CPA24" s="64"/>
      <c r="CPB24" s="64"/>
      <c r="CPC24" s="64"/>
      <c r="CPD24" s="64"/>
      <c r="CPE24" s="64"/>
      <c r="CPF24" s="64"/>
      <c r="CPG24" s="64"/>
      <c r="CPH24" s="64"/>
      <c r="CPI24" s="64"/>
      <c r="CPJ24" s="64"/>
      <c r="CPK24" s="64"/>
      <c r="CPL24" s="64"/>
      <c r="CPM24" s="64"/>
      <c r="CPN24" s="64"/>
      <c r="CPO24" s="64"/>
      <c r="CPP24" s="64"/>
      <c r="CPQ24" s="64"/>
      <c r="CPR24" s="64"/>
      <c r="CPS24" s="64"/>
      <c r="CPT24" s="64"/>
      <c r="CPU24" s="64"/>
      <c r="CPV24" s="64"/>
      <c r="CPW24" s="64"/>
      <c r="CPX24" s="64"/>
      <c r="CPY24" s="64"/>
      <c r="CPZ24" s="64"/>
      <c r="CQA24" s="64"/>
      <c r="CQB24" s="64"/>
      <c r="CQC24" s="64"/>
      <c r="CQD24" s="64"/>
      <c r="CQE24" s="64"/>
      <c r="CQF24" s="64"/>
      <c r="CQG24" s="64"/>
      <c r="CQH24" s="64"/>
      <c r="CQI24" s="64"/>
      <c r="CQJ24" s="64"/>
      <c r="CQK24" s="64"/>
      <c r="CQL24" s="64"/>
      <c r="CQM24" s="64"/>
      <c r="CQN24" s="64"/>
      <c r="CQO24" s="64"/>
      <c r="CQP24" s="64"/>
      <c r="CQQ24" s="64"/>
      <c r="CQR24" s="64"/>
      <c r="CQS24" s="64"/>
      <c r="CQT24" s="64"/>
      <c r="CQU24" s="64"/>
      <c r="CQV24" s="64"/>
      <c r="CQW24" s="64"/>
      <c r="CQX24" s="64"/>
      <c r="CQY24" s="64"/>
      <c r="CQZ24" s="64"/>
      <c r="CRA24" s="64"/>
      <c r="CRB24" s="64"/>
      <c r="CRC24" s="64"/>
      <c r="CRD24" s="64"/>
      <c r="CRE24" s="64"/>
      <c r="CRF24" s="64"/>
      <c r="CRG24" s="64"/>
      <c r="CRH24" s="64"/>
      <c r="CRI24" s="64"/>
      <c r="CRJ24" s="64"/>
      <c r="CRK24" s="64"/>
      <c r="CRL24" s="64"/>
      <c r="CRM24" s="64"/>
      <c r="CRN24" s="64"/>
      <c r="CRO24" s="64"/>
      <c r="CRP24" s="64"/>
      <c r="CRQ24" s="64"/>
      <c r="CRR24" s="64"/>
      <c r="CRS24" s="64"/>
      <c r="CRT24" s="64"/>
      <c r="CRU24" s="64"/>
      <c r="CRV24" s="64"/>
      <c r="CRW24" s="64"/>
      <c r="CRX24" s="64"/>
      <c r="CRY24" s="64"/>
      <c r="CRZ24" s="64"/>
      <c r="CSA24" s="64"/>
      <c r="CSB24" s="64"/>
      <c r="CSC24" s="64"/>
      <c r="CSD24" s="64"/>
      <c r="CSE24" s="64"/>
      <c r="CSF24" s="64"/>
      <c r="CSG24" s="64"/>
      <c r="CSH24" s="64"/>
      <c r="CSI24" s="64"/>
      <c r="CSJ24" s="64"/>
      <c r="CSK24" s="64"/>
      <c r="CSL24" s="64"/>
      <c r="CSM24" s="64"/>
      <c r="CSN24" s="64"/>
      <c r="CSO24" s="64"/>
      <c r="CSP24" s="64"/>
      <c r="CSQ24" s="64"/>
      <c r="CSR24" s="64"/>
      <c r="CSS24" s="64"/>
      <c r="CST24" s="64"/>
      <c r="CSU24" s="64"/>
      <c r="CSV24" s="64"/>
      <c r="CSW24" s="64"/>
      <c r="CSX24" s="64"/>
      <c r="CSY24" s="64"/>
      <c r="CSZ24" s="64"/>
      <c r="CTA24" s="64"/>
      <c r="CTB24" s="64"/>
      <c r="CTC24" s="64"/>
      <c r="CTD24" s="64"/>
      <c r="CTE24" s="64"/>
      <c r="CTF24" s="64"/>
      <c r="CTG24" s="64"/>
      <c r="CTH24" s="64"/>
      <c r="CTI24" s="64"/>
      <c r="CTJ24" s="64"/>
      <c r="CTK24" s="64"/>
      <c r="CTL24" s="64"/>
      <c r="CTM24" s="64"/>
      <c r="CTN24" s="64"/>
      <c r="CTO24" s="64"/>
      <c r="CTP24" s="64"/>
      <c r="CTQ24" s="64"/>
      <c r="CTR24" s="64"/>
      <c r="CTS24" s="64"/>
      <c r="CTT24" s="64"/>
      <c r="CTU24" s="64"/>
      <c r="CTV24" s="64"/>
      <c r="CTW24" s="64"/>
      <c r="CTX24" s="64"/>
      <c r="CTY24" s="64"/>
      <c r="CTZ24" s="64"/>
      <c r="CUA24" s="64"/>
      <c r="CUB24" s="64"/>
      <c r="CUC24" s="64"/>
      <c r="CUD24" s="64"/>
      <c r="CUE24" s="64"/>
      <c r="CUF24" s="64"/>
      <c r="CUG24" s="64"/>
      <c r="CUH24" s="64"/>
      <c r="CUI24" s="64"/>
      <c r="CUJ24" s="64"/>
      <c r="CUK24" s="64"/>
      <c r="CUL24" s="64"/>
      <c r="CUM24" s="64"/>
      <c r="CUN24" s="64"/>
      <c r="CUO24" s="64"/>
      <c r="CUP24" s="64"/>
      <c r="CUQ24" s="64"/>
      <c r="CUR24" s="64"/>
      <c r="CUS24" s="64"/>
      <c r="CUT24" s="64"/>
      <c r="CUU24" s="64"/>
      <c r="CUV24" s="64"/>
      <c r="CUW24" s="64"/>
      <c r="CUX24" s="64"/>
      <c r="CUY24" s="64"/>
      <c r="CUZ24" s="64"/>
      <c r="CVA24" s="64"/>
      <c r="CVB24" s="64"/>
      <c r="CVC24" s="64"/>
      <c r="CVD24" s="64"/>
      <c r="CVE24" s="64"/>
      <c r="CVF24" s="64"/>
      <c r="CVG24" s="64"/>
      <c r="CVH24" s="64"/>
      <c r="CVI24" s="64"/>
      <c r="CVJ24" s="64"/>
      <c r="CVK24" s="64"/>
      <c r="CVL24" s="64"/>
      <c r="CVM24" s="64"/>
      <c r="CVN24" s="64"/>
      <c r="CVO24" s="64"/>
      <c r="CVP24" s="64"/>
      <c r="CVQ24" s="64"/>
      <c r="CVR24" s="64"/>
      <c r="CVS24" s="64"/>
      <c r="CVT24" s="64"/>
      <c r="CVU24" s="64"/>
      <c r="CVV24" s="64"/>
      <c r="CVW24" s="64"/>
      <c r="CVX24" s="64"/>
      <c r="CVY24" s="64"/>
      <c r="CVZ24" s="64"/>
      <c r="CWA24" s="64"/>
      <c r="CWB24" s="64"/>
      <c r="CWC24" s="64"/>
      <c r="CWD24" s="64"/>
      <c r="CWE24" s="64"/>
      <c r="CWF24" s="64"/>
      <c r="CWG24" s="64"/>
      <c r="CWH24" s="64"/>
      <c r="CWI24" s="64"/>
      <c r="CWJ24" s="64"/>
      <c r="CWK24" s="64"/>
      <c r="CWL24" s="64"/>
      <c r="CWM24" s="64"/>
      <c r="CWN24" s="64"/>
      <c r="CWO24" s="64"/>
      <c r="CWP24" s="64"/>
      <c r="CWQ24" s="64"/>
      <c r="CWR24" s="64"/>
      <c r="CWS24" s="64"/>
      <c r="CWT24" s="64"/>
      <c r="CWU24" s="64"/>
      <c r="CWV24" s="64"/>
      <c r="CWW24" s="64"/>
      <c r="CWX24" s="64"/>
      <c r="CWY24" s="64"/>
      <c r="CWZ24" s="64"/>
      <c r="CXA24" s="64"/>
      <c r="CXB24" s="64"/>
      <c r="CXC24" s="64"/>
      <c r="CXD24" s="64"/>
      <c r="CXE24" s="64"/>
      <c r="CXF24" s="64"/>
      <c r="CXG24" s="64"/>
      <c r="CXH24" s="64"/>
      <c r="CXI24" s="64"/>
      <c r="CXJ24" s="64"/>
      <c r="CXK24" s="64"/>
      <c r="CXL24" s="64"/>
      <c r="CXM24" s="64"/>
      <c r="CXN24" s="64"/>
      <c r="CXO24" s="64"/>
      <c r="CXP24" s="64"/>
      <c r="CXQ24" s="64"/>
      <c r="CXR24" s="64"/>
      <c r="CXS24" s="64"/>
      <c r="CXT24" s="64"/>
      <c r="CXU24" s="64"/>
      <c r="CXV24" s="64"/>
      <c r="CXW24" s="64"/>
      <c r="CXX24" s="64"/>
      <c r="CXY24" s="64"/>
      <c r="CXZ24" s="64"/>
      <c r="CYA24" s="64"/>
      <c r="CYB24" s="64"/>
      <c r="CYC24" s="64"/>
      <c r="CYD24" s="64"/>
      <c r="CYE24" s="64"/>
      <c r="CYF24" s="64"/>
      <c r="CYG24" s="64"/>
      <c r="CYH24" s="64"/>
      <c r="CYI24" s="64"/>
      <c r="CYJ24" s="64"/>
      <c r="CYK24" s="64"/>
      <c r="CYL24" s="64"/>
      <c r="CYM24" s="64"/>
      <c r="CYN24" s="64"/>
      <c r="CYO24" s="64"/>
      <c r="CYP24" s="64"/>
      <c r="CYQ24" s="64"/>
      <c r="CYR24" s="64"/>
      <c r="CYS24" s="64"/>
      <c r="CYT24" s="64"/>
      <c r="CYU24" s="64"/>
      <c r="CYV24" s="64"/>
      <c r="CYW24" s="64"/>
      <c r="CYX24" s="64"/>
      <c r="CYY24" s="64"/>
      <c r="CYZ24" s="64"/>
      <c r="CZA24" s="64"/>
      <c r="CZB24" s="64"/>
      <c r="CZC24" s="64"/>
      <c r="CZD24" s="64"/>
      <c r="CZE24" s="64"/>
      <c r="CZF24" s="64"/>
      <c r="CZG24" s="64"/>
      <c r="CZH24" s="64"/>
      <c r="CZI24" s="64"/>
      <c r="CZJ24" s="64"/>
      <c r="CZK24" s="64"/>
      <c r="CZL24" s="64"/>
      <c r="CZM24" s="64"/>
      <c r="CZN24" s="64"/>
      <c r="CZO24" s="64"/>
      <c r="CZP24" s="64"/>
      <c r="CZQ24" s="64"/>
      <c r="CZR24" s="64"/>
      <c r="CZS24" s="64"/>
      <c r="CZT24" s="64"/>
      <c r="CZU24" s="64"/>
      <c r="CZV24" s="64"/>
      <c r="CZW24" s="64"/>
      <c r="CZX24" s="64"/>
      <c r="CZY24" s="64"/>
      <c r="CZZ24" s="64"/>
      <c r="DAA24" s="64"/>
      <c r="DAB24" s="64"/>
      <c r="DAC24" s="64"/>
      <c r="DAD24" s="64"/>
      <c r="DAE24" s="64"/>
      <c r="DAF24" s="64"/>
      <c r="DAG24" s="64"/>
      <c r="DAH24" s="64"/>
      <c r="DAI24" s="64"/>
      <c r="DAJ24" s="64"/>
      <c r="DAK24" s="64"/>
      <c r="DAL24" s="64"/>
      <c r="DAM24" s="64"/>
      <c r="DAN24" s="64"/>
      <c r="DAO24" s="64"/>
      <c r="DAP24" s="64"/>
      <c r="DAQ24" s="64"/>
      <c r="DAR24" s="64"/>
      <c r="DAS24" s="64"/>
      <c r="DAT24" s="64"/>
      <c r="DAU24" s="64"/>
      <c r="DAV24" s="64"/>
      <c r="DAW24" s="64"/>
      <c r="DAX24" s="64"/>
      <c r="DAY24" s="64"/>
      <c r="DAZ24" s="64"/>
      <c r="DBA24" s="64"/>
      <c r="DBB24" s="64"/>
      <c r="DBC24" s="64"/>
      <c r="DBD24" s="64"/>
      <c r="DBE24" s="64"/>
      <c r="DBF24" s="64"/>
      <c r="DBG24" s="64"/>
      <c r="DBH24" s="64"/>
      <c r="DBI24" s="64"/>
      <c r="DBJ24" s="64"/>
      <c r="DBK24" s="64"/>
      <c r="DBL24" s="64"/>
      <c r="DBM24" s="64"/>
      <c r="DBN24" s="64"/>
      <c r="DBO24" s="64"/>
      <c r="DBP24" s="64"/>
      <c r="DBQ24" s="64"/>
      <c r="DBR24" s="64"/>
      <c r="DBS24" s="64"/>
      <c r="DBT24" s="64"/>
      <c r="DBU24" s="64"/>
      <c r="DBV24" s="64"/>
      <c r="DBW24" s="64"/>
      <c r="DBX24" s="64"/>
      <c r="DBY24" s="64"/>
      <c r="DBZ24" s="64"/>
      <c r="DCA24" s="64"/>
      <c r="DCB24" s="64"/>
      <c r="DCC24" s="64"/>
      <c r="DCD24" s="64"/>
      <c r="DCE24" s="64"/>
      <c r="DCF24" s="64"/>
      <c r="DCG24" s="64"/>
      <c r="DCH24" s="64"/>
      <c r="DCI24" s="64"/>
      <c r="DCJ24" s="64"/>
      <c r="DCK24" s="64"/>
      <c r="DCL24" s="64"/>
      <c r="DCM24" s="64"/>
      <c r="DCN24" s="64"/>
      <c r="DCO24" s="64"/>
      <c r="DCP24" s="64"/>
      <c r="DCQ24" s="64"/>
      <c r="DCR24" s="64"/>
      <c r="DCS24" s="64"/>
      <c r="DCT24" s="64"/>
      <c r="DCU24" s="64"/>
      <c r="DCV24" s="64"/>
      <c r="DCW24" s="64"/>
      <c r="DCX24" s="64"/>
      <c r="DCY24" s="64"/>
      <c r="DCZ24" s="64"/>
      <c r="DDA24" s="64"/>
      <c r="DDB24" s="64"/>
      <c r="DDC24" s="64"/>
      <c r="DDD24" s="64"/>
      <c r="DDE24" s="64"/>
      <c r="DDF24" s="64"/>
      <c r="DDG24" s="64"/>
      <c r="DDH24" s="64"/>
      <c r="DDI24" s="64"/>
      <c r="DDJ24" s="64"/>
      <c r="DDK24" s="64"/>
      <c r="DDL24" s="64"/>
      <c r="DDM24" s="64"/>
      <c r="DDN24" s="64"/>
      <c r="DDO24" s="64"/>
      <c r="DDP24" s="64"/>
      <c r="DDQ24" s="64"/>
      <c r="DDR24" s="64"/>
      <c r="DDS24" s="64"/>
      <c r="DDT24" s="64"/>
      <c r="DDU24" s="64"/>
      <c r="DDV24" s="64"/>
      <c r="DDW24" s="64"/>
      <c r="DDX24" s="64"/>
      <c r="DDY24" s="64"/>
      <c r="DDZ24" s="64"/>
      <c r="DEA24" s="64"/>
      <c r="DEB24" s="64"/>
      <c r="DEC24" s="64"/>
      <c r="DED24" s="64"/>
      <c r="DEE24" s="64"/>
      <c r="DEF24" s="64"/>
      <c r="DEG24" s="64"/>
      <c r="DEH24" s="64"/>
      <c r="DEI24" s="64"/>
      <c r="DEJ24" s="64"/>
      <c r="DEK24" s="64"/>
      <c r="DEL24" s="64"/>
      <c r="DEM24" s="64"/>
      <c r="DEN24" s="64"/>
      <c r="DEO24" s="64"/>
      <c r="DEP24" s="64"/>
      <c r="DEQ24" s="64"/>
      <c r="DER24" s="64"/>
      <c r="DES24" s="64"/>
      <c r="DET24" s="64"/>
      <c r="DEU24" s="64"/>
      <c r="DEV24" s="64"/>
      <c r="DEW24" s="64"/>
      <c r="DEX24" s="64"/>
      <c r="DEY24" s="64"/>
      <c r="DEZ24" s="64"/>
      <c r="DFA24" s="64"/>
      <c r="DFB24" s="64"/>
      <c r="DFC24" s="64"/>
      <c r="DFD24" s="64"/>
      <c r="DFE24" s="64"/>
      <c r="DFF24" s="64"/>
      <c r="DFG24" s="64"/>
      <c r="DFH24" s="64"/>
      <c r="DFI24" s="64"/>
      <c r="DFJ24" s="64"/>
      <c r="DFK24" s="64"/>
      <c r="DFL24" s="64"/>
      <c r="DFM24" s="64"/>
      <c r="DFN24" s="64"/>
      <c r="DFO24" s="64"/>
      <c r="DFP24" s="64"/>
      <c r="DFQ24" s="64"/>
      <c r="DFR24" s="64"/>
      <c r="DFS24" s="64"/>
      <c r="DFT24" s="64"/>
      <c r="DFU24" s="64"/>
      <c r="DFV24" s="64"/>
      <c r="DFW24" s="64"/>
      <c r="DFX24" s="64"/>
      <c r="DFY24" s="64"/>
      <c r="DFZ24" s="64"/>
      <c r="DGA24" s="64"/>
      <c r="DGB24" s="64"/>
      <c r="DGC24" s="64"/>
      <c r="DGD24" s="64"/>
      <c r="DGE24" s="64"/>
      <c r="DGF24" s="64"/>
      <c r="DGG24" s="64"/>
      <c r="DGH24" s="64"/>
      <c r="DGI24" s="64"/>
      <c r="DGJ24" s="64"/>
      <c r="DGK24" s="64"/>
      <c r="DGL24" s="64"/>
      <c r="DGM24" s="64"/>
      <c r="DGN24" s="64"/>
      <c r="DGO24" s="64"/>
      <c r="DGP24" s="64"/>
      <c r="DGQ24" s="64"/>
      <c r="DGR24" s="64"/>
      <c r="DGS24" s="64"/>
      <c r="DGT24" s="64"/>
      <c r="DGU24" s="64"/>
      <c r="DGV24" s="64"/>
      <c r="DGW24" s="64"/>
      <c r="DGX24" s="64"/>
      <c r="DGY24" s="64"/>
      <c r="DGZ24" s="64"/>
      <c r="DHA24" s="64"/>
      <c r="DHB24" s="64"/>
      <c r="DHC24" s="64"/>
      <c r="DHD24" s="64"/>
      <c r="DHE24" s="64"/>
      <c r="DHF24" s="64"/>
      <c r="DHG24" s="64"/>
      <c r="DHH24" s="64"/>
      <c r="DHI24" s="64"/>
      <c r="DHJ24" s="64"/>
      <c r="DHK24" s="64"/>
      <c r="DHL24" s="64"/>
      <c r="DHM24" s="64"/>
      <c r="DHN24" s="64"/>
      <c r="DHO24" s="64"/>
      <c r="DHP24" s="64"/>
      <c r="DHQ24" s="64"/>
      <c r="DHR24" s="64"/>
      <c r="DHS24" s="64"/>
      <c r="DHT24" s="64"/>
      <c r="DHU24" s="64"/>
      <c r="DHV24" s="64"/>
      <c r="DHW24" s="64"/>
      <c r="DHX24" s="64"/>
      <c r="DHY24" s="64"/>
      <c r="DHZ24" s="64"/>
      <c r="DIA24" s="64"/>
      <c r="DIB24" s="64"/>
      <c r="DIC24" s="64"/>
      <c r="DID24" s="64"/>
      <c r="DIE24" s="64"/>
      <c r="DIF24" s="64"/>
      <c r="DIG24" s="64"/>
      <c r="DIH24" s="64"/>
      <c r="DII24" s="64"/>
      <c r="DIJ24" s="64"/>
      <c r="DIK24" s="64"/>
      <c r="DIL24" s="64"/>
      <c r="DIM24" s="64"/>
      <c r="DIN24" s="64"/>
      <c r="DIO24" s="64"/>
      <c r="DIP24" s="64"/>
      <c r="DIQ24" s="64"/>
      <c r="DIR24" s="64"/>
      <c r="DIS24" s="64"/>
      <c r="DIT24" s="64"/>
      <c r="DIU24" s="64"/>
      <c r="DIV24" s="64"/>
      <c r="DIW24" s="64"/>
      <c r="DIX24" s="64"/>
      <c r="DIY24" s="64"/>
      <c r="DIZ24" s="64"/>
      <c r="DJA24" s="64"/>
      <c r="DJB24" s="64"/>
      <c r="DJC24" s="64"/>
      <c r="DJD24" s="64"/>
      <c r="DJE24" s="64"/>
      <c r="DJF24" s="64"/>
      <c r="DJG24" s="64"/>
      <c r="DJH24" s="64"/>
      <c r="DJI24" s="64"/>
      <c r="DJJ24" s="64"/>
      <c r="DJK24" s="64"/>
      <c r="DJL24" s="64"/>
      <c r="DJM24" s="64"/>
      <c r="DJN24" s="64"/>
      <c r="DJO24" s="64"/>
      <c r="DJP24" s="64"/>
      <c r="DJQ24" s="64"/>
      <c r="DJR24" s="64"/>
      <c r="DJS24" s="64"/>
      <c r="DJT24" s="64"/>
      <c r="DJU24" s="64"/>
      <c r="DJV24" s="64"/>
      <c r="DJW24" s="64"/>
      <c r="DJX24" s="64"/>
      <c r="DJY24" s="64"/>
      <c r="DJZ24" s="64"/>
      <c r="DKA24" s="64"/>
      <c r="DKB24" s="64"/>
      <c r="DKC24" s="64"/>
      <c r="DKD24" s="64"/>
      <c r="DKE24" s="64"/>
      <c r="DKF24" s="64"/>
      <c r="DKG24" s="64"/>
      <c r="DKH24" s="64"/>
      <c r="DKI24" s="64"/>
      <c r="DKJ24" s="64"/>
      <c r="DKK24" s="64"/>
      <c r="DKL24" s="64"/>
      <c r="DKM24" s="64"/>
      <c r="DKN24" s="64"/>
      <c r="DKO24" s="64"/>
      <c r="DKP24" s="64"/>
      <c r="DKQ24" s="64"/>
      <c r="DKR24" s="64"/>
      <c r="DKS24" s="64"/>
      <c r="DKT24" s="64"/>
      <c r="DKU24" s="64"/>
      <c r="DKV24" s="64"/>
      <c r="DKW24" s="64"/>
      <c r="DKX24" s="64"/>
      <c r="DKY24" s="64"/>
      <c r="DKZ24" s="64"/>
      <c r="DLA24" s="64"/>
      <c r="DLB24" s="64"/>
      <c r="DLC24" s="64"/>
      <c r="DLD24" s="64"/>
      <c r="DLE24" s="64"/>
      <c r="DLF24" s="64"/>
      <c r="DLG24" s="64"/>
      <c r="DLH24" s="64"/>
      <c r="DLI24" s="64"/>
      <c r="DLJ24" s="64"/>
      <c r="DLK24" s="64"/>
      <c r="DLL24" s="64"/>
      <c r="DLM24" s="64"/>
      <c r="DLN24" s="64"/>
      <c r="DLO24" s="64"/>
      <c r="DLP24" s="64"/>
      <c r="DLQ24" s="64"/>
      <c r="DLR24" s="64"/>
      <c r="DLS24" s="64"/>
      <c r="DLT24" s="64"/>
      <c r="DLU24" s="64"/>
      <c r="DLV24" s="64"/>
      <c r="DLW24" s="64"/>
      <c r="DLX24" s="64"/>
      <c r="DLY24" s="64"/>
      <c r="DLZ24" s="64"/>
      <c r="DMA24" s="64"/>
      <c r="DMB24" s="64"/>
      <c r="DMC24" s="64"/>
      <c r="DMD24" s="64"/>
      <c r="DME24" s="64"/>
      <c r="DMF24" s="64"/>
      <c r="DMG24" s="64"/>
      <c r="DMH24" s="64"/>
      <c r="DMI24" s="64"/>
      <c r="DMJ24" s="64"/>
      <c r="DMK24" s="64"/>
      <c r="DML24" s="64"/>
      <c r="DMM24" s="64"/>
      <c r="DMN24" s="64"/>
      <c r="DMO24" s="64"/>
      <c r="DMP24" s="64"/>
      <c r="DMQ24" s="64"/>
      <c r="DMR24" s="64"/>
      <c r="DMS24" s="64"/>
      <c r="DMT24" s="64"/>
      <c r="DMU24" s="64"/>
      <c r="DMV24" s="64"/>
      <c r="DMW24" s="64"/>
      <c r="DMX24" s="64"/>
      <c r="DMY24" s="64"/>
      <c r="DMZ24" s="64"/>
      <c r="DNA24" s="64"/>
      <c r="DNB24" s="64"/>
      <c r="DNC24" s="64"/>
      <c r="DND24" s="64"/>
      <c r="DNE24" s="64"/>
      <c r="DNF24" s="64"/>
      <c r="DNG24" s="64"/>
      <c r="DNH24" s="64"/>
      <c r="DNI24" s="64"/>
      <c r="DNJ24" s="64"/>
      <c r="DNK24" s="64"/>
      <c r="DNL24" s="64"/>
      <c r="DNM24" s="64"/>
      <c r="DNN24" s="64"/>
      <c r="DNO24" s="64"/>
      <c r="DNP24" s="64"/>
      <c r="DNQ24" s="64"/>
      <c r="DNR24" s="64"/>
      <c r="DNS24" s="64"/>
      <c r="DNT24" s="64"/>
      <c r="DNU24" s="64"/>
      <c r="DNV24" s="64"/>
      <c r="DNW24" s="64"/>
      <c r="DNX24" s="64"/>
      <c r="DNY24" s="64"/>
      <c r="DNZ24" s="64"/>
      <c r="DOA24" s="64"/>
      <c r="DOB24" s="64"/>
      <c r="DOC24" s="64"/>
      <c r="DOD24" s="64"/>
      <c r="DOE24" s="64"/>
      <c r="DOF24" s="64"/>
      <c r="DOG24" s="64"/>
      <c r="DOH24" s="64"/>
      <c r="DOI24" s="64"/>
      <c r="DOJ24" s="64"/>
      <c r="DOK24" s="64"/>
      <c r="DOL24" s="64"/>
      <c r="DOM24" s="64"/>
      <c r="DON24" s="64"/>
      <c r="DOO24" s="64"/>
      <c r="DOP24" s="64"/>
      <c r="DOQ24" s="64"/>
      <c r="DOR24" s="64"/>
      <c r="DOS24" s="64"/>
      <c r="DOT24" s="64"/>
      <c r="DOU24" s="64"/>
      <c r="DOV24" s="64"/>
      <c r="DOW24" s="64"/>
      <c r="DOX24" s="64"/>
      <c r="DOY24" s="64"/>
      <c r="DOZ24" s="64"/>
      <c r="DPA24" s="64"/>
      <c r="DPB24" s="64"/>
      <c r="DPC24" s="64"/>
      <c r="DPD24" s="64"/>
      <c r="DPE24" s="64"/>
      <c r="DPF24" s="64"/>
      <c r="DPG24" s="64"/>
      <c r="DPH24" s="64"/>
      <c r="DPI24" s="64"/>
      <c r="DPJ24" s="64"/>
      <c r="DPK24" s="64"/>
      <c r="DPL24" s="64"/>
      <c r="DPM24" s="64"/>
      <c r="DPN24" s="64"/>
      <c r="DPO24" s="64"/>
      <c r="DPP24" s="64"/>
      <c r="DPQ24" s="64"/>
      <c r="DPR24" s="64"/>
      <c r="DPS24" s="64"/>
      <c r="DPT24" s="64"/>
      <c r="DPU24" s="64"/>
      <c r="DPV24" s="64"/>
      <c r="DPW24" s="64"/>
      <c r="DPX24" s="64"/>
      <c r="DPY24" s="64"/>
      <c r="DPZ24" s="64"/>
      <c r="DQA24" s="64"/>
      <c r="DQB24" s="64"/>
      <c r="DQC24" s="64"/>
      <c r="DQD24" s="64"/>
      <c r="DQE24" s="64"/>
      <c r="DQF24" s="64"/>
      <c r="DQG24" s="64"/>
      <c r="DQH24" s="64"/>
      <c r="DQI24" s="64"/>
      <c r="DQJ24" s="64"/>
      <c r="DQK24" s="64"/>
      <c r="DQL24" s="64"/>
      <c r="DQM24" s="64"/>
      <c r="DQN24" s="64"/>
      <c r="DQO24" s="64"/>
      <c r="DQP24" s="64"/>
      <c r="DQQ24" s="64"/>
      <c r="DQR24" s="64"/>
      <c r="DQS24" s="64"/>
      <c r="DQT24" s="64"/>
      <c r="DQU24" s="64"/>
      <c r="DQV24" s="64"/>
      <c r="DQW24" s="64"/>
      <c r="DQX24" s="64"/>
      <c r="DQY24" s="64"/>
      <c r="DQZ24" s="64"/>
      <c r="DRA24" s="64"/>
      <c r="DRB24" s="64"/>
      <c r="DRC24" s="64"/>
      <c r="DRD24" s="64"/>
      <c r="DRE24" s="64"/>
      <c r="DRF24" s="64"/>
      <c r="DRG24" s="64"/>
      <c r="DRH24" s="64"/>
      <c r="DRI24" s="64"/>
      <c r="DRJ24" s="64"/>
      <c r="DRK24" s="64"/>
      <c r="DRL24" s="64"/>
      <c r="DRM24" s="64"/>
      <c r="DRN24" s="64"/>
      <c r="DRO24" s="64"/>
      <c r="DRP24" s="64"/>
      <c r="DRQ24" s="64"/>
      <c r="DRR24" s="64"/>
      <c r="DRS24" s="64"/>
      <c r="DRT24" s="64"/>
      <c r="DRU24" s="64"/>
      <c r="DRV24" s="64"/>
      <c r="DRW24" s="64"/>
      <c r="DRX24" s="64"/>
      <c r="DRY24" s="64"/>
      <c r="DRZ24" s="64"/>
      <c r="DSA24" s="64"/>
      <c r="DSB24" s="64"/>
      <c r="DSC24" s="64"/>
      <c r="DSD24" s="64"/>
      <c r="DSE24" s="64"/>
      <c r="DSF24" s="64"/>
      <c r="DSG24" s="64"/>
      <c r="DSH24" s="64"/>
      <c r="DSI24" s="64"/>
      <c r="DSJ24" s="64"/>
      <c r="DSK24" s="64"/>
      <c r="DSL24" s="64"/>
      <c r="DSM24" s="64"/>
      <c r="DSN24" s="64"/>
      <c r="DSO24" s="64"/>
      <c r="DSP24" s="64"/>
      <c r="DSQ24" s="64"/>
      <c r="DSR24" s="64"/>
      <c r="DSS24" s="64"/>
      <c r="DST24" s="64"/>
      <c r="DSU24" s="64"/>
      <c r="DSV24" s="64"/>
      <c r="DSW24" s="64"/>
      <c r="DSX24" s="64"/>
      <c r="DSY24" s="64"/>
      <c r="DSZ24" s="64"/>
      <c r="DTA24" s="64"/>
      <c r="DTB24" s="64"/>
      <c r="DTC24" s="64"/>
      <c r="DTD24" s="64"/>
      <c r="DTE24" s="64"/>
      <c r="DTF24" s="64"/>
      <c r="DTG24" s="64"/>
      <c r="DTH24" s="64"/>
      <c r="DTI24" s="64"/>
      <c r="DTJ24" s="64"/>
      <c r="DTK24" s="64"/>
      <c r="DTL24" s="64"/>
      <c r="DTM24" s="64"/>
      <c r="DTN24" s="64"/>
      <c r="DTO24" s="64"/>
      <c r="DTP24" s="64"/>
      <c r="DTQ24" s="64"/>
      <c r="DTR24" s="64"/>
      <c r="DTS24" s="64"/>
      <c r="DTT24" s="64"/>
      <c r="DTU24" s="64"/>
      <c r="DTV24" s="64"/>
      <c r="DTW24" s="64"/>
      <c r="DTX24" s="64"/>
      <c r="DTY24" s="64"/>
      <c r="DTZ24" s="64"/>
      <c r="DUA24" s="64"/>
      <c r="DUB24" s="64"/>
      <c r="DUC24" s="64"/>
      <c r="DUD24" s="64"/>
      <c r="DUE24" s="64"/>
      <c r="DUF24" s="64"/>
      <c r="DUG24" s="64"/>
      <c r="DUH24" s="64"/>
      <c r="DUI24" s="64"/>
      <c r="DUJ24" s="64"/>
      <c r="DUK24" s="64"/>
      <c r="DUL24" s="64"/>
      <c r="DUM24" s="64"/>
      <c r="DUN24" s="64"/>
      <c r="DUO24" s="64"/>
      <c r="DUP24" s="64"/>
      <c r="DUQ24" s="64"/>
      <c r="DUR24" s="64"/>
      <c r="DUS24" s="64"/>
      <c r="DUT24" s="64"/>
      <c r="DUU24" s="64"/>
      <c r="DUV24" s="64"/>
      <c r="DUW24" s="64"/>
      <c r="DUX24" s="64"/>
      <c r="DUY24" s="64"/>
      <c r="DUZ24" s="64"/>
      <c r="DVA24" s="64"/>
      <c r="DVB24" s="64"/>
      <c r="DVC24" s="64"/>
      <c r="DVD24" s="64"/>
      <c r="DVE24" s="64"/>
      <c r="DVF24" s="64"/>
      <c r="DVG24" s="64"/>
      <c r="DVH24" s="64"/>
      <c r="DVI24" s="64"/>
      <c r="DVJ24" s="64"/>
      <c r="DVK24" s="64"/>
      <c r="DVL24" s="64"/>
      <c r="DVM24" s="64"/>
      <c r="DVN24" s="64"/>
      <c r="DVO24" s="64"/>
      <c r="DVP24" s="64"/>
      <c r="DVQ24" s="64"/>
      <c r="DVR24" s="64"/>
      <c r="DVS24" s="64"/>
      <c r="DVT24" s="64"/>
      <c r="DVU24" s="64"/>
      <c r="DVV24" s="64"/>
      <c r="DVW24" s="64"/>
      <c r="DVX24" s="64"/>
      <c r="DVY24" s="64"/>
      <c r="DVZ24" s="64"/>
      <c r="DWA24" s="64"/>
      <c r="DWB24" s="64"/>
      <c r="DWC24" s="64"/>
      <c r="DWD24" s="64"/>
      <c r="DWE24" s="64"/>
      <c r="DWF24" s="64"/>
      <c r="DWG24" s="64"/>
      <c r="DWH24" s="64"/>
      <c r="DWI24" s="64"/>
      <c r="DWJ24" s="64"/>
      <c r="DWK24" s="64"/>
      <c r="DWL24" s="64"/>
      <c r="DWM24" s="64"/>
      <c r="DWN24" s="64"/>
      <c r="DWO24" s="64"/>
      <c r="DWP24" s="64"/>
      <c r="DWQ24" s="64"/>
      <c r="DWR24" s="64"/>
      <c r="DWS24" s="64"/>
      <c r="DWT24" s="64"/>
      <c r="DWU24" s="64"/>
      <c r="DWV24" s="64"/>
      <c r="DWW24" s="64"/>
      <c r="DWX24" s="64"/>
      <c r="DWY24" s="64"/>
      <c r="DWZ24" s="64"/>
      <c r="DXA24" s="64"/>
      <c r="DXB24" s="64"/>
      <c r="DXC24" s="64"/>
      <c r="DXD24" s="64"/>
      <c r="DXE24" s="64"/>
      <c r="DXF24" s="64"/>
      <c r="DXG24" s="64"/>
      <c r="DXH24" s="64"/>
      <c r="DXI24" s="64"/>
      <c r="DXJ24" s="64"/>
      <c r="DXK24" s="64"/>
      <c r="DXL24" s="64"/>
      <c r="DXM24" s="64"/>
      <c r="DXN24" s="64"/>
      <c r="DXO24" s="64"/>
      <c r="DXP24" s="64"/>
      <c r="DXQ24" s="64"/>
      <c r="DXR24" s="64"/>
      <c r="DXS24" s="64"/>
      <c r="DXT24" s="64"/>
      <c r="DXU24" s="64"/>
      <c r="DXV24" s="64"/>
      <c r="DXW24" s="64"/>
      <c r="DXX24" s="64"/>
      <c r="DXY24" s="64"/>
      <c r="DXZ24" s="64"/>
      <c r="DYA24" s="64"/>
      <c r="DYB24" s="64"/>
      <c r="DYC24" s="64"/>
      <c r="DYD24" s="64"/>
      <c r="DYE24" s="64"/>
      <c r="DYF24" s="64"/>
      <c r="DYG24" s="64"/>
      <c r="DYH24" s="64"/>
      <c r="DYI24" s="64"/>
      <c r="DYJ24" s="64"/>
      <c r="DYK24" s="64"/>
      <c r="DYL24" s="64"/>
      <c r="DYM24" s="64"/>
      <c r="DYN24" s="64"/>
      <c r="DYO24" s="64"/>
      <c r="DYP24" s="64"/>
      <c r="DYQ24" s="64"/>
      <c r="DYR24" s="64"/>
      <c r="DYS24" s="64"/>
      <c r="DYT24" s="64"/>
      <c r="DYU24" s="64"/>
      <c r="DYV24" s="64"/>
      <c r="DYW24" s="64"/>
      <c r="DYX24" s="64"/>
      <c r="DYY24" s="64"/>
      <c r="DYZ24" s="64"/>
      <c r="DZA24" s="64"/>
      <c r="DZB24" s="64"/>
      <c r="DZC24" s="64"/>
      <c r="DZD24" s="64"/>
      <c r="DZE24" s="64"/>
      <c r="DZF24" s="64"/>
      <c r="DZG24" s="64"/>
      <c r="DZH24" s="64"/>
      <c r="DZI24" s="64"/>
      <c r="DZJ24" s="64"/>
      <c r="DZK24" s="64"/>
      <c r="DZL24" s="64"/>
      <c r="DZM24" s="64"/>
      <c r="DZN24" s="64"/>
      <c r="DZO24" s="64"/>
      <c r="DZP24" s="64"/>
      <c r="DZQ24" s="64"/>
      <c r="DZR24" s="64"/>
      <c r="DZS24" s="64"/>
      <c r="DZT24" s="64"/>
      <c r="DZU24" s="64"/>
      <c r="DZV24" s="64"/>
      <c r="DZW24" s="64"/>
      <c r="DZX24" s="64"/>
      <c r="DZY24" s="64"/>
      <c r="DZZ24" s="64"/>
      <c r="EAA24" s="64"/>
      <c r="EAB24" s="64"/>
      <c r="EAC24" s="64"/>
      <c r="EAD24" s="64"/>
      <c r="EAE24" s="64"/>
      <c r="EAF24" s="64"/>
      <c r="EAG24" s="64"/>
      <c r="EAH24" s="64"/>
      <c r="EAI24" s="64"/>
      <c r="EAJ24" s="64"/>
      <c r="EAK24" s="64"/>
      <c r="EAL24" s="64"/>
      <c r="EAM24" s="64"/>
      <c r="EAN24" s="64"/>
      <c r="EAO24" s="64"/>
      <c r="EAP24" s="64"/>
      <c r="EAQ24" s="64"/>
      <c r="EAR24" s="64"/>
      <c r="EAS24" s="64"/>
      <c r="EAT24" s="64"/>
      <c r="EAU24" s="64"/>
      <c r="EAV24" s="64"/>
      <c r="EAW24" s="64"/>
      <c r="EAX24" s="64"/>
      <c r="EAY24" s="64"/>
      <c r="EAZ24" s="64"/>
      <c r="EBA24" s="64"/>
      <c r="EBB24" s="64"/>
      <c r="EBC24" s="64"/>
      <c r="EBD24" s="64"/>
      <c r="EBE24" s="64"/>
      <c r="EBF24" s="64"/>
      <c r="EBG24" s="64"/>
      <c r="EBH24" s="64"/>
      <c r="EBI24" s="64"/>
      <c r="EBJ24" s="64"/>
      <c r="EBK24" s="64"/>
      <c r="EBL24" s="64"/>
      <c r="EBM24" s="64"/>
      <c r="EBN24" s="64"/>
      <c r="EBO24" s="64"/>
      <c r="EBP24" s="64"/>
      <c r="EBQ24" s="64"/>
      <c r="EBR24" s="64"/>
      <c r="EBS24" s="64"/>
      <c r="EBT24" s="64"/>
      <c r="EBU24" s="64"/>
      <c r="EBV24" s="64"/>
      <c r="EBW24" s="64"/>
      <c r="EBX24" s="64"/>
      <c r="EBY24" s="64"/>
      <c r="EBZ24" s="64"/>
      <c r="ECA24" s="64"/>
      <c r="ECB24" s="64"/>
      <c r="ECC24" s="64"/>
      <c r="ECD24" s="64"/>
      <c r="ECE24" s="64"/>
      <c r="ECF24" s="64"/>
      <c r="ECG24" s="64"/>
      <c r="ECH24" s="64"/>
      <c r="ECI24" s="64"/>
      <c r="ECJ24" s="64"/>
      <c r="ECK24" s="64"/>
      <c r="ECL24" s="64"/>
      <c r="ECM24" s="64"/>
      <c r="ECN24" s="64"/>
      <c r="ECO24" s="64"/>
      <c r="ECP24" s="64"/>
      <c r="ECQ24" s="64"/>
      <c r="ECR24" s="64"/>
      <c r="ECS24" s="64"/>
      <c r="ECT24" s="64"/>
      <c r="ECU24" s="64"/>
      <c r="ECV24" s="64"/>
      <c r="ECW24" s="64"/>
      <c r="ECX24" s="64"/>
      <c r="ECY24" s="64"/>
      <c r="ECZ24" s="64"/>
      <c r="EDA24" s="64"/>
      <c r="EDB24" s="64"/>
      <c r="EDC24" s="64"/>
      <c r="EDD24" s="64"/>
      <c r="EDE24" s="64"/>
      <c r="EDF24" s="64"/>
      <c r="EDG24" s="64"/>
      <c r="EDH24" s="64"/>
      <c r="EDI24" s="64"/>
      <c r="EDJ24" s="64"/>
      <c r="EDK24" s="64"/>
      <c r="EDL24" s="64"/>
      <c r="EDM24" s="64"/>
      <c r="EDN24" s="64"/>
      <c r="EDO24" s="64"/>
      <c r="EDP24" s="64"/>
      <c r="EDQ24" s="64"/>
      <c r="EDR24" s="64"/>
      <c r="EDS24" s="64"/>
      <c r="EDT24" s="64"/>
      <c r="EDU24" s="64"/>
      <c r="EDV24" s="64"/>
      <c r="EDW24" s="64"/>
      <c r="EDX24" s="64"/>
      <c r="EDY24" s="64"/>
      <c r="EDZ24" s="64"/>
      <c r="EEA24" s="64"/>
      <c r="EEB24" s="64"/>
      <c r="EEC24" s="64"/>
      <c r="EED24" s="64"/>
      <c r="EEE24" s="64"/>
      <c r="EEF24" s="64"/>
      <c r="EEG24" s="64"/>
      <c r="EEH24" s="64"/>
      <c r="EEI24" s="64"/>
      <c r="EEJ24" s="64"/>
      <c r="EEK24" s="64"/>
      <c r="EEL24" s="64"/>
      <c r="EEM24" s="64"/>
      <c r="EEN24" s="64"/>
      <c r="EEO24" s="64"/>
      <c r="EEP24" s="64"/>
      <c r="EEQ24" s="64"/>
      <c r="EER24" s="64"/>
      <c r="EES24" s="64"/>
      <c r="EET24" s="64"/>
      <c r="EEU24" s="64"/>
      <c r="EEV24" s="64"/>
      <c r="EEW24" s="64"/>
      <c r="EEX24" s="64"/>
      <c r="EEY24" s="64"/>
      <c r="EEZ24" s="64"/>
      <c r="EFA24" s="64"/>
      <c r="EFB24" s="64"/>
      <c r="EFC24" s="64"/>
      <c r="EFD24" s="64"/>
      <c r="EFE24" s="64"/>
      <c r="EFF24" s="64"/>
      <c r="EFG24" s="64"/>
      <c r="EFH24" s="64"/>
      <c r="EFI24" s="64"/>
      <c r="EFJ24" s="64"/>
      <c r="EFK24" s="64"/>
      <c r="EFL24" s="64"/>
      <c r="EFM24" s="64"/>
      <c r="EFN24" s="64"/>
      <c r="EFO24" s="64"/>
      <c r="EFP24" s="64"/>
      <c r="EFQ24" s="64"/>
      <c r="EFR24" s="64"/>
      <c r="EFS24" s="64"/>
      <c r="EFT24" s="64"/>
      <c r="EFU24" s="64"/>
      <c r="EFV24" s="64"/>
      <c r="EFW24" s="64"/>
      <c r="EFX24" s="64"/>
      <c r="EFY24" s="64"/>
      <c r="EFZ24" s="64"/>
      <c r="EGA24" s="64"/>
      <c r="EGB24" s="64"/>
      <c r="EGC24" s="64"/>
      <c r="EGD24" s="64"/>
      <c r="EGE24" s="64"/>
      <c r="EGF24" s="64"/>
      <c r="EGG24" s="64"/>
      <c r="EGH24" s="64"/>
      <c r="EGI24" s="64"/>
      <c r="EGJ24" s="64"/>
      <c r="EGK24" s="64"/>
      <c r="EGL24" s="64"/>
      <c r="EGM24" s="64"/>
      <c r="EGN24" s="64"/>
      <c r="EGO24" s="64"/>
      <c r="EGP24" s="64"/>
      <c r="EGQ24" s="64"/>
      <c r="EGR24" s="64"/>
      <c r="EGS24" s="64"/>
      <c r="EGT24" s="64"/>
      <c r="EGU24" s="64"/>
      <c r="EGV24" s="64"/>
      <c r="EGW24" s="64"/>
      <c r="EGX24" s="64"/>
      <c r="EGY24" s="64"/>
      <c r="EGZ24" s="64"/>
      <c r="EHA24" s="64"/>
      <c r="EHB24" s="64"/>
      <c r="EHC24" s="64"/>
      <c r="EHD24" s="64"/>
      <c r="EHE24" s="64"/>
      <c r="EHF24" s="64"/>
      <c r="EHG24" s="64"/>
      <c r="EHH24" s="64"/>
      <c r="EHI24" s="64"/>
      <c r="EHJ24" s="64"/>
      <c r="EHK24" s="64"/>
      <c r="EHL24" s="64"/>
      <c r="EHM24" s="64"/>
      <c r="EHN24" s="64"/>
      <c r="EHO24" s="64"/>
      <c r="EHP24" s="64"/>
      <c r="EHQ24" s="64"/>
      <c r="EHR24" s="64"/>
      <c r="EHS24" s="64"/>
      <c r="EHT24" s="64"/>
      <c r="EHU24" s="64"/>
      <c r="EHV24" s="64"/>
      <c r="EHW24" s="64"/>
      <c r="EHX24" s="64"/>
      <c r="EHY24" s="64"/>
      <c r="EHZ24" s="64"/>
      <c r="EIA24" s="64"/>
      <c r="EIB24" s="64"/>
      <c r="EIC24" s="64"/>
      <c r="EID24" s="64"/>
      <c r="EIE24" s="64"/>
      <c r="EIF24" s="64"/>
      <c r="EIG24" s="64"/>
      <c r="EIH24" s="64"/>
      <c r="EII24" s="64"/>
      <c r="EIJ24" s="64"/>
      <c r="EIK24" s="64"/>
      <c r="EIL24" s="64"/>
      <c r="EIM24" s="64"/>
      <c r="EIN24" s="64"/>
      <c r="EIO24" s="64"/>
      <c r="EIP24" s="64"/>
      <c r="EIQ24" s="64"/>
      <c r="EIR24" s="64"/>
      <c r="EIS24" s="64"/>
      <c r="EIT24" s="64"/>
      <c r="EIU24" s="64"/>
      <c r="EIV24" s="64"/>
      <c r="EIW24" s="64"/>
      <c r="EIX24" s="64"/>
      <c r="EIY24" s="64"/>
      <c r="EIZ24" s="64"/>
      <c r="EJA24" s="64"/>
      <c r="EJB24" s="64"/>
      <c r="EJC24" s="64"/>
      <c r="EJD24" s="64"/>
      <c r="EJE24" s="64"/>
      <c r="EJF24" s="64"/>
      <c r="EJG24" s="64"/>
      <c r="EJH24" s="64"/>
      <c r="EJI24" s="64"/>
      <c r="EJJ24" s="64"/>
      <c r="EJK24" s="64"/>
      <c r="EJL24" s="64"/>
      <c r="EJM24" s="64"/>
      <c r="EJN24" s="64"/>
      <c r="EJO24" s="64"/>
      <c r="EJP24" s="64"/>
      <c r="EJQ24" s="64"/>
      <c r="EJR24" s="64"/>
      <c r="EJS24" s="64"/>
      <c r="EJT24" s="64"/>
      <c r="EJU24" s="64"/>
      <c r="EJV24" s="64"/>
      <c r="EJW24" s="64"/>
      <c r="EJX24" s="64"/>
      <c r="EJY24" s="64"/>
      <c r="EJZ24" s="64"/>
      <c r="EKA24" s="64"/>
      <c r="EKB24" s="64"/>
      <c r="EKC24" s="64"/>
      <c r="EKD24" s="64"/>
      <c r="EKE24" s="64"/>
      <c r="EKF24" s="64"/>
      <c r="EKG24" s="64"/>
      <c r="EKH24" s="64"/>
      <c r="EKI24" s="64"/>
      <c r="EKJ24" s="64"/>
      <c r="EKK24" s="64"/>
      <c r="EKL24" s="64"/>
      <c r="EKM24" s="64"/>
      <c r="EKN24" s="64"/>
      <c r="EKO24" s="64"/>
      <c r="EKP24" s="64"/>
      <c r="EKQ24" s="64"/>
      <c r="EKR24" s="64"/>
      <c r="EKS24" s="64"/>
      <c r="EKT24" s="64"/>
      <c r="EKU24" s="64"/>
      <c r="EKV24" s="64"/>
      <c r="EKW24" s="64"/>
      <c r="EKX24" s="64"/>
      <c r="EKY24" s="64"/>
      <c r="EKZ24" s="64"/>
      <c r="ELA24" s="64"/>
      <c r="ELB24" s="64"/>
      <c r="ELC24" s="64"/>
      <c r="ELD24" s="64"/>
      <c r="ELE24" s="64"/>
      <c r="ELF24" s="64"/>
      <c r="ELG24" s="64"/>
      <c r="ELH24" s="64"/>
      <c r="ELI24" s="64"/>
      <c r="ELJ24" s="64"/>
      <c r="ELK24" s="64"/>
      <c r="ELL24" s="64"/>
      <c r="ELM24" s="64"/>
      <c r="ELN24" s="64"/>
      <c r="ELO24" s="64"/>
      <c r="ELP24" s="64"/>
      <c r="ELQ24" s="64"/>
      <c r="ELR24" s="64"/>
      <c r="ELS24" s="64"/>
      <c r="ELT24" s="64"/>
      <c r="ELU24" s="64"/>
      <c r="ELV24" s="64"/>
      <c r="ELW24" s="64"/>
      <c r="ELX24" s="64"/>
      <c r="ELY24" s="64"/>
      <c r="ELZ24" s="64"/>
      <c r="EMA24" s="64"/>
      <c r="EMB24" s="64"/>
      <c r="EMC24" s="64"/>
      <c r="EMD24" s="64"/>
      <c r="EME24" s="64"/>
      <c r="EMF24" s="64"/>
      <c r="EMG24" s="64"/>
      <c r="EMH24" s="64"/>
      <c r="EMI24" s="64"/>
      <c r="EMJ24" s="64"/>
      <c r="EMK24" s="64"/>
      <c r="EML24" s="64"/>
      <c r="EMM24" s="64"/>
      <c r="EMN24" s="64"/>
      <c r="EMO24" s="64"/>
      <c r="EMP24" s="64"/>
      <c r="EMQ24" s="64"/>
      <c r="EMR24" s="64"/>
      <c r="EMS24" s="64"/>
      <c r="EMT24" s="64"/>
      <c r="EMU24" s="64"/>
      <c r="EMV24" s="64"/>
      <c r="EMW24" s="64"/>
      <c r="EMX24" s="64"/>
      <c r="EMY24" s="64"/>
      <c r="EMZ24" s="64"/>
      <c r="ENA24" s="64"/>
      <c r="ENB24" s="64"/>
      <c r="ENC24" s="64"/>
      <c r="END24" s="64"/>
      <c r="ENE24" s="64"/>
      <c r="ENF24" s="64"/>
      <c r="ENG24" s="64"/>
      <c r="ENH24" s="64"/>
      <c r="ENI24" s="64"/>
      <c r="ENJ24" s="64"/>
      <c r="ENK24" s="64"/>
      <c r="ENL24" s="64"/>
      <c r="ENM24" s="64"/>
      <c r="ENN24" s="64"/>
      <c r="ENO24" s="64"/>
      <c r="ENP24" s="64"/>
      <c r="ENQ24" s="64"/>
      <c r="ENR24" s="64"/>
      <c r="ENS24" s="64"/>
      <c r="ENT24" s="64"/>
      <c r="ENU24" s="64"/>
      <c r="ENV24" s="64"/>
      <c r="ENW24" s="64"/>
      <c r="ENX24" s="64"/>
      <c r="ENY24" s="64"/>
      <c r="ENZ24" s="64"/>
      <c r="EOA24" s="64"/>
      <c r="EOB24" s="64"/>
      <c r="EOC24" s="64"/>
      <c r="EOD24" s="64"/>
      <c r="EOE24" s="64"/>
      <c r="EOF24" s="64"/>
      <c r="EOG24" s="64"/>
      <c r="EOH24" s="64"/>
      <c r="EOI24" s="64"/>
      <c r="EOJ24" s="64"/>
      <c r="EOK24" s="64"/>
      <c r="EOL24" s="64"/>
      <c r="EOM24" s="64"/>
      <c r="EON24" s="64"/>
      <c r="EOO24" s="64"/>
      <c r="EOP24" s="64"/>
      <c r="EOQ24" s="64"/>
      <c r="EOR24" s="64"/>
      <c r="EOS24" s="64"/>
      <c r="EOT24" s="64"/>
      <c r="EOU24" s="64"/>
      <c r="EOV24" s="64"/>
      <c r="EOW24" s="64"/>
      <c r="EOX24" s="64"/>
      <c r="EOY24" s="64"/>
      <c r="EOZ24" s="64"/>
      <c r="EPA24" s="64"/>
      <c r="EPB24" s="64"/>
      <c r="EPC24" s="64"/>
      <c r="EPD24" s="64"/>
      <c r="EPE24" s="64"/>
      <c r="EPF24" s="64"/>
      <c r="EPG24" s="64"/>
      <c r="EPH24" s="64"/>
      <c r="EPI24" s="64"/>
      <c r="EPJ24" s="64"/>
      <c r="EPK24" s="64"/>
      <c r="EPL24" s="64"/>
      <c r="EPM24" s="64"/>
      <c r="EPN24" s="64"/>
      <c r="EPO24" s="64"/>
      <c r="EPP24" s="64"/>
      <c r="EPQ24" s="64"/>
      <c r="EPR24" s="64"/>
      <c r="EPS24" s="64"/>
      <c r="EPT24" s="64"/>
      <c r="EPU24" s="64"/>
      <c r="EPV24" s="64"/>
      <c r="EPW24" s="64"/>
      <c r="EPX24" s="64"/>
      <c r="EPY24" s="64"/>
      <c r="EPZ24" s="64"/>
      <c r="EQA24" s="64"/>
      <c r="EQB24" s="64"/>
      <c r="EQC24" s="64"/>
      <c r="EQD24" s="64"/>
      <c r="EQE24" s="64"/>
      <c r="EQF24" s="64"/>
      <c r="EQG24" s="64"/>
      <c r="EQH24" s="64"/>
      <c r="EQI24" s="64"/>
      <c r="EQJ24" s="64"/>
      <c r="EQK24" s="64"/>
      <c r="EQL24" s="64"/>
      <c r="EQM24" s="64"/>
      <c r="EQN24" s="64"/>
      <c r="EQO24" s="64"/>
      <c r="EQP24" s="64"/>
      <c r="EQQ24" s="64"/>
      <c r="EQR24" s="64"/>
      <c r="EQS24" s="64"/>
      <c r="EQT24" s="64"/>
      <c r="EQU24" s="64"/>
      <c r="EQV24" s="64"/>
      <c r="EQW24" s="64"/>
      <c r="EQX24" s="64"/>
      <c r="EQY24" s="64"/>
      <c r="EQZ24" s="64"/>
      <c r="ERA24" s="64"/>
      <c r="ERB24" s="64"/>
      <c r="ERC24" s="64"/>
      <c r="ERD24" s="64"/>
      <c r="ERE24" s="64"/>
      <c r="ERF24" s="64"/>
      <c r="ERG24" s="64"/>
      <c r="ERH24" s="64"/>
      <c r="ERI24" s="64"/>
      <c r="ERJ24" s="64"/>
      <c r="ERK24" s="64"/>
      <c r="ERL24" s="64"/>
      <c r="ERM24" s="64"/>
      <c r="ERN24" s="64"/>
      <c r="ERO24" s="64"/>
      <c r="ERP24" s="64"/>
      <c r="ERQ24" s="64"/>
      <c r="ERR24" s="64"/>
      <c r="ERS24" s="64"/>
      <c r="ERT24" s="64"/>
      <c r="ERU24" s="64"/>
      <c r="ERV24" s="64"/>
      <c r="ERW24" s="64"/>
      <c r="ERX24" s="64"/>
      <c r="ERY24" s="64"/>
      <c r="ERZ24" s="64"/>
      <c r="ESA24" s="64"/>
      <c r="ESB24" s="64"/>
      <c r="ESC24" s="64"/>
      <c r="ESD24" s="64"/>
      <c r="ESE24" s="64"/>
      <c r="ESF24" s="64"/>
      <c r="ESG24" s="64"/>
      <c r="ESH24" s="64"/>
      <c r="ESI24" s="64"/>
      <c r="ESJ24" s="64"/>
      <c r="ESK24" s="64"/>
      <c r="ESL24" s="64"/>
      <c r="ESM24" s="64"/>
      <c r="ESN24" s="64"/>
      <c r="ESO24" s="64"/>
      <c r="ESP24" s="64"/>
      <c r="ESQ24" s="64"/>
      <c r="ESR24" s="64"/>
      <c r="ESS24" s="64"/>
      <c r="EST24" s="64"/>
      <c r="ESU24" s="64"/>
      <c r="ESV24" s="64"/>
      <c r="ESW24" s="64"/>
      <c r="ESX24" s="64"/>
      <c r="ESY24" s="64"/>
      <c r="ESZ24" s="64"/>
      <c r="ETA24" s="64"/>
      <c r="ETB24" s="64"/>
      <c r="ETC24" s="64"/>
      <c r="ETD24" s="64"/>
      <c r="ETE24" s="64"/>
      <c r="ETF24" s="64"/>
      <c r="ETG24" s="64"/>
      <c r="ETH24" s="64"/>
      <c r="ETI24" s="64"/>
      <c r="ETJ24" s="64"/>
      <c r="ETK24" s="64"/>
      <c r="ETL24" s="64"/>
      <c r="ETM24" s="64"/>
      <c r="ETN24" s="64"/>
      <c r="ETO24" s="64"/>
      <c r="ETP24" s="64"/>
      <c r="ETQ24" s="64"/>
      <c r="ETR24" s="64"/>
      <c r="ETS24" s="64"/>
      <c r="ETT24" s="64"/>
      <c r="ETU24" s="64"/>
      <c r="ETV24" s="64"/>
      <c r="ETW24" s="64"/>
      <c r="ETX24" s="64"/>
      <c r="ETY24" s="64"/>
      <c r="ETZ24" s="64"/>
      <c r="EUA24" s="64"/>
      <c r="EUB24" s="64"/>
      <c r="EUC24" s="64"/>
      <c r="EUD24" s="64"/>
      <c r="EUE24" s="64"/>
      <c r="EUF24" s="64"/>
      <c r="EUG24" s="64"/>
      <c r="EUH24" s="64"/>
      <c r="EUI24" s="64"/>
      <c r="EUJ24" s="64"/>
      <c r="EUK24" s="64"/>
      <c r="EUL24" s="64"/>
      <c r="EUM24" s="64"/>
      <c r="EUN24" s="64"/>
      <c r="EUO24" s="64"/>
      <c r="EUP24" s="64"/>
      <c r="EUQ24" s="64"/>
      <c r="EUR24" s="64"/>
      <c r="EUS24" s="64"/>
      <c r="EUT24" s="64"/>
      <c r="EUU24" s="64"/>
      <c r="EUV24" s="64"/>
      <c r="EUW24" s="64"/>
      <c r="EUX24" s="64"/>
      <c r="EUY24" s="64"/>
      <c r="EUZ24" s="64"/>
      <c r="EVA24" s="64"/>
      <c r="EVB24" s="64"/>
      <c r="EVC24" s="64"/>
      <c r="EVD24" s="64"/>
      <c r="EVE24" s="64"/>
      <c r="EVF24" s="64"/>
      <c r="EVG24" s="64"/>
      <c r="EVH24" s="64"/>
      <c r="EVI24" s="64"/>
      <c r="EVJ24" s="64"/>
      <c r="EVK24" s="64"/>
      <c r="EVL24" s="64"/>
      <c r="EVM24" s="64"/>
      <c r="EVN24" s="64"/>
      <c r="EVO24" s="64"/>
      <c r="EVP24" s="64"/>
      <c r="EVQ24" s="64"/>
      <c r="EVR24" s="64"/>
      <c r="EVS24" s="64"/>
      <c r="EVT24" s="64"/>
      <c r="EVU24" s="64"/>
      <c r="EVV24" s="64"/>
      <c r="EVW24" s="64"/>
      <c r="EVX24" s="64"/>
      <c r="EVY24" s="64"/>
      <c r="EVZ24" s="64"/>
      <c r="EWA24" s="64"/>
      <c r="EWB24" s="64"/>
      <c r="EWC24" s="64"/>
      <c r="EWD24" s="64"/>
      <c r="EWE24" s="64"/>
      <c r="EWF24" s="64"/>
      <c r="EWG24" s="64"/>
      <c r="EWH24" s="64"/>
      <c r="EWI24" s="64"/>
      <c r="EWJ24" s="64"/>
      <c r="EWK24" s="64"/>
      <c r="EWL24" s="64"/>
      <c r="EWM24" s="64"/>
      <c r="EWN24" s="64"/>
      <c r="EWO24" s="64"/>
      <c r="EWP24" s="64"/>
      <c r="EWQ24" s="64"/>
      <c r="EWR24" s="64"/>
      <c r="EWS24" s="64"/>
      <c r="EWT24" s="64"/>
      <c r="EWU24" s="64"/>
      <c r="EWV24" s="64"/>
      <c r="EWW24" s="64"/>
      <c r="EWX24" s="64"/>
      <c r="EWY24" s="64"/>
      <c r="EWZ24" s="64"/>
      <c r="EXA24" s="64"/>
      <c r="EXB24" s="64"/>
      <c r="EXC24" s="64"/>
      <c r="EXD24" s="64"/>
      <c r="EXE24" s="64"/>
      <c r="EXF24" s="64"/>
      <c r="EXG24" s="64"/>
      <c r="EXH24" s="64"/>
      <c r="EXI24" s="64"/>
      <c r="EXJ24" s="64"/>
      <c r="EXK24" s="64"/>
      <c r="EXL24" s="64"/>
      <c r="EXM24" s="64"/>
      <c r="EXN24" s="64"/>
      <c r="EXO24" s="64"/>
      <c r="EXP24" s="64"/>
      <c r="EXQ24" s="64"/>
      <c r="EXR24" s="64"/>
      <c r="EXS24" s="64"/>
      <c r="EXT24" s="64"/>
      <c r="EXU24" s="64"/>
      <c r="EXV24" s="64"/>
      <c r="EXW24" s="64"/>
      <c r="EXX24" s="64"/>
      <c r="EXY24" s="64"/>
      <c r="EXZ24" s="64"/>
      <c r="EYA24" s="64"/>
      <c r="EYB24" s="64"/>
      <c r="EYC24" s="64"/>
      <c r="EYD24" s="64"/>
      <c r="EYE24" s="64"/>
      <c r="EYF24" s="64"/>
      <c r="EYG24" s="64"/>
      <c r="EYH24" s="64"/>
      <c r="EYI24" s="64"/>
      <c r="EYJ24" s="64"/>
      <c r="EYK24" s="64"/>
      <c r="EYL24" s="64"/>
      <c r="EYM24" s="64"/>
      <c r="EYN24" s="64"/>
      <c r="EYO24" s="64"/>
      <c r="EYP24" s="64"/>
      <c r="EYQ24" s="64"/>
      <c r="EYR24" s="64"/>
      <c r="EYS24" s="64"/>
      <c r="EYT24" s="64"/>
      <c r="EYU24" s="64"/>
      <c r="EYV24" s="64"/>
      <c r="EYW24" s="64"/>
      <c r="EYX24" s="64"/>
      <c r="EYY24" s="64"/>
      <c r="EYZ24" s="64"/>
      <c r="EZA24" s="64"/>
      <c r="EZB24" s="64"/>
      <c r="EZC24" s="64"/>
      <c r="EZD24" s="64"/>
      <c r="EZE24" s="64"/>
      <c r="EZF24" s="64"/>
      <c r="EZG24" s="64"/>
      <c r="EZH24" s="64"/>
      <c r="EZI24" s="64"/>
      <c r="EZJ24" s="64"/>
      <c r="EZK24" s="64"/>
      <c r="EZL24" s="64"/>
      <c r="EZM24" s="64"/>
      <c r="EZN24" s="64"/>
      <c r="EZO24" s="64"/>
      <c r="EZP24" s="64"/>
      <c r="EZQ24" s="64"/>
      <c r="EZR24" s="64"/>
      <c r="EZS24" s="64"/>
      <c r="EZT24" s="64"/>
      <c r="EZU24" s="64"/>
      <c r="EZV24" s="64"/>
      <c r="EZW24" s="64"/>
      <c r="EZX24" s="64"/>
      <c r="EZY24" s="64"/>
      <c r="EZZ24" s="64"/>
      <c r="FAA24" s="64"/>
      <c r="FAB24" s="64"/>
      <c r="FAC24" s="64"/>
      <c r="FAD24" s="64"/>
      <c r="FAE24" s="64"/>
      <c r="FAF24" s="64"/>
      <c r="FAG24" s="64"/>
      <c r="FAH24" s="64"/>
      <c r="FAI24" s="64"/>
      <c r="FAJ24" s="64"/>
      <c r="FAK24" s="64"/>
      <c r="FAL24" s="64"/>
      <c r="FAM24" s="64"/>
      <c r="FAN24" s="64"/>
      <c r="FAO24" s="64"/>
      <c r="FAP24" s="64"/>
      <c r="FAQ24" s="64"/>
      <c r="FAR24" s="64"/>
      <c r="FAS24" s="64"/>
      <c r="FAT24" s="64"/>
      <c r="FAU24" s="64"/>
      <c r="FAV24" s="64"/>
      <c r="FAW24" s="64"/>
      <c r="FAX24" s="64"/>
      <c r="FAY24" s="64"/>
      <c r="FAZ24" s="64"/>
      <c r="FBA24" s="64"/>
      <c r="FBB24" s="64"/>
      <c r="FBC24" s="64"/>
      <c r="FBD24" s="64"/>
      <c r="FBE24" s="64"/>
      <c r="FBF24" s="64"/>
      <c r="FBG24" s="64"/>
      <c r="FBH24" s="64"/>
      <c r="FBI24" s="64"/>
      <c r="FBJ24" s="64"/>
      <c r="FBK24" s="64"/>
      <c r="FBL24" s="64"/>
      <c r="FBM24" s="64"/>
      <c r="FBN24" s="64"/>
      <c r="FBO24" s="64"/>
      <c r="FBP24" s="64"/>
      <c r="FBQ24" s="64"/>
      <c r="FBR24" s="64"/>
      <c r="FBS24" s="64"/>
      <c r="FBT24" s="64"/>
      <c r="FBU24" s="64"/>
      <c r="FBV24" s="64"/>
      <c r="FBW24" s="64"/>
      <c r="FBX24" s="64"/>
      <c r="FBY24" s="64"/>
      <c r="FBZ24" s="64"/>
      <c r="FCA24" s="64"/>
      <c r="FCB24" s="64"/>
      <c r="FCC24" s="64"/>
      <c r="FCD24" s="64"/>
      <c r="FCE24" s="64"/>
      <c r="FCF24" s="64"/>
      <c r="FCG24" s="64"/>
      <c r="FCH24" s="64"/>
      <c r="FCI24" s="64"/>
      <c r="FCJ24" s="64"/>
      <c r="FCK24" s="64"/>
      <c r="FCL24" s="64"/>
      <c r="FCM24" s="64"/>
      <c r="FCN24" s="64"/>
      <c r="FCO24" s="64"/>
      <c r="FCP24" s="64"/>
      <c r="FCQ24" s="64"/>
      <c r="FCR24" s="64"/>
      <c r="FCS24" s="64"/>
      <c r="FCT24" s="64"/>
      <c r="FCU24" s="64"/>
      <c r="FCV24" s="64"/>
      <c r="FCW24" s="64"/>
      <c r="FCX24" s="64"/>
      <c r="FCY24" s="64"/>
      <c r="FCZ24" s="64"/>
      <c r="FDA24" s="64"/>
      <c r="FDB24" s="64"/>
      <c r="FDC24" s="64"/>
      <c r="FDD24" s="64"/>
      <c r="FDE24" s="64"/>
      <c r="FDF24" s="64"/>
      <c r="FDG24" s="64"/>
      <c r="FDH24" s="64"/>
      <c r="FDI24" s="64"/>
      <c r="FDJ24" s="64"/>
      <c r="FDK24" s="64"/>
      <c r="FDL24" s="64"/>
      <c r="FDM24" s="64"/>
      <c r="FDN24" s="64"/>
      <c r="FDO24" s="64"/>
      <c r="FDP24" s="64"/>
      <c r="FDQ24" s="64"/>
      <c r="FDR24" s="64"/>
      <c r="FDS24" s="64"/>
      <c r="FDT24" s="64"/>
      <c r="FDU24" s="64"/>
      <c r="FDV24" s="64"/>
      <c r="FDW24" s="64"/>
      <c r="FDX24" s="64"/>
      <c r="FDY24" s="64"/>
      <c r="FDZ24" s="64"/>
      <c r="FEA24" s="64"/>
      <c r="FEB24" s="64"/>
      <c r="FEC24" s="64"/>
      <c r="FED24" s="64"/>
      <c r="FEE24" s="64"/>
      <c r="FEF24" s="64"/>
      <c r="FEG24" s="64"/>
      <c r="FEH24" s="64"/>
      <c r="FEI24" s="64"/>
      <c r="FEJ24" s="64"/>
      <c r="FEK24" s="64"/>
      <c r="FEL24" s="64"/>
      <c r="FEM24" s="64"/>
      <c r="FEN24" s="64"/>
      <c r="FEO24" s="64"/>
      <c r="FEP24" s="64"/>
      <c r="FEQ24" s="64"/>
      <c r="FER24" s="64"/>
      <c r="FES24" s="64"/>
      <c r="FET24" s="64"/>
      <c r="FEU24" s="64"/>
      <c r="FEV24" s="64"/>
      <c r="FEW24" s="64"/>
      <c r="FEX24" s="64"/>
      <c r="FEY24" s="64"/>
      <c r="FEZ24" s="64"/>
      <c r="FFA24" s="64"/>
      <c r="FFB24" s="64"/>
      <c r="FFC24" s="64"/>
      <c r="FFD24" s="64"/>
      <c r="FFE24" s="64"/>
      <c r="FFF24" s="64"/>
      <c r="FFG24" s="64"/>
      <c r="FFH24" s="64"/>
      <c r="FFI24" s="64"/>
      <c r="FFJ24" s="64"/>
      <c r="FFK24" s="64"/>
      <c r="FFL24" s="64"/>
      <c r="FFM24" s="64"/>
      <c r="FFN24" s="64"/>
      <c r="FFO24" s="64"/>
      <c r="FFP24" s="64"/>
      <c r="FFQ24" s="64"/>
      <c r="FFR24" s="64"/>
      <c r="FFS24" s="64"/>
      <c r="FFT24" s="64"/>
      <c r="FFU24" s="64"/>
      <c r="FFV24" s="64"/>
      <c r="FFW24" s="64"/>
      <c r="FFX24" s="64"/>
      <c r="FFY24" s="64"/>
      <c r="FFZ24" s="64"/>
      <c r="FGA24" s="64"/>
      <c r="FGB24" s="64"/>
      <c r="FGC24" s="64"/>
      <c r="FGD24" s="64"/>
      <c r="FGE24" s="64"/>
      <c r="FGF24" s="64"/>
      <c r="FGG24" s="64"/>
      <c r="FGH24" s="64"/>
      <c r="FGI24" s="64"/>
      <c r="FGJ24" s="64"/>
      <c r="FGK24" s="64"/>
      <c r="FGL24" s="64"/>
      <c r="FGM24" s="64"/>
      <c r="FGN24" s="64"/>
      <c r="FGO24" s="64"/>
      <c r="FGP24" s="64"/>
      <c r="FGQ24" s="64"/>
      <c r="FGR24" s="64"/>
      <c r="FGS24" s="64"/>
      <c r="FGT24" s="64"/>
      <c r="FGU24" s="64"/>
      <c r="FGV24" s="64"/>
      <c r="FGW24" s="64"/>
      <c r="FGX24" s="64"/>
      <c r="FGY24" s="64"/>
      <c r="FGZ24" s="64"/>
      <c r="FHA24" s="64"/>
      <c r="FHB24" s="64"/>
      <c r="FHC24" s="64"/>
      <c r="FHD24" s="64"/>
      <c r="FHE24" s="64"/>
      <c r="FHF24" s="64"/>
      <c r="FHG24" s="64"/>
      <c r="FHH24" s="64"/>
      <c r="FHI24" s="64"/>
      <c r="FHJ24" s="64"/>
      <c r="FHK24" s="64"/>
      <c r="FHL24" s="64"/>
      <c r="FHM24" s="64"/>
      <c r="FHN24" s="64"/>
      <c r="FHO24" s="64"/>
      <c r="FHP24" s="64"/>
      <c r="FHQ24" s="64"/>
      <c r="FHR24" s="64"/>
      <c r="FHS24" s="64"/>
      <c r="FHT24" s="64"/>
      <c r="FHU24" s="64"/>
      <c r="FHV24" s="64"/>
      <c r="FHW24" s="64"/>
      <c r="FHX24" s="64"/>
      <c r="FHY24" s="64"/>
      <c r="FHZ24" s="64"/>
      <c r="FIA24" s="64"/>
      <c r="FIB24" s="64"/>
      <c r="FIC24" s="64"/>
      <c r="FID24" s="64"/>
      <c r="FIE24" s="64"/>
      <c r="FIF24" s="64"/>
      <c r="FIG24" s="64"/>
      <c r="FIH24" s="64"/>
      <c r="FII24" s="64"/>
      <c r="FIJ24" s="64"/>
      <c r="FIK24" s="64"/>
      <c r="FIL24" s="64"/>
      <c r="FIM24" s="64"/>
      <c r="FIN24" s="64"/>
      <c r="FIO24" s="64"/>
      <c r="FIP24" s="64"/>
      <c r="FIQ24" s="64"/>
      <c r="FIR24" s="64"/>
      <c r="FIS24" s="64"/>
      <c r="FIT24" s="64"/>
      <c r="FIU24" s="64"/>
      <c r="FIV24" s="64"/>
      <c r="FIW24" s="64"/>
      <c r="FIX24" s="64"/>
      <c r="FIY24" s="64"/>
      <c r="FIZ24" s="64"/>
      <c r="FJA24" s="64"/>
      <c r="FJB24" s="64"/>
      <c r="FJC24" s="64"/>
      <c r="FJD24" s="64"/>
      <c r="FJE24" s="64"/>
      <c r="FJF24" s="64"/>
      <c r="FJG24" s="64"/>
      <c r="FJH24" s="64"/>
      <c r="FJI24" s="64"/>
      <c r="FJJ24" s="64"/>
      <c r="FJK24" s="64"/>
      <c r="FJL24" s="64"/>
      <c r="FJM24" s="64"/>
      <c r="FJN24" s="64"/>
      <c r="FJO24" s="64"/>
      <c r="FJP24" s="64"/>
      <c r="FJQ24" s="64"/>
      <c r="FJR24" s="64"/>
      <c r="FJS24" s="64"/>
      <c r="FJT24" s="64"/>
      <c r="FJU24" s="64"/>
      <c r="FJV24" s="64"/>
      <c r="FJW24" s="64"/>
      <c r="FJX24" s="64"/>
      <c r="FJY24" s="64"/>
      <c r="FJZ24" s="64"/>
      <c r="FKA24" s="64"/>
      <c r="FKB24" s="64"/>
      <c r="FKC24" s="64"/>
      <c r="FKD24" s="64"/>
      <c r="FKE24" s="64"/>
      <c r="FKF24" s="64"/>
      <c r="FKG24" s="64"/>
      <c r="FKH24" s="64"/>
      <c r="FKI24" s="64"/>
      <c r="FKJ24" s="64"/>
      <c r="FKK24" s="64"/>
      <c r="FKL24" s="64"/>
      <c r="FKM24" s="64"/>
      <c r="FKN24" s="64"/>
      <c r="FKO24" s="64"/>
      <c r="FKP24" s="64"/>
      <c r="FKQ24" s="64"/>
      <c r="FKR24" s="64"/>
      <c r="FKS24" s="64"/>
      <c r="FKT24" s="64"/>
      <c r="FKU24" s="64"/>
      <c r="FKV24" s="64"/>
      <c r="FKW24" s="64"/>
      <c r="FKX24" s="64"/>
      <c r="FKY24" s="64"/>
      <c r="FKZ24" s="64"/>
      <c r="FLA24" s="64"/>
      <c r="FLB24" s="64"/>
      <c r="FLC24" s="64"/>
      <c r="FLD24" s="64"/>
      <c r="FLE24" s="64"/>
      <c r="FLF24" s="64"/>
      <c r="FLG24" s="64"/>
      <c r="FLH24" s="64"/>
      <c r="FLI24" s="64"/>
      <c r="FLJ24" s="64"/>
      <c r="FLK24" s="64"/>
      <c r="FLL24" s="64"/>
      <c r="FLM24" s="64"/>
      <c r="FLN24" s="64"/>
      <c r="FLO24" s="64"/>
      <c r="FLP24" s="64"/>
      <c r="FLQ24" s="64"/>
      <c r="FLR24" s="64"/>
      <c r="FLS24" s="64"/>
      <c r="FLT24" s="64"/>
      <c r="FLU24" s="64"/>
      <c r="FLV24" s="64"/>
      <c r="FLW24" s="64"/>
      <c r="FLX24" s="64"/>
      <c r="FLY24" s="64"/>
      <c r="FLZ24" s="64"/>
      <c r="FMA24" s="64"/>
      <c r="FMB24" s="64"/>
      <c r="FMC24" s="64"/>
      <c r="FMD24" s="64"/>
      <c r="FME24" s="64"/>
      <c r="FMF24" s="64"/>
      <c r="FMG24" s="64"/>
      <c r="FMH24" s="64"/>
      <c r="FMI24" s="64"/>
      <c r="FMJ24" s="64"/>
      <c r="FMK24" s="64"/>
      <c r="FML24" s="64"/>
      <c r="FMM24" s="64"/>
      <c r="FMN24" s="64"/>
      <c r="FMO24" s="64"/>
      <c r="FMP24" s="64"/>
      <c r="FMQ24" s="64"/>
      <c r="FMR24" s="64"/>
      <c r="FMS24" s="64"/>
      <c r="FMT24" s="64"/>
      <c r="FMU24" s="64"/>
      <c r="FMV24" s="64"/>
      <c r="FMW24" s="64"/>
      <c r="FMX24" s="64"/>
      <c r="FMY24" s="64"/>
      <c r="FMZ24" s="64"/>
      <c r="FNA24" s="64"/>
      <c r="FNB24" s="64"/>
      <c r="FNC24" s="64"/>
      <c r="FND24" s="64"/>
      <c r="FNE24" s="64"/>
      <c r="FNF24" s="64"/>
      <c r="FNG24" s="64"/>
      <c r="FNH24" s="64"/>
      <c r="FNI24" s="64"/>
      <c r="FNJ24" s="64"/>
      <c r="FNK24" s="64"/>
      <c r="FNL24" s="64"/>
      <c r="FNM24" s="64"/>
      <c r="FNN24" s="64"/>
      <c r="FNO24" s="64"/>
      <c r="FNP24" s="64"/>
      <c r="FNQ24" s="64"/>
      <c r="FNR24" s="64"/>
      <c r="FNS24" s="64"/>
      <c r="FNT24" s="64"/>
      <c r="FNU24" s="64"/>
      <c r="FNV24" s="64"/>
      <c r="FNW24" s="64"/>
      <c r="FNX24" s="64"/>
      <c r="FNY24" s="64"/>
      <c r="FNZ24" s="64"/>
      <c r="FOA24" s="64"/>
      <c r="FOB24" s="64"/>
      <c r="FOC24" s="64"/>
      <c r="FOD24" s="64"/>
      <c r="FOE24" s="64"/>
      <c r="FOF24" s="64"/>
      <c r="FOG24" s="64"/>
      <c r="FOH24" s="64"/>
      <c r="FOI24" s="64"/>
      <c r="FOJ24" s="64"/>
      <c r="FOK24" s="64"/>
      <c r="FOL24" s="64"/>
      <c r="FOM24" s="64"/>
      <c r="FON24" s="64"/>
      <c r="FOO24" s="64"/>
      <c r="FOP24" s="64"/>
      <c r="FOQ24" s="64"/>
      <c r="FOR24" s="64"/>
      <c r="FOS24" s="64"/>
      <c r="FOT24" s="64"/>
      <c r="FOU24" s="64"/>
      <c r="FOV24" s="64"/>
      <c r="FOW24" s="64"/>
      <c r="FOX24" s="64"/>
      <c r="FOY24" s="64"/>
      <c r="FOZ24" s="64"/>
      <c r="FPA24" s="64"/>
      <c r="FPB24" s="64"/>
      <c r="FPC24" s="64"/>
      <c r="FPD24" s="64"/>
      <c r="FPE24" s="64"/>
      <c r="FPF24" s="64"/>
      <c r="FPG24" s="64"/>
      <c r="FPH24" s="64"/>
      <c r="FPI24" s="64"/>
      <c r="FPJ24" s="64"/>
      <c r="FPK24" s="64"/>
      <c r="FPL24" s="64"/>
      <c r="FPM24" s="64"/>
      <c r="FPN24" s="64"/>
      <c r="FPO24" s="64"/>
      <c r="FPP24" s="64"/>
      <c r="FPQ24" s="64"/>
      <c r="FPR24" s="64"/>
      <c r="FPS24" s="64"/>
      <c r="FPT24" s="64"/>
      <c r="FPU24" s="64"/>
      <c r="FPV24" s="64"/>
      <c r="FPW24" s="64"/>
      <c r="FPX24" s="64"/>
      <c r="FPY24" s="64"/>
      <c r="FPZ24" s="64"/>
      <c r="FQA24" s="64"/>
      <c r="FQB24" s="64"/>
      <c r="FQC24" s="64"/>
      <c r="FQD24" s="64"/>
      <c r="FQE24" s="64"/>
      <c r="FQF24" s="64"/>
      <c r="FQG24" s="64"/>
      <c r="FQH24" s="64"/>
      <c r="FQI24" s="64"/>
      <c r="FQJ24" s="64"/>
      <c r="FQK24" s="64"/>
      <c r="FQL24" s="64"/>
      <c r="FQM24" s="64"/>
      <c r="FQN24" s="64"/>
      <c r="FQO24" s="64"/>
      <c r="FQP24" s="64"/>
      <c r="FQQ24" s="64"/>
      <c r="FQR24" s="64"/>
      <c r="FQS24" s="64"/>
      <c r="FQT24" s="64"/>
      <c r="FQU24" s="64"/>
      <c r="FQV24" s="64"/>
      <c r="FQW24" s="64"/>
      <c r="FQX24" s="64"/>
      <c r="FQY24" s="64"/>
      <c r="FQZ24" s="64"/>
      <c r="FRA24" s="64"/>
      <c r="FRB24" s="64"/>
      <c r="FRC24" s="64"/>
      <c r="FRD24" s="64"/>
      <c r="FRE24" s="64"/>
      <c r="FRF24" s="64"/>
      <c r="FRG24" s="64"/>
      <c r="FRH24" s="64"/>
      <c r="FRI24" s="64"/>
      <c r="FRJ24" s="64"/>
      <c r="FRK24" s="64"/>
      <c r="FRL24" s="64"/>
      <c r="FRM24" s="64"/>
      <c r="FRN24" s="64"/>
      <c r="FRO24" s="64"/>
      <c r="FRP24" s="64"/>
      <c r="FRQ24" s="64"/>
      <c r="FRR24" s="64"/>
      <c r="FRS24" s="64"/>
      <c r="FRT24" s="64"/>
      <c r="FRU24" s="64"/>
      <c r="FRV24" s="64"/>
      <c r="FRW24" s="64"/>
      <c r="FRX24" s="64"/>
      <c r="FRY24" s="64"/>
      <c r="FRZ24" s="64"/>
      <c r="FSA24" s="64"/>
      <c r="FSB24" s="64"/>
      <c r="FSC24" s="64"/>
      <c r="FSD24" s="64"/>
      <c r="FSE24" s="64"/>
      <c r="FSF24" s="64"/>
      <c r="FSG24" s="64"/>
      <c r="FSH24" s="64"/>
      <c r="FSI24" s="64"/>
      <c r="FSJ24" s="64"/>
      <c r="FSK24" s="64"/>
      <c r="FSL24" s="64"/>
      <c r="FSM24" s="64"/>
      <c r="FSN24" s="64"/>
      <c r="FSO24" s="64"/>
      <c r="FSP24" s="64"/>
      <c r="FSQ24" s="64"/>
      <c r="FSR24" s="64"/>
      <c r="FSS24" s="64"/>
      <c r="FST24" s="64"/>
      <c r="FSU24" s="64"/>
      <c r="FSV24" s="64"/>
      <c r="FSW24" s="64"/>
      <c r="FSX24" s="64"/>
      <c r="FSY24" s="64"/>
      <c r="FSZ24" s="64"/>
      <c r="FTA24" s="64"/>
      <c r="FTB24" s="64"/>
      <c r="FTC24" s="64"/>
      <c r="FTD24" s="64"/>
      <c r="FTE24" s="64"/>
      <c r="FTF24" s="64"/>
      <c r="FTG24" s="64"/>
      <c r="FTH24" s="64"/>
      <c r="FTI24" s="64"/>
      <c r="FTJ24" s="64"/>
      <c r="FTK24" s="64"/>
      <c r="FTL24" s="64"/>
      <c r="FTM24" s="64"/>
      <c r="FTN24" s="64"/>
      <c r="FTO24" s="64"/>
      <c r="FTP24" s="64"/>
      <c r="FTQ24" s="64"/>
      <c r="FTR24" s="64"/>
      <c r="FTS24" s="64"/>
      <c r="FTT24" s="64"/>
      <c r="FTU24" s="64"/>
      <c r="FTV24" s="64"/>
      <c r="FTW24" s="64"/>
      <c r="FTX24" s="64"/>
      <c r="FTY24" s="64"/>
      <c r="FTZ24" s="64"/>
      <c r="FUA24" s="64"/>
      <c r="FUB24" s="64"/>
      <c r="FUC24" s="64"/>
      <c r="FUD24" s="64"/>
      <c r="FUE24" s="64"/>
      <c r="FUF24" s="64"/>
      <c r="FUG24" s="64"/>
      <c r="FUH24" s="64"/>
      <c r="FUI24" s="64"/>
      <c r="FUJ24" s="64"/>
      <c r="FUK24" s="64"/>
      <c r="FUL24" s="64"/>
      <c r="FUM24" s="64"/>
      <c r="FUN24" s="64"/>
      <c r="FUO24" s="64"/>
      <c r="FUP24" s="64"/>
      <c r="FUQ24" s="64"/>
      <c r="FUR24" s="64"/>
      <c r="FUS24" s="64"/>
      <c r="FUT24" s="64"/>
      <c r="FUU24" s="64"/>
      <c r="FUV24" s="64"/>
      <c r="FUW24" s="64"/>
      <c r="FUX24" s="64"/>
      <c r="FUY24" s="64"/>
      <c r="FUZ24" s="64"/>
      <c r="FVA24" s="64"/>
      <c r="FVB24" s="64"/>
      <c r="FVC24" s="64"/>
      <c r="FVD24" s="64"/>
      <c r="FVE24" s="64"/>
      <c r="FVF24" s="64"/>
      <c r="FVG24" s="64"/>
      <c r="FVH24" s="64"/>
      <c r="FVI24" s="64"/>
      <c r="FVJ24" s="64"/>
      <c r="FVK24" s="64"/>
      <c r="FVL24" s="64"/>
      <c r="FVM24" s="64"/>
      <c r="FVN24" s="64"/>
      <c r="FVO24" s="64"/>
      <c r="FVP24" s="64"/>
      <c r="FVQ24" s="64"/>
      <c r="FVR24" s="64"/>
      <c r="FVS24" s="64"/>
      <c r="FVT24" s="64"/>
      <c r="FVU24" s="64"/>
      <c r="FVV24" s="64"/>
      <c r="FVW24" s="64"/>
      <c r="FVX24" s="64"/>
      <c r="FVY24" s="64"/>
      <c r="FVZ24" s="64"/>
      <c r="FWA24" s="64"/>
      <c r="FWB24" s="64"/>
      <c r="FWC24" s="64"/>
      <c r="FWD24" s="64"/>
      <c r="FWE24" s="64"/>
      <c r="FWF24" s="64"/>
      <c r="FWG24" s="64"/>
      <c r="FWH24" s="64"/>
      <c r="FWI24" s="64"/>
      <c r="FWJ24" s="64"/>
      <c r="FWK24" s="64"/>
      <c r="FWL24" s="64"/>
      <c r="FWM24" s="64"/>
      <c r="FWN24" s="64"/>
      <c r="FWO24" s="64"/>
      <c r="FWP24" s="64"/>
      <c r="FWQ24" s="64"/>
      <c r="FWR24" s="64"/>
      <c r="FWS24" s="64"/>
      <c r="FWT24" s="64"/>
      <c r="FWU24" s="64"/>
      <c r="FWV24" s="64"/>
      <c r="FWW24" s="64"/>
      <c r="FWX24" s="64"/>
      <c r="FWY24" s="64"/>
      <c r="FWZ24" s="64"/>
      <c r="FXA24" s="64"/>
      <c r="FXB24" s="64"/>
      <c r="FXC24" s="64"/>
      <c r="FXD24" s="64"/>
      <c r="FXE24" s="64"/>
      <c r="FXF24" s="64"/>
      <c r="FXG24" s="64"/>
      <c r="FXH24" s="64"/>
      <c r="FXI24" s="64"/>
      <c r="FXJ24" s="64"/>
      <c r="FXK24" s="64"/>
      <c r="FXL24" s="64"/>
      <c r="FXM24" s="64"/>
      <c r="FXN24" s="64"/>
      <c r="FXO24" s="64"/>
      <c r="FXP24" s="64"/>
      <c r="FXQ24" s="64"/>
      <c r="FXR24" s="64"/>
      <c r="FXS24" s="64"/>
      <c r="FXT24" s="64"/>
      <c r="FXU24" s="64"/>
      <c r="FXV24" s="64"/>
      <c r="FXW24" s="64"/>
      <c r="FXX24" s="64"/>
      <c r="FXY24" s="64"/>
      <c r="FXZ24" s="64"/>
      <c r="FYA24" s="64"/>
      <c r="FYB24" s="64"/>
      <c r="FYC24" s="64"/>
      <c r="FYD24" s="64"/>
      <c r="FYE24" s="64"/>
      <c r="FYF24" s="64"/>
      <c r="FYG24" s="64"/>
      <c r="FYH24" s="64"/>
      <c r="FYI24" s="64"/>
      <c r="FYJ24" s="64"/>
      <c r="FYK24" s="64"/>
      <c r="FYL24" s="64"/>
      <c r="FYM24" s="64"/>
      <c r="FYN24" s="64"/>
      <c r="FYO24" s="64"/>
      <c r="FYP24" s="64"/>
      <c r="FYQ24" s="64"/>
      <c r="FYR24" s="64"/>
      <c r="FYS24" s="64"/>
      <c r="FYT24" s="64"/>
      <c r="FYU24" s="64"/>
      <c r="FYV24" s="64"/>
      <c r="FYW24" s="64"/>
      <c r="FYX24" s="64"/>
      <c r="FYY24" s="64"/>
      <c r="FYZ24" s="64"/>
      <c r="FZA24" s="64"/>
      <c r="FZB24" s="64"/>
      <c r="FZC24" s="64"/>
      <c r="FZD24" s="64"/>
      <c r="FZE24" s="64"/>
      <c r="FZF24" s="64"/>
      <c r="FZG24" s="64"/>
      <c r="FZH24" s="64"/>
      <c r="FZI24" s="64"/>
      <c r="FZJ24" s="64"/>
      <c r="FZK24" s="64"/>
      <c r="FZL24" s="64"/>
      <c r="FZM24" s="64"/>
      <c r="FZN24" s="64"/>
      <c r="FZO24" s="64"/>
      <c r="FZP24" s="64"/>
      <c r="FZQ24" s="64"/>
      <c r="FZR24" s="64"/>
      <c r="FZS24" s="64"/>
      <c r="FZT24" s="64"/>
      <c r="FZU24" s="64"/>
      <c r="FZV24" s="64"/>
      <c r="FZW24" s="64"/>
      <c r="FZX24" s="64"/>
      <c r="FZY24" s="64"/>
      <c r="FZZ24" s="64"/>
      <c r="GAA24" s="64"/>
      <c r="GAB24" s="64"/>
      <c r="GAC24" s="64"/>
      <c r="GAD24" s="64"/>
      <c r="GAE24" s="64"/>
      <c r="GAF24" s="64"/>
      <c r="GAG24" s="64"/>
      <c r="GAH24" s="64"/>
      <c r="GAI24" s="64"/>
      <c r="GAJ24" s="64"/>
      <c r="GAK24" s="64"/>
      <c r="GAL24" s="64"/>
      <c r="GAM24" s="64"/>
      <c r="GAN24" s="64"/>
      <c r="GAO24" s="64"/>
      <c r="GAP24" s="64"/>
      <c r="GAQ24" s="64"/>
      <c r="GAR24" s="64"/>
      <c r="GAS24" s="64"/>
      <c r="GAT24" s="64"/>
      <c r="GAU24" s="64"/>
      <c r="GAV24" s="64"/>
      <c r="GAW24" s="64"/>
      <c r="GAX24" s="64"/>
      <c r="GAY24" s="64"/>
      <c r="GAZ24" s="64"/>
      <c r="GBA24" s="64"/>
      <c r="GBB24" s="64"/>
      <c r="GBC24" s="64"/>
      <c r="GBD24" s="64"/>
      <c r="GBE24" s="64"/>
      <c r="GBF24" s="64"/>
      <c r="GBG24" s="64"/>
      <c r="GBH24" s="64"/>
      <c r="GBI24" s="64"/>
      <c r="GBJ24" s="64"/>
      <c r="GBK24" s="64"/>
      <c r="GBL24" s="64"/>
      <c r="GBM24" s="64"/>
      <c r="GBN24" s="64"/>
      <c r="GBO24" s="64"/>
      <c r="GBP24" s="64"/>
      <c r="GBQ24" s="64"/>
      <c r="GBR24" s="64"/>
      <c r="GBS24" s="64"/>
      <c r="GBT24" s="64"/>
      <c r="GBU24" s="64"/>
      <c r="GBV24" s="64"/>
      <c r="GBW24" s="64"/>
      <c r="GBX24" s="64"/>
      <c r="GBY24" s="64"/>
      <c r="GBZ24" s="64"/>
      <c r="GCA24" s="64"/>
      <c r="GCB24" s="64"/>
      <c r="GCC24" s="64"/>
      <c r="GCD24" s="64"/>
      <c r="GCE24" s="64"/>
      <c r="GCF24" s="64"/>
      <c r="GCG24" s="64"/>
      <c r="GCH24" s="64"/>
      <c r="GCI24" s="64"/>
      <c r="GCJ24" s="64"/>
      <c r="GCK24" s="64"/>
      <c r="GCL24" s="64"/>
      <c r="GCM24" s="64"/>
      <c r="GCN24" s="64"/>
      <c r="GCO24" s="64"/>
      <c r="GCP24" s="64"/>
      <c r="GCQ24" s="64"/>
      <c r="GCR24" s="64"/>
      <c r="GCS24" s="64"/>
      <c r="GCT24" s="64"/>
      <c r="GCU24" s="64"/>
      <c r="GCV24" s="64"/>
      <c r="GCW24" s="64"/>
      <c r="GCX24" s="64"/>
      <c r="GCY24" s="64"/>
      <c r="GCZ24" s="64"/>
      <c r="GDA24" s="64"/>
      <c r="GDB24" s="64"/>
      <c r="GDC24" s="64"/>
      <c r="GDD24" s="64"/>
      <c r="GDE24" s="64"/>
      <c r="GDF24" s="64"/>
      <c r="GDG24" s="64"/>
      <c r="GDH24" s="64"/>
      <c r="GDI24" s="64"/>
      <c r="GDJ24" s="64"/>
      <c r="GDK24" s="64"/>
      <c r="GDL24" s="64"/>
      <c r="GDM24" s="64"/>
      <c r="GDN24" s="64"/>
      <c r="GDO24" s="64"/>
      <c r="GDP24" s="64"/>
      <c r="GDQ24" s="64"/>
      <c r="GDR24" s="64"/>
      <c r="GDS24" s="64"/>
      <c r="GDT24" s="64"/>
      <c r="GDU24" s="64"/>
      <c r="GDV24" s="64"/>
      <c r="GDW24" s="64"/>
      <c r="GDX24" s="64"/>
      <c r="GDY24" s="64"/>
      <c r="GDZ24" s="64"/>
      <c r="GEA24" s="64"/>
      <c r="GEB24" s="64"/>
      <c r="GEC24" s="64"/>
      <c r="GED24" s="64"/>
      <c r="GEE24" s="64"/>
      <c r="GEF24" s="64"/>
      <c r="GEG24" s="64"/>
      <c r="GEH24" s="64"/>
      <c r="GEI24" s="64"/>
      <c r="GEJ24" s="64"/>
      <c r="GEK24" s="64"/>
      <c r="GEL24" s="64"/>
      <c r="GEM24" s="64"/>
      <c r="GEN24" s="64"/>
      <c r="GEO24" s="64"/>
      <c r="GEP24" s="64"/>
      <c r="GEQ24" s="64"/>
      <c r="GER24" s="64"/>
      <c r="GES24" s="64"/>
      <c r="GET24" s="64"/>
      <c r="GEU24" s="64"/>
      <c r="GEV24" s="64"/>
      <c r="GEW24" s="64"/>
      <c r="GEX24" s="64"/>
      <c r="GEY24" s="64"/>
      <c r="GEZ24" s="64"/>
      <c r="GFA24" s="64"/>
      <c r="GFB24" s="64"/>
      <c r="GFC24" s="64"/>
      <c r="GFD24" s="64"/>
      <c r="GFE24" s="64"/>
      <c r="GFF24" s="64"/>
      <c r="GFG24" s="64"/>
      <c r="GFH24" s="64"/>
      <c r="GFI24" s="64"/>
      <c r="GFJ24" s="64"/>
      <c r="GFK24" s="64"/>
      <c r="GFL24" s="64"/>
      <c r="GFM24" s="64"/>
      <c r="GFN24" s="64"/>
      <c r="GFO24" s="64"/>
      <c r="GFP24" s="64"/>
      <c r="GFQ24" s="64"/>
      <c r="GFR24" s="64"/>
      <c r="GFS24" s="64"/>
      <c r="GFT24" s="64"/>
      <c r="GFU24" s="64"/>
      <c r="GFV24" s="64"/>
      <c r="GFW24" s="64"/>
      <c r="GFX24" s="64"/>
      <c r="GFY24" s="64"/>
      <c r="GFZ24" s="64"/>
      <c r="GGA24" s="64"/>
      <c r="GGB24" s="64"/>
      <c r="GGC24" s="64"/>
      <c r="GGD24" s="64"/>
      <c r="GGE24" s="64"/>
      <c r="GGF24" s="64"/>
      <c r="GGG24" s="64"/>
      <c r="GGH24" s="64"/>
      <c r="GGI24" s="64"/>
      <c r="GGJ24" s="64"/>
      <c r="GGK24" s="64"/>
      <c r="GGL24" s="64"/>
      <c r="GGM24" s="64"/>
      <c r="GGN24" s="64"/>
      <c r="GGO24" s="64"/>
      <c r="GGP24" s="64"/>
      <c r="GGQ24" s="64"/>
      <c r="GGR24" s="64"/>
      <c r="GGS24" s="64"/>
      <c r="GGT24" s="64"/>
      <c r="GGU24" s="64"/>
      <c r="GGV24" s="64"/>
      <c r="GGW24" s="64"/>
      <c r="GGX24" s="64"/>
      <c r="GGY24" s="64"/>
      <c r="GGZ24" s="64"/>
      <c r="GHA24" s="64"/>
      <c r="GHB24" s="64"/>
      <c r="GHC24" s="64"/>
      <c r="GHD24" s="64"/>
      <c r="GHE24" s="64"/>
      <c r="GHF24" s="64"/>
      <c r="GHG24" s="64"/>
      <c r="GHH24" s="64"/>
      <c r="GHI24" s="64"/>
      <c r="GHJ24" s="64"/>
      <c r="GHK24" s="64"/>
      <c r="GHL24" s="64"/>
      <c r="GHM24" s="64"/>
      <c r="GHN24" s="64"/>
      <c r="GHO24" s="64"/>
      <c r="GHP24" s="64"/>
      <c r="GHQ24" s="64"/>
      <c r="GHR24" s="64"/>
      <c r="GHS24" s="64"/>
      <c r="GHT24" s="64"/>
      <c r="GHU24" s="64"/>
      <c r="GHV24" s="64"/>
      <c r="GHW24" s="64"/>
      <c r="GHX24" s="64"/>
      <c r="GHY24" s="64"/>
      <c r="GHZ24" s="64"/>
      <c r="GIA24" s="64"/>
      <c r="GIB24" s="64"/>
      <c r="GIC24" s="64"/>
      <c r="GID24" s="64"/>
      <c r="GIE24" s="64"/>
      <c r="GIF24" s="64"/>
      <c r="GIG24" s="64"/>
      <c r="GIH24" s="64"/>
      <c r="GII24" s="64"/>
      <c r="GIJ24" s="64"/>
      <c r="GIK24" s="64"/>
      <c r="GIL24" s="64"/>
      <c r="GIM24" s="64"/>
      <c r="GIN24" s="64"/>
      <c r="GIO24" s="64"/>
      <c r="GIP24" s="64"/>
      <c r="GIQ24" s="64"/>
      <c r="GIR24" s="64"/>
      <c r="GIS24" s="64"/>
      <c r="GIT24" s="64"/>
      <c r="GIU24" s="64"/>
      <c r="GIV24" s="64"/>
      <c r="GIW24" s="64"/>
      <c r="GIX24" s="64"/>
      <c r="GIY24" s="64"/>
      <c r="GIZ24" s="64"/>
      <c r="GJA24" s="64"/>
      <c r="GJB24" s="64"/>
      <c r="GJC24" s="64"/>
      <c r="GJD24" s="64"/>
      <c r="GJE24" s="64"/>
      <c r="GJF24" s="64"/>
      <c r="GJG24" s="64"/>
      <c r="GJH24" s="64"/>
      <c r="GJI24" s="64"/>
      <c r="GJJ24" s="64"/>
      <c r="GJK24" s="64"/>
      <c r="GJL24" s="64"/>
      <c r="GJM24" s="64"/>
      <c r="GJN24" s="64"/>
      <c r="GJO24" s="64"/>
      <c r="GJP24" s="64"/>
      <c r="GJQ24" s="64"/>
      <c r="GJR24" s="64"/>
      <c r="GJS24" s="64"/>
      <c r="GJT24" s="64"/>
      <c r="GJU24" s="64"/>
      <c r="GJV24" s="64"/>
      <c r="GJW24" s="64"/>
      <c r="GJX24" s="64"/>
      <c r="GJY24" s="64"/>
      <c r="GJZ24" s="64"/>
      <c r="GKA24" s="64"/>
      <c r="GKB24" s="64"/>
      <c r="GKC24" s="64"/>
      <c r="GKD24" s="64"/>
      <c r="GKE24" s="64"/>
      <c r="GKF24" s="64"/>
      <c r="GKG24" s="64"/>
      <c r="GKH24" s="64"/>
      <c r="GKI24" s="64"/>
      <c r="GKJ24" s="64"/>
      <c r="GKK24" s="64"/>
      <c r="GKL24" s="64"/>
      <c r="GKM24" s="64"/>
      <c r="GKN24" s="64"/>
      <c r="GKO24" s="64"/>
      <c r="GKP24" s="64"/>
      <c r="GKQ24" s="64"/>
      <c r="GKR24" s="64"/>
      <c r="GKS24" s="64"/>
      <c r="GKT24" s="64"/>
      <c r="GKU24" s="64"/>
      <c r="GKV24" s="64"/>
      <c r="GKW24" s="64"/>
      <c r="GKX24" s="64"/>
      <c r="GKY24" s="64"/>
      <c r="GKZ24" s="64"/>
      <c r="GLA24" s="64"/>
      <c r="GLB24" s="64"/>
      <c r="GLC24" s="64"/>
      <c r="GLD24" s="64"/>
      <c r="GLE24" s="64"/>
      <c r="GLF24" s="64"/>
      <c r="GLG24" s="64"/>
      <c r="GLH24" s="64"/>
      <c r="GLI24" s="64"/>
      <c r="GLJ24" s="64"/>
      <c r="GLK24" s="64"/>
      <c r="GLL24" s="64"/>
      <c r="GLM24" s="64"/>
      <c r="GLN24" s="64"/>
      <c r="GLO24" s="64"/>
      <c r="GLP24" s="64"/>
      <c r="GLQ24" s="64"/>
      <c r="GLR24" s="64"/>
      <c r="GLS24" s="64"/>
      <c r="GLT24" s="64"/>
      <c r="GLU24" s="64"/>
      <c r="GLV24" s="64"/>
      <c r="GLW24" s="64"/>
      <c r="GLX24" s="64"/>
      <c r="GLY24" s="64"/>
      <c r="GLZ24" s="64"/>
      <c r="GMA24" s="64"/>
      <c r="GMB24" s="64"/>
      <c r="GMC24" s="64"/>
      <c r="GMD24" s="64"/>
      <c r="GME24" s="64"/>
      <c r="GMF24" s="64"/>
      <c r="GMG24" s="64"/>
      <c r="GMH24" s="64"/>
      <c r="GMI24" s="64"/>
      <c r="GMJ24" s="64"/>
      <c r="GMK24" s="64"/>
      <c r="GML24" s="64"/>
      <c r="GMM24" s="64"/>
      <c r="GMN24" s="64"/>
      <c r="GMO24" s="64"/>
      <c r="GMP24" s="64"/>
      <c r="GMQ24" s="64"/>
      <c r="GMR24" s="64"/>
      <c r="GMS24" s="64"/>
      <c r="GMT24" s="64"/>
      <c r="GMU24" s="64"/>
      <c r="GMV24" s="64"/>
      <c r="GMW24" s="64"/>
      <c r="GMX24" s="64"/>
      <c r="GMY24" s="64"/>
      <c r="GMZ24" s="64"/>
      <c r="GNA24" s="64"/>
      <c r="GNB24" s="64"/>
      <c r="GNC24" s="64"/>
      <c r="GND24" s="64"/>
      <c r="GNE24" s="64"/>
      <c r="GNF24" s="64"/>
      <c r="GNG24" s="64"/>
      <c r="GNH24" s="64"/>
      <c r="GNI24" s="64"/>
      <c r="GNJ24" s="64"/>
      <c r="GNK24" s="64"/>
      <c r="GNL24" s="64"/>
      <c r="GNM24" s="64"/>
      <c r="GNN24" s="64"/>
      <c r="GNO24" s="64"/>
      <c r="GNP24" s="64"/>
      <c r="GNQ24" s="64"/>
      <c r="GNR24" s="64"/>
      <c r="GNS24" s="64"/>
      <c r="GNT24" s="64"/>
      <c r="GNU24" s="64"/>
      <c r="GNV24" s="64"/>
      <c r="GNW24" s="64"/>
      <c r="GNX24" s="64"/>
      <c r="GNY24" s="64"/>
      <c r="GNZ24" s="64"/>
      <c r="GOA24" s="64"/>
      <c r="GOB24" s="64"/>
      <c r="GOC24" s="64"/>
      <c r="GOD24" s="64"/>
      <c r="GOE24" s="64"/>
      <c r="GOF24" s="64"/>
      <c r="GOG24" s="64"/>
      <c r="GOH24" s="64"/>
      <c r="GOI24" s="64"/>
      <c r="GOJ24" s="64"/>
      <c r="GOK24" s="64"/>
      <c r="GOL24" s="64"/>
      <c r="GOM24" s="64"/>
      <c r="GON24" s="64"/>
      <c r="GOO24" s="64"/>
      <c r="GOP24" s="64"/>
      <c r="GOQ24" s="64"/>
      <c r="GOR24" s="64"/>
      <c r="GOS24" s="64"/>
      <c r="GOT24" s="64"/>
      <c r="GOU24" s="64"/>
      <c r="GOV24" s="64"/>
      <c r="GOW24" s="64"/>
      <c r="GOX24" s="64"/>
      <c r="GOY24" s="64"/>
      <c r="GOZ24" s="64"/>
      <c r="GPA24" s="64"/>
      <c r="GPB24" s="64"/>
      <c r="GPC24" s="64"/>
      <c r="GPD24" s="64"/>
      <c r="GPE24" s="64"/>
      <c r="GPF24" s="64"/>
      <c r="GPG24" s="64"/>
      <c r="GPH24" s="64"/>
      <c r="GPI24" s="64"/>
      <c r="GPJ24" s="64"/>
      <c r="GPK24" s="64"/>
      <c r="GPL24" s="64"/>
      <c r="GPM24" s="64"/>
      <c r="GPN24" s="64"/>
      <c r="GPO24" s="64"/>
      <c r="GPP24" s="64"/>
      <c r="GPQ24" s="64"/>
      <c r="GPR24" s="64"/>
      <c r="GPS24" s="64"/>
      <c r="GPT24" s="64"/>
      <c r="GPU24" s="64"/>
      <c r="GPV24" s="64"/>
      <c r="GPW24" s="64"/>
      <c r="GPX24" s="64"/>
      <c r="GPY24" s="64"/>
      <c r="GPZ24" s="64"/>
      <c r="GQA24" s="64"/>
      <c r="GQB24" s="64"/>
      <c r="GQC24" s="64"/>
      <c r="GQD24" s="64"/>
      <c r="GQE24" s="64"/>
      <c r="GQF24" s="64"/>
      <c r="GQG24" s="64"/>
      <c r="GQH24" s="64"/>
      <c r="GQI24" s="64"/>
      <c r="GQJ24" s="64"/>
      <c r="GQK24" s="64"/>
      <c r="GQL24" s="64"/>
      <c r="GQM24" s="64"/>
      <c r="GQN24" s="64"/>
      <c r="GQO24" s="64"/>
      <c r="GQP24" s="64"/>
      <c r="GQQ24" s="64"/>
      <c r="GQR24" s="64"/>
      <c r="GQS24" s="64"/>
      <c r="GQT24" s="64"/>
      <c r="GQU24" s="64"/>
      <c r="GQV24" s="64"/>
      <c r="GQW24" s="64"/>
      <c r="GQX24" s="64"/>
      <c r="GQY24" s="64"/>
      <c r="GQZ24" s="64"/>
      <c r="GRA24" s="64"/>
      <c r="GRB24" s="64"/>
      <c r="GRC24" s="64"/>
      <c r="GRD24" s="64"/>
      <c r="GRE24" s="64"/>
      <c r="GRF24" s="64"/>
      <c r="GRG24" s="64"/>
      <c r="GRH24" s="64"/>
      <c r="GRI24" s="64"/>
      <c r="GRJ24" s="64"/>
      <c r="GRK24" s="64"/>
      <c r="GRL24" s="64"/>
      <c r="GRM24" s="64"/>
      <c r="GRN24" s="64"/>
      <c r="GRO24" s="64"/>
      <c r="GRP24" s="64"/>
      <c r="GRQ24" s="64"/>
      <c r="GRR24" s="64"/>
      <c r="GRS24" s="64"/>
      <c r="GRT24" s="64"/>
      <c r="GRU24" s="64"/>
      <c r="GRV24" s="64"/>
      <c r="GRW24" s="64"/>
      <c r="GRX24" s="64"/>
      <c r="GRY24" s="64"/>
      <c r="GRZ24" s="64"/>
      <c r="GSA24" s="64"/>
      <c r="GSB24" s="64"/>
      <c r="GSC24" s="64"/>
      <c r="GSD24" s="64"/>
      <c r="GSE24" s="64"/>
      <c r="GSF24" s="64"/>
      <c r="GSG24" s="64"/>
      <c r="GSH24" s="64"/>
      <c r="GSI24" s="64"/>
      <c r="GSJ24" s="64"/>
      <c r="GSK24" s="64"/>
      <c r="GSL24" s="64"/>
      <c r="GSM24" s="64"/>
      <c r="GSN24" s="64"/>
      <c r="GSO24" s="64"/>
      <c r="GSP24" s="64"/>
      <c r="GSQ24" s="64"/>
      <c r="GSR24" s="64"/>
      <c r="GSS24" s="64"/>
      <c r="GST24" s="64"/>
      <c r="GSU24" s="64"/>
      <c r="GSV24" s="64"/>
      <c r="GSW24" s="64"/>
      <c r="GSX24" s="64"/>
      <c r="GSY24" s="64"/>
      <c r="GSZ24" s="64"/>
      <c r="GTA24" s="64"/>
      <c r="GTB24" s="64"/>
      <c r="GTC24" s="64"/>
      <c r="GTD24" s="64"/>
      <c r="GTE24" s="64"/>
      <c r="GTF24" s="64"/>
      <c r="GTG24" s="64"/>
      <c r="GTH24" s="64"/>
      <c r="GTI24" s="64"/>
      <c r="GTJ24" s="64"/>
      <c r="GTK24" s="64"/>
      <c r="GTL24" s="64"/>
      <c r="GTM24" s="64"/>
      <c r="GTN24" s="64"/>
      <c r="GTO24" s="64"/>
      <c r="GTP24" s="64"/>
      <c r="GTQ24" s="64"/>
      <c r="GTR24" s="64"/>
      <c r="GTS24" s="64"/>
      <c r="GTT24" s="64"/>
      <c r="GTU24" s="64"/>
      <c r="GTV24" s="64"/>
      <c r="GTW24" s="64"/>
      <c r="GTX24" s="64"/>
      <c r="GTY24" s="64"/>
      <c r="GTZ24" s="64"/>
      <c r="GUA24" s="64"/>
      <c r="GUB24" s="64"/>
      <c r="GUC24" s="64"/>
      <c r="GUD24" s="64"/>
      <c r="GUE24" s="64"/>
      <c r="GUF24" s="64"/>
      <c r="GUG24" s="64"/>
      <c r="GUH24" s="64"/>
      <c r="GUI24" s="64"/>
      <c r="GUJ24" s="64"/>
      <c r="GUK24" s="64"/>
      <c r="GUL24" s="64"/>
      <c r="GUM24" s="64"/>
      <c r="GUN24" s="64"/>
      <c r="GUO24" s="64"/>
      <c r="GUP24" s="64"/>
      <c r="GUQ24" s="64"/>
      <c r="GUR24" s="64"/>
      <c r="GUS24" s="64"/>
      <c r="GUT24" s="64"/>
      <c r="GUU24" s="64"/>
      <c r="GUV24" s="64"/>
      <c r="GUW24" s="64"/>
      <c r="GUX24" s="64"/>
      <c r="GUY24" s="64"/>
      <c r="GUZ24" s="64"/>
      <c r="GVA24" s="64"/>
      <c r="GVB24" s="64"/>
      <c r="GVC24" s="64"/>
      <c r="GVD24" s="64"/>
      <c r="GVE24" s="64"/>
      <c r="GVF24" s="64"/>
      <c r="GVG24" s="64"/>
      <c r="GVH24" s="64"/>
      <c r="GVI24" s="64"/>
      <c r="GVJ24" s="64"/>
      <c r="GVK24" s="64"/>
      <c r="GVL24" s="64"/>
      <c r="GVM24" s="64"/>
      <c r="GVN24" s="64"/>
      <c r="GVO24" s="64"/>
      <c r="GVP24" s="64"/>
      <c r="GVQ24" s="64"/>
      <c r="GVR24" s="64"/>
      <c r="GVS24" s="64"/>
      <c r="GVT24" s="64"/>
      <c r="GVU24" s="64"/>
      <c r="GVV24" s="64"/>
      <c r="GVW24" s="64"/>
      <c r="GVX24" s="64"/>
      <c r="GVY24" s="64"/>
      <c r="GVZ24" s="64"/>
      <c r="GWA24" s="64"/>
      <c r="GWB24" s="64"/>
      <c r="GWC24" s="64"/>
      <c r="GWD24" s="64"/>
      <c r="GWE24" s="64"/>
      <c r="GWF24" s="64"/>
      <c r="GWG24" s="64"/>
      <c r="GWH24" s="64"/>
      <c r="GWI24" s="64"/>
      <c r="GWJ24" s="64"/>
      <c r="GWK24" s="64"/>
      <c r="GWL24" s="64"/>
      <c r="GWM24" s="64"/>
      <c r="GWN24" s="64"/>
      <c r="GWO24" s="64"/>
      <c r="GWP24" s="64"/>
      <c r="GWQ24" s="64"/>
      <c r="GWR24" s="64"/>
      <c r="GWS24" s="64"/>
      <c r="GWT24" s="64"/>
      <c r="GWU24" s="64"/>
      <c r="GWV24" s="64"/>
      <c r="GWW24" s="64"/>
      <c r="GWX24" s="64"/>
      <c r="GWY24" s="64"/>
      <c r="GWZ24" s="64"/>
      <c r="GXA24" s="64"/>
      <c r="GXB24" s="64"/>
      <c r="GXC24" s="64"/>
      <c r="GXD24" s="64"/>
      <c r="GXE24" s="64"/>
      <c r="GXF24" s="64"/>
      <c r="GXG24" s="64"/>
      <c r="GXH24" s="64"/>
      <c r="GXI24" s="64"/>
      <c r="GXJ24" s="64"/>
      <c r="GXK24" s="64"/>
      <c r="GXL24" s="64"/>
      <c r="GXM24" s="64"/>
      <c r="GXN24" s="64"/>
      <c r="GXO24" s="64"/>
      <c r="GXP24" s="64"/>
      <c r="GXQ24" s="64"/>
      <c r="GXR24" s="64"/>
      <c r="GXS24" s="64"/>
      <c r="GXT24" s="64"/>
      <c r="GXU24" s="64"/>
      <c r="GXV24" s="64"/>
      <c r="GXW24" s="64"/>
      <c r="GXX24" s="64"/>
      <c r="GXY24" s="64"/>
      <c r="GXZ24" s="64"/>
      <c r="GYA24" s="64"/>
      <c r="GYB24" s="64"/>
      <c r="GYC24" s="64"/>
      <c r="GYD24" s="64"/>
      <c r="GYE24" s="64"/>
      <c r="GYF24" s="64"/>
      <c r="GYG24" s="64"/>
      <c r="GYH24" s="64"/>
      <c r="GYI24" s="64"/>
      <c r="GYJ24" s="64"/>
      <c r="GYK24" s="64"/>
      <c r="GYL24" s="64"/>
      <c r="GYM24" s="64"/>
      <c r="GYN24" s="64"/>
      <c r="GYO24" s="64"/>
      <c r="GYP24" s="64"/>
      <c r="GYQ24" s="64"/>
      <c r="GYR24" s="64"/>
      <c r="GYS24" s="64"/>
      <c r="GYT24" s="64"/>
      <c r="GYU24" s="64"/>
      <c r="GYV24" s="64"/>
      <c r="GYW24" s="64"/>
      <c r="GYX24" s="64"/>
      <c r="GYY24" s="64"/>
      <c r="GYZ24" s="64"/>
      <c r="GZA24" s="64"/>
      <c r="GZB24" s="64"/>
      <c r="GZC24" s="64"/>
      <c r="GZD24" s="64"/>
      <c r="GZE24" s="64"/>
      <c r="GZF24" s="64"/>
      <c r="GZG24" s="64"/>
      <c r="GZH24" s="64"/>
      <c r="GZI24" s="64"/>
      <c r="GZJ24" s="64"/>
      <c r="GZK24" s="64"/>
      <c r="GZL24" s="64"/>
      <c r="GZM24" s="64"/>
      <c r="GZN24" s="64"/>
      <c r="GZO24" s="64"/>
      <c r="GZP24" s="64"/>
      <c r="GZQ24" s="64"/>
      <c r="GZR24" s="64"/>
      <c r="GZS24" s="64"/>
      <c r="GZT24" s="64"/>
      <c r="GZU24" s="64"/>
      <c r="GZV24" s="64"/>
      <c r="GZW24" s="64"/>
      <c r="GZX24" s="64"/>
      <c r="GZY24" s="64"/>
      <c r="GZZ24" s="64"/>
      <c r="HAA24" s="64"/>
      <c r="HAB24" s="64"/>
      <c r="HAC24" s="64"/>
      <c r="HAD24" s="64"/>
      <c r="HAE24" s="64"/>
      <c r="HAF24" s="64"/>
      <c r="HAG24" s="64"/>
      <c r="HAH24" s="64"/>
      <c r="HAI24" s="64"/>
      <c r="HAJ24" s="64"/>
      <c r="HAK24" s="64"/>
      <c r="HAL24" s="64"/>
      <c r="HAM24" s="64"/>
      <c r="HAN24" s="64"/>
      <c r="HAO24" s="64"/>
      <c r="HAP24" s="64"/>
      <c r="HAQ24" s="64"/>
      <c r="HAR24" s="64"/>
      <c r="HAS24" s="64"/>
      <c r="HAT24" s="64"/>
      <c r="HAU24" s="64"/>
      <c r="HAV24" s="64"/>
      <c r="HAW24" s="64"/>
      <c r="HAX24" s="64"/>
      <c r="HAY24" s="64"/>
      <c r="HAZ24" s="64"/>
      <c r="HBA24" s="64"/>
      <c r="HBB24" s="64"/>
      <c r="HBC24" s="64"/>
      <c r="HBD24" s="64"/>
      <c r="HBE24" s="64"/>
      <c r="HBF24" s="64"/>
      <c r="HBG24" s="64"/>
      <c r="HBH24" s="64"/>
      <c r="HBI24" s="64"/>
      <c r="HBJ24" s="64"/>
      <c r="HBK24" s="64"/>
      <c r="HBL24" s="64"/>
      <c r="HBM24" s="64"/>
      <c r="HBN24" s="64"/>
      <c r="HBO24" s="64"/>
      <c r="HBP24" s="64"/>
      <c r="HBQ24" s="64"/>
      <c r="HBR24" s="64"/>
      <c r="HBS24" s="64"/>
      <c r="HBT24" s="64"/>
      <c r="HBU24" s="64"/>
      <c r="HBV24" s="64"/>
      <c r="HBW24" s="64"/>
      <c r="HBX24" s="64"/>
      <c r="HBY24" s="64"/>
      <c r="HBZ24" s="64"/>
      <c r="HCA24" s="64"/>
      <c r="HCB24" s="64"/>
      <c r="HCC24" s="64"/>
      <c r="HCD24" s="64"/>
      <c r="HCE24" s="64"/>
      <c r="HCF24" s="64"/>
      <c r="HCG24" s="64"/>
      <c r="HCH24" s="64"/>
      <c r="HCI24" s="64"/>
      <c r="HCJ24" s="64"/>
      <c r="HCK24" s="64"/>
      <c r="HCL24" s="64"/>
      <c r="HCM24" s="64"/>
      <c r="HCN24" s="64"/>
      <c r="HCO24" s="64"/>
      <c r="HCP24" s="64"/>
      <c r="HCQ24" s="64"/>
      <c r="HCR24" s="64"/>
      <c r="HCS24" s="64"/>
      <c r="HCT24" s="64"/>
      <c r="HCU24" s="64"/>
      <c r="HCV24" s="64"/>
      <c r="HCW24" s="64"/>
      <c r="HCX24" s="64"/>
      <c r="HCY24" s="64"/>
      <c r="HCZ24" s="64"/>
      <c r="HDA24" s="64"/>
      <c r="HDB24" s="64"/>
      <c r="HDC24" s="64"/>
      <c r="HDD24" s="64"/>
      <c r="HDE24" s="64"/>
      <c r="HDF24" s="64"/>
      <c r="HDG24" s="64"/>
      <c r="HDH24" s="64"/>
      <c r="HDI24" s="64"/>
      <c r="HDJ24" s="64"/>
      <c r="HDK24" s="64"/>
      <c r="HDL24" s="64"/>
      <c r="HDM24" s="64"/>
      <c r="HDN24" s="64"/>
      <c r="HDO24" s="64"/>
      <c r="HDP24" s="64"/>
      <c r="HDQ24" s="64"/>
      <c r="HDR24" s="64"/>
      <c r="HDS24" s="64"/>
      <c r="HDT24" s="64"/>
      <c r="HDU24" s="64"/>
      <c r="HDV24" s="64"/>
      <c r="HDW24" s="64"/>
      <c r="HDX24" s="64"/>
      <c r="HDY24" s="64"/>
      <c r="HDZ24" s="64"/>
      <c r="HEA24" s="64"/>
      <c r="HEB24" s="64"/>
      <c r="HEC24" s="64"/>
      <c r="HED24" s="64"/>
      <c r="HEE24" s="64"/>
      <c r="HEF24" s="64"/>
      <c r="HEG24" s="64"/>
      <c r="HEH24" s="64"/>
      <c r="HEI24" s="64"/>
      <c r="HEJ24" s="64"/>
      <c r="HEK24" s="64"/>
      <c r="HEL24" s="64"/>
      <c r="HEM24" s="64"/>
      <c r="HEN24" s="64"/>
      <c r="HEO24" s="64"/>
      <c r="HEP24" s="64"/>
      <c r="HEQ24" s="64"/>
      <c r="HER24" s="64"/>
      <c r="HES24" s="64"/>
      <c r="HET24" s="64"/>
      <c r="HEU24" s="64"/>
      <c r="HEV24" s="64"/>
      <c r="HEW24" s="64"/>
      <c r="HEX24" s="64"/>
      <c r="HEY24" s="64"/>
      <c r="HEZ24" s="64"/>
      <c r="HFA24" s="64"/>
      <c r="HFB24" s="64"/>
      <c r="HFC24" s="64"/>
      <c r="HFD24" s="64"/>
      <c r="HFE24" s="64"/>
      <c r="HFF24" s="64"/>
      <c r="HFG24" s="64"/>
      <c r="HFH24" s="64"/>
      <c r="HFI24" s="64"/>
      <c r="HFJ24" s="64"/>
      <c r="HFK24" s="64"/>
      <c r="HFL24" s="64"/>
      <c r="HFM24" s="64"/>
      <c r="HFN24" s="64"/>
      <c r="HFO24" s="64"/>
      <c r="HFP24" s="64"/>
      <c r="HFQ24" s="64"/>
      <c r="HFR24" s="64"/>
      <c r="HFS24" s="64"/>
      <c r="HFT24" s="64"/>
      <c r="HFU24" s="64"/>
      <c r="HFV24" s="64"/>
      <c r="HFW24" s="64"/>
      <c r="HFX24" s="64"/>
      <c r="HFY24" s="64"/>
      <c r="HFZ24" s="64"/>
      <c r="HGA24" s="64"/>
      <c r="HGB24" s="64"/>
      <c r="HGC24" s="64"/>
      <c r="HGD24" s="64"/>
      <c r="HGE24" s="64"/>
      <c r="HGF24" s="64"/>
      <c r="HGG24" s="64"/>
      <c r="HGH24" s="64"/>
      <c r="HGI24" s="64"/>
      <c r="HGJ24" s="64"/>
      <c r="HGK24" s="64"/>
      <c r="HGL24" s="64"/>
      <c r="HGM24" s="64"/>
      <c r="HGN24" s="64"/>
      <c r="HGO24" s="64"/>
      <c r="HGP24" s="64"/>
      <c r="HGQ24" s="64"/>
      <c r="HGR24" s="64"/>
      <c r="HGS24" s="64"/>
      <c r="HGT24" s="64"/>
      <c r="HGU24" s="64"/>
      <c r="HGV24" s="64"/>
      <c r="HGW24" s="64"/>
      <c r="HGX24" s="64"/>
      <c r="HGY24" s="64"/>
      <c r="HGZ24" s="64"/>
      <c r="HHA24" s="64"/>
      <c r="HHB24" s="64"/>
      <c r="HHC24" s="64"/>
      <c r="HHD24" s="64"/>
      <c r="HHE24" s="64"/>
      <c r="HHF24" s="64"/>
      <c r="HHG24" s="64"/>
      <c r="HHH24" s="64"/>
      <c r="HHI24" s="64"/>
      <c r="HHJ24" s="64"/>
      <c r="HHK24" s="64"/>
      <c r="HHL24" s="64"/>
      <c r="HHM24" s="64"/>
      <c r="HHN24" s="64"/>
      <c r="HHO24" s="64"/>
      <c r="HHP24" s="64"/>
      <c r="HHQ24" s="64"/>
      <c r="HHR24" s="64"/>
      <c r="HHS24" s="64"/>
      <c r="HHT24" s="64"/>
      <c r="HHU24" s="64"/>
      <c r="HHV24" s="64"/>
      <c r="HHW24" s="64"/>
      <c r="HHX24" s="64"/>
      <c r="HHY24" s="64"/>
      <c r="HHZ24" s="64"/>
      <c r="HIA24" s="64"/>
      <c r="HIB24" s="64"/>
      <c r="HIC24" s="64"/>
      <c r="HID24" s="64"/>
      <c r="HIE24" s="64"/>
      <c r="HIF24" s="64"/>
      <c r="HIG24" s="64"/>
      <c r="HIH24" s="64"/>
      <c r="HII24" s="64"/>
      <c r="HIJ24" s="64"/>
      <c r="HIK24" s="64"/>
      <c r="HIL24" s="64"/>
      <c r="HIM24" s="64"/>
      <c r="HIN24" s="64"/>
      <c r="HIO24" s="64"/>
      <c r="HIP24" s="64"/>
      <c r="HIQ24" s="64"/>
      <c r="HIR24" s="64"/>
      <c r="HIS24" s="64"/>
      <c r="HIT24" s="64"/>
      <c r="HIU24" s="64"/>
      <c r="HIV24" s="64"/>
      <c r="HIW24" s="64"/>
      <c r="HIX24" s="64"/>
      <c r="HIY24" s="64"/>
      <c r="HIZ24" s="64"/>
      <c r="HJA24" s="64"/>
      <c r="HJB24" s="64"/>
      <c r="HJC24" s="64"/>
      <c r="HJD24" s="64"/>
      <c r="HJE24" s="64"/>
      <c r="HJF24" s="64"/>
      <c r="HJG24" s="64"/>
      <c r="HJH24" s="64"/>
      <c r="HJI24" s="64"/>
      <c r="HJJ24" s="64"/>
      <c r="HJK24" s="64"/>
      <c r="HJL24" s="64"/>
      <c r="HJM24" s="64"/>
      <c r="HJN24" s="64"/>
      <c r="HJO24" s="64"/>
      <c r="HJP24" s="64"/>
      <c r="HJQ24" s="64"/>
      <c r="HJR24" s="64"/>
      <c r="HJS24" s="64"/>
      <c r="HJT24" s="64"/>
      <c r="HJU24" s="64"/>
      <c r="HJV24" s="64"/>
      <c r="HJW24" s="64"/>
      <c r="HJX24" s="64"/>
      <c r="HJY24" s="64"/>
      <c r="HJZ24" s="64"/>
      <c r="HKA24" s="64"/>
      <c r="HKB24" s="64"/>
      <c r="HKC24" s="64"/>
      <c r="HKD24" s="64"/>
      <c r="HKE24" s="64"/>
      <c r="HKF24" s="64"/>
      <c r="HKG24" s="64"/>
      <c r="HKH24" s="64"/>
      <c r="HKI24" s="64"/>
      <c r="HKJ24" s="64"/>
      <c r="HKK24" s="64"/>
      <c r="HKL24" s="64"/>
      <c r="HKM24" s="64"/>
      <c r="HKN24" s="64"/>
      <c r="HKO24" s="64"/>
      <c r="HKP24" s="64"/>
      <c r="HKQ24" s="64"/>
      <c r="HKR24" s="64"/>
      <c r="HKS24" s="64"/>
      <c r="HKT24" s="64"/>
      <c r="HKU24" s="64"/>
      <c r="HKV24" s="64"/>
      <c r="HKW24" s="64"/>
      <c r="HKX24" s="64"/>
      <c r="HKY24" s="64"/>
      <c r="HKZ24" s="64"/>
      <c r="HLA24" s="64"/>
      <c r="HLB24" s="64"/>
      <c r="HLC24" s="64"/>
      <c r="HLD24" s="64"/>
      <c r="HLE24" s="64"/>
      <c r="HLF24" s="64"/>
      <c r="HLG24" s="64"/>
      <c r="HLH24" s="64"/>
      <c r="HLI24" s="64"/>
      <c r="HLJ24" s="64"/>
      <c r="HLK24" s="64"/>
      <c r="HLL24" s="64"/>
      <c r="HLM24" s="64"/>
      <c r="HLN24" s="64"/>
      <c r="HLO24" s="64"/>
      <c r="HLP24" s="64"/>
      <c r="HLQ24" s="64"/>
      <c r="HLR24" s="64"/>
      <c r="HLS24" s="64"/>
      <c r="HLT24" s="64"/>
      <c r="HLU24" s="64"/>
      <c r="HLV24" s="64"/>
      <c r="HLW24" s="64"/>
      <c r="HLX24" s="64"/>
      <c r="HLY24" s="64"/>
      <c r="HLZ24" s="64"/>
      <c r="HMA24" s="64"/>
      <c r="HMB24" s="64"/>
      <c r="HMC24" s="64"/>
      <c r="HMD24" s="64"/>
      <c r="HME24" s="64"/>
      <c r="HMF24" s="64"/>
      <c r="HMG24" s="64"/>
      <c r="HMH24" s="64"/>
      <c r="HMI24" s="64"/>
      <c r="HMJ24" s="64"/>
      <c r="HMK24" s="64"/>
      <c r="HML24" s="64"/>
      <c r="HMM24" s="64"/>
      <c r="HMN24" s="64"/>
      <c r="HMO24" s="64"/>
      <c r="HMP24" s="64"/>
      <c r="HMQ24" s="64"/>
      <c r="HMR24" s="64"/>
      <c r="HMS24" s="64"/>
      <c r="HMT24" s="64"/>
      <c r="HMU24" s="64"/>
      <c r="HMV24" s="64"/>
      <c r="HMW24" s="64"/>
      <c r="HMX24" s="64"/>
      <c r="HMY24" s="64"/>
      <c r="HMZ24" s="64"/>
      <c r="HNA24" s="64"/>
      <c r="HNB24" s="64"/>
      <c r="HNC24" s="64"/>
      <c r="HND24" s="64"/>
      <c r="HNE24" s="64"/>
      <c r="HNF24" s="64"/>
      <c r="HNG24" s="64"/>
      <c r="HNH24" s="64"/>
      <c r="HNI24" s="64"/>
      <c r="HNJ24" s="64"/>
      <c r="HNK24" s="64"/>
      <c r="HNL24" s="64"/>
      <c r="HNM24" s="64"/>
      <c r="HNN24" s="64"/>
      <c r="HNO24" s="64"/>
      <c r="HNP24" s="64"/>
      <c r="HNQ24" s="64"/>
      <c r="HNR24" s="64"/>
      <c r="HNS24" s="64"/>
      <c r="HNT24" s="64"/>
      <c r="HNU24" s="64"/>
      <c r="HNV24" s="64"/>
      <c r="HNW24" s="64"/>
      <c r="HNX24" s="64"/>
      <c r="HNY24" s="64"/>
      <c r="HNZ24" s="64"/>
      <c r="HOA24" s="64"/>
      <c r="HOB24" s="64"/>
      <c r="HOC24" s="64"/>
      <c r="HOD24" s="64"/>
      <c r="HOE24" s="64"/>
      <c r="HOF24" s="64"/>
      <c r="HOG24" s="64"/>
      <c r="HOH24" s="64"/>
      <c r="HOI24" s="64"/>
      <c r="HOJ24" s="64"/>
      <c r="HOK24" s="64"/>
      <c r="HOL24" s="64"/>
      <c r="HOM24" s="64"/>
      <c r="HON24" s="64"/>
      <c r="HOO24" s="64"/>
      <c r="HOP24" s="64"/>
      <c r="HOQ24" s="64"/>
      <c r="HOR24" s="64"/>
      <c r="HOS24" s="64"/>
      <c r="HOT24" s="64"/>
      <c r="HOU24" s="64"/>
      <c r="HOV24" s="64"/>
      <c r="HOW24" s="64"/>
      <c r="HOX24" s="64"/>
      <c r="HOY24" s="64"/>
      <c r="HOZ24" s="64"/>
      <c r="HPA24" s="64"/>
      <c r="HPB24" s="64"/>
      <c r="HPC24" s="64"/>
      <c r="HPD24" s="64"/>
      <c r="HPE24" s="64"/>
      <c r="HPF24" s="64"/>
      <c r="HPG24" s="64"/>
      <c r="HPH24" s="64"/>
      <c r="HPI24" s="64"/>
      <c r="HPJ24" s="64"/>
      <c r="HPK24" s="64"/>
      <c r="HPL24" s="64"/>
      <c r="HPM24" s="64"/>
      <c r="HPN24" s="64"/>
      <c r="HPO24" s="64"/>
      <c r="HPP24" s="64"/>
      <c r="HPQ24" s="64"/>
      <c r="HPR24" s="64"/>
      <c r="HPS24" s="64"/>
      <c r="HPT24" s="64"/>
      <c r="HPU24" s="64"/>
      <c r="HPV24" s="64"/>
      <c r="HPW24" s="64"/>
      <c r="HPX24" s="64"/>
      <c r="HPY24" s="64"/>
      <c r="HPZ24" s="64"/>
      <c r="HQA24" s="64"/>
      <c r="HQB24" s="64"/>
      <c r="HQC24" s="64"/>
      <c r="HQD24" s="64"/>
      <c r="HQE24" s="64"/>
      <c r="HQF24" s="64"/>
      <c r="HQG24" s="64"/>
      <c r="HQH24" s="64"/>
      <c r="HQI24" s="64"/>
      <c r="HQJ24" s="64"/>
      <c r="HQK24" s="64"/>
      <c r="HQL24" s="64"/>
      <c r="HQM24" s="64"/>
      <c r="HQN24" s="64"/>
      <c r="HQO24" s="64"/>
      <c r="HQP24" s="64"/>
      <c r="HQQ24" s="64"/>
      <c r="HQR24" s="64"/>
      <c r="HQS24" s="64"/>
      <c r="HQT24" s="64"/>
      <c r="HQU24" s="64"/>
      <c r="HQV24" s="64"/>
      <c r="HQW24" s="64"/>
      <c r="HQX24" s="64"/>
      <c r="HQY24" s="64"/>
      <c r="HQZ24" s="64"/>
      <c r="HRA24" s="64"/>
      <c r="HRB24" s="64"/>
      <c r="HRC24" s="64"/>
      <c r="HRD24" s="64"/>
      <c r="HRE24" s="64"/>
      <c r="HRF24" s="64"/>
      <c r="HRG24" s="64"/>
      <c r="HRH24" s="64"/>
      <c r="HRI24" s="64"/>
      <c r="HRJ24" s="64"/>
      <c r="HRK24" s="64"/>
      <c r="HRL24" s="64"/>
      <c r="HRM24" s="64"/>
      <c r="HRN24" s="64"/>
      <c r="HRO24" s="64"/>
      <c r="HRP24" s="64"/>
      <c r="HRQ24" s="64"/>
      <c r="HRR24" s="64"/>
      <c r="HRS24" s="64"/>
      <c r="HRT24" s="64"/>
      <c r="HRU24" s="64"/>
      <c r="HRV24" s="64"/>
      <c r="HRW24" s="64"/>
      <c r="HRX24" s="64"/>
      <c r="HRY24" s="64"/>
      <c r="HRZ24" s="64"/>
      <c r="HSA24" s="64"/>
      <c r="HSB24" s="64"/>
      <c r="HSC24" s="64"/>
      <c r="HSD24" s="64"/>
      <c r="HSE24" s="64"/>
      <c r="HSF24" s="64"/>
      <c r="HSG24" s="64"/>
      <c r="HSH24" s="64"/>
      <c r="HSI24" s="64"/>
      <c r="HSJ24" s="64"/>
      <c r="HSK24" s="64"/>
      <c r="HSL24" s="64"/>
      <c r="HSM24" s="64"/>
      <c r="HSN24" s="64"/>
      <c r="HSO24" s="64"/>
      <c r="HSP24" s="64"/>
      <c r="HSQ24" s="64"/>
      <c r="HSR24" s="64"/>
      <c r="HSS24" s="64"/>
      <c r="HST24" s="64"/>
      <c r="HSU24" s="64"/>
      <c r="HSV24" s="64"/>
      <c r="HSW24" s="64"/>
      <c r="HSX24" s="64"/>
      <c r="HSY24" s="64"/>
      <c r="HSZ24" s="64"/>
      <c r="HTA24" s="64"/>
      <c r="HTB24" s="64"/>
      <c r="HTC24" s="64"/>
      <c r="HTD24" s="64"/>
      <c r="HTE24" s="64"/>
      <c r="HTF24" s="64"/>
      <c r="HTG24" s="64"/>
      <c r="HTH24" s="64"/>
      <c r="HTI24" s="64"/>
      <c r="HTJ24" s="64"/>
      <c r="HTK24" s="64"/>
      <c r="HTL24" s="64"/>
      <c r="HTM24" s="64"/>
      <c r="HTN24" s="64"/>
      <c r="HTO24" s="64"/>
      <c r="HTP24" s="64"/>
      <c r="HTQ24" s="64"/>
      <c r="HTR24" s="64"/>
      <c r="HTS24" s="64"/>
      <c r="HTT24" s="64"/>
      <c r="HTU24" s="64"/>
      <c r="HTV24" s="64"/>
      <c r="HTW24" s="64"/>
      <c r="HTX24" s="64"/>
      <c r="HTY24" s="64"/>
      <c r="HTZ24" s="64"/>
      <c r="HUA24" s="64"/>
      <c r="HUB24" s="64"/>
      <c r="HUC24" s="64"/>
      <c r="HUD24" s="64"/>
      <c r="HUE24" s="64"/>
      <c r="HUF24" s="64"/>
      <c r="HUG24" s="64"/>
      <c r="HUH24" s="64"/>
      <c r="HUI24" s="64"/>
      <c r="HUJ24" s="64"/>
      <c r="HUK24" s="64"/>
      <c r="HUL24" s="64"/>
      <c r="HUM24" s="64"/>
      <c r="HUN24" s="64"/>
      <c r="HUO24" s="64"/>
      <c r="HUP24" s="64"/>
      <c r="HUQ24" s="64"/>
      <c r="HUR24" s="64"/>
      <c r="HUS24" s="64"/>
      <c r="HUT24" s="64"/>
      <c r="HUU24" s="64"/>
      <c r="HUV24" s="64"/>
      <c r="HUW24" s="64"/>
      <c r="HUX24" s="64"/>
      <c r="HUY24" s="64"/>
      <c r="HUZ24" s="64"/>
      <c r="HVA24" s="64"/>
      <c r="HVB24" s="64"/>
      <c r="HVC24" s="64"/>
      <c r="HVD24" s="64"/>
      <c r="HVE24" s="64"/>
      <c r="HVF24" s="64"/>
      <c r="HVG24" s="64"/>
      <c r="HVH24" s="64"/>
      <c r="HVI24" s="64"/>
      <c r="HVJ24" s="64"/>
      <c r="HVK24" s="64"/>
      <c r="HVL24" s="64"/>
      <c r="HVM24" s="64"/>
      <c r="HVN24" s="64"/>
      <c r="HVO24" s="64"/>
      <c r="HVP24" s="64"/>
      <c r="HVQ24" s="64"/>
      <c r="HVR24" s="64"/>
      <c r="HVS24" s="64"/>
      <c r="HVT24" s="64"/>
      <c r="HVU24" s="64"/>
      <c r="HVV24" s="64"/>
      <c r="HVW24" s="64"/>
      <c r="HVX24" s="64"/>
      <c r="HVY24" s="64"/>
      <c r="HVZ24" s="64"/>
      <c r="HWA24" s="64"/>
      <c r="HWB24" s="64"/>
      <c r="HWC24" s="64"/>
      <c r="HWD24" s="64"/>
      <c r="HWE24" s="64"/>
      <c r="HWF24" s="64"/>
      <c r="HWG24" s="64"/>
      <c r="HWH24" s="64"/>
      <c r="HWI24" s="64"/>
      <c r="HWJ24" s="64"/>
      <c r="HWK24" s="64"/>
      <c r="HWL24" s="64"/>
      <c r="HWM24" s="64"/>
      <c r="HWN24" s="64"/>
      <c r="HWO24" s="64"/>
      <c r="HWP24" s="64"/>
      <c r="HWQ24" s="64"/>
      <c r="HWR24" s="64"/>
      <c r="HWS24" s="64"/>
      <c r="HWT24" s="64"/>
      <c r="HWU24" s="64"/>
      <c r="HWV24" s="64"/>
      <c r="HWW24" s="64"/>
      <c r="HWX24" s="64"/>
      <c r="HWY24" s="64"/>
      <c r="HWZ24" s="64"/>
      <c r="HXA24" s="64"/>
      <c r="HXB24" s="64"/>
      <c r="HXC24" s="64"/>
      <c r="HXD24" s="64"/>
      <c r="HXE24" s="64"/>
      <c r="HXF24" s="64"/>
      <c r="HXG24" s="64"/>
      <c r="HXH24" s="64"/>
      <c r="HXI24" s="64"/>
      <c r="HXJ24" s="64"/>
      <c r="HXK24" s="64"/>
      <c r="HXL24" s="64"/>
      <c r="HXM24" s="64"/>
      <c r="HXN24" s="64"/>
      <c r="HXO24" s="64"/>
      <c r="HXP24" s="64"/>
      <c r="HXQ24" s="64"/>
      <c r="HXR24" s="64"/>
      <c r="HXS24" s="64"/>
      <c r="HXT24" s="64"/>
      <c r="HXU24" s="64"/>
      <c r="HXV24" s="64"/>
      <c r="HXW24" s="64"/>
      <c r="HXX24" s="64"/>
      <c r="HXY24" s="64"/>
      <c r="HXZ24" s="64"/>
      <c r="HYA24" s="64"/>
      <c r="HYB24" s="64"/>
      <c r="HYC24" s="64"/>
      <c r="HYD24" s="64"/>
      <c r="HYE24" s="64"/>
      <c r="HYF24" s="64"/>
      <c r="HYG24" s="64"/>
      <c r="HYH24" s="64"/>
      <c r="HYI24" s="64"/>
      <c r="HYJ24" s="64"/>
      <c r="HYK24" s="64"/>
      <c r="HYL24" s="64"/>
      <c r="HYM24" s="64"/>
      <c r="HYN24" s="64"/>
      <c r="HYO24" s="64"/>
      <c r="HYP24" s="64"/>
      <c r="HYQ24" s="64"/>
      <c r="HYR24" s="64"/>
      <c r="HYS24" s="64"/>
      <c r="HYT24" s="64"/>
      <c r="HYU24" s="64"/>
      <c r="HYV24" s="64"/>
      <c r="HYW24" s="64"/>
      <c r="HYX24" s="64"/>
      <c r="HYY24" s="64"/>
      <c r="HYZ24" s="64"/>
      <c r="HZA24" s="64"/>
      <c r="HZB24" s="64"/>
      <c r="HZC24" s="64"/>
      <c r="HZD24" s="64"/>
      <c r="HZE24" s="64"/>
      <c r="HZF24" s="64"/>
      <c r="HZG24" s="64"/>
      <c r="HZH24" s="64"/>
      <c r="HZI24" s="64"/>
      <c r="HZJ24" s="64"/>
      <c r="HZK24" s="64"/>
      <c r="HZL24" s="64"/>
      <c r="HZM24" s="64"/>
      <c r="HZN24" s="64"/>
      <c r="HZO24" s="64"/>
      <c r="HZP24" s="64"/>
      <c r="HZQ24" s="64"/>
      <c r="HZR24" s="64"/>
      <c r="HZS24" s="64"/>
      <c r="HZT24" s="64"/>
      <c r="HZU24" s="64"/>
      <c r="HZV24" s="64"/>
      <c r="HZW24" s="64"/>
      <c r="HZX24" s="64"/>
      <c r="HZY24" s="64"/>
      <c r="HZZ24" s="64"/>
      <c r="IAA24" s="64"/>
      <c r="IAB24" s="64"/>
      <c r="IAC24" s="64"/>
      <c r="IAD24" s="64"/>
      <c r="IAE24" s="64"/>
      <c r="IAF24" s="64"/>
      <c r="IAG24" s="64"/>
      <c r="IAH24" s="64"/>
      <c r="IAI24" s="64"/>
      <c r="IAJ24" s="64"/>
      <c r="IAK24" s="64"/>
      <c r="IAL24" s="64"/>
      <c r="IAM24" s="64"/>
      <c r="IAN24" s="64"/>
      <c r="IAO24" s="64"/>
      <c r="IAP24" s="64"/>
      <c r="IAQ24" s="64"/>
      <c r="IAR24" s="64"/>
      <c r="IAS24" s="64"/>
      <c r="IAT24" s="64"/>
      <c r="IAU24" s="64"/>
      <c r="IAV24" s="64"/>
      <c r="IAW24" s="64"/>
      <c r="IAX24" s="64"/>
      <c r="IAY24" s="64"/>
      <c r="IAZ24" s="64"/>
      <c r="IBA24" s="64"/>
      <c r="IBB24" s="64"/>
      <c r="IBC24" s="64"/>
      <c r="IBD24" s="64"/>
      <c r="IBE24" s="64"/>
      <c r="IBF24" s="64"/>
      <c r="IBG24" s="64"/>
      <c r="IBH24" s="64"/>
      <c r="IBI24" s="64"/>
      <c r="IBJ24" s="64"/>
      <c r="IBK24" s="64"/>
      <c r="IBL24" s="64"/>
      <c r="IBM24" s="64"/>
      <c r="IBN24" s="64"/>
      <c r="IBO24" s="64"/>
      <c r="IBP24" s="64"/>
      <c r="IBQ24" s="64"/>
      <c r="IBR24" s="64"/>
      <c r="IBS24" s="64"/>
      <c r="IBT24" s="64"/>
      <c r="IBU24" s="64"/>
      <c r="IBV24" s="64"/>
      <c r="IBW24" s="64"/>
      <c r="IBX24" s="64"/>
      <c r="IBY24" s="64"/>
      <c r="IBZ24" s="64"/>
      <c r="ICA24" s="64"/>
      <c r="ICB24" s="64"/>
      <c r="ICC24" s="64"/>
      <c r="ICD24" s="64"/>
      <c r="ICE24" s="64"/>
      <c r="ICF24" s="64"/>
      <c r="ICG24" s="64"/>
      <c r="ICH24" s="64"/>
      <c r="ICI24" s="64"/>
      <c r="ICJ24" s="64"/>
      <c r="ICK24" s="64"/>
      <c r="ICL24" s="64"/>
      <c r="ICM24" s="64"/>
      <c r="ICN24" s="64"/>
      <c r="ICO24" s="64"/>
      <c r="ICP24" s="64"/>
      <c r="ICQ24" s="64"/>
      <c r="ICR24" s="64"/>
      <c r="ICS24" s="64"/>
      <c r="ICT24" s="64"/>
      <c r="ICU24" s="64"/>
      <c r="ICV24" s="64"/>
      <c r="ICW24" s="64"/>
      <c r="ICX24" s="64"/>
      <c r="ICY24" s="64"/>
      <c r="ICZ24" s="64"/>
      <c r="IDA24" s="64"/>
      <c r="IDB24" s="64"/>
      <c r="IDC24" s="64"/>
      <c r="IDD24" s="64"/>
      <c r="IDE24" s="64"/>
      <c r="IDF24" s="64"/>
      <c r="IDG24" s="64"/>
      <c r="IDH24" s="64"/>
      <c r="IDI24" s="64"/>
      <c r="IDJ24" s="64"/>
      <c r="IDK24" s="64"/>
      <c r="IDL24" s="64"/>
      <c r="IDM24" s="64"/>
      <c r="IDN24" s="64"/>
      <c r="IDO24" s="64"/>
      <c r="IDP24" s="64"/>
      <c r="IDQ24" s="64"/>
      <c r="IDR24" s="64"/>
      <c r="IDS24" s="64"/>
      <c r="IDT24" s="64"/>
      <c r="IDU24" s="64"/>
      <c r="IDV24" s="64"/>
      <c r="IDW24" s="64"/>
      <c r="IDX24" s="64"/>
      <c r="IDY24" s="64"/>
      <c r="IDZ24" s="64"/>
      <c r="IEA24" s="64"/>
      <c r="IEB24" s="64"/>
      <c r="IEC24" s="64"/>
      <c r="IED24" s="64"/>
      <c r="IEE24" s="64"/>
      <c r="IEF24" s="64"/>
      <c r="IEG24" s="64"/>
      <c r="IEH24" s="64"/>
      <c r="IEI24" s="64"/>
      <c r="IEJ24" s="64"/>
      <c r="IEK24" s="64"/>
      <c r="IEL24" s="64"/>
      <c r="IEM24" s="64"/>
      <c r="IEN24" s="64"/>
      <c r="IEO24" s="64"/>
      <c r="IEP24" s="64"/>
      <c r="IEQ24" s="64"/>
      <c r="IER24" s="64"/>
      <c r="IES24" s="64"/>
      <c r="IET24" s="64"/>
      <c r="IEU24" s="64"/>
      <c r="IEV24" s="64"/>
      <c r="IEW24" s="64"/>
      <c r="IEX24" s="64"/>
      <c r="IEY24" s="64"/>
      <c r="IEZ24" s="64"/>
      <c r="IFA24" s="64"/>
      <c r="IFB24" s="64"/>
      <c r="IFC24" s="64"/>
      <c r="IFD24" s="64"/>
      <c r="IFE24" s="64"/>
      <c r="IFF24" s="64"/>
      <c r="IFG24" s="64"/>
      <c r="IFH24" s="64"/>
      <c r="IFI24" s="64"/>
      <c r="IFJ24" s="64"/>
      <c r="IFK24" s="64"/>
      <c r="IFL24" s="64"/>
      <c r="IFM24" s="64"/>
      <c r="IFN24" s="64"/>
      <c r="IFO24" s="64"/>
      <c r="IFP24" s="64"/>
      <c r="IFQ24" s="64"/>
      <c r="IFR24" s="64"/>
      <c r="IFS24" s="64"/>
      <c r="IFT24" s="64"/>
      <c r="IFU24" s="64"/>
      <c r="IFV24" s="64"/>
      <c r="IFW24" s="64"/>
      <c r="IFX24" s="64"/>
      <c r="IFY24" s="64"/>
      <c r="IFZ24" s="64"/>
      <c r="IGA24" s="64"/>
      <c r="IGB24" s="64"/>
      <c r="IGC24" s="64"/>
      <c r="IGD24" s="64"/>
      <c r="IGE24" s="64"/>
      <c r="IGF24" s="64"/>
      <c r="IGG24" s="64"/>
      <c r="IGH24" s="64"/>
      <c r="IGI24" s="64"/>
      <c r="IGJ24" s="64"/>
      <c r="IGK24" s="64"/>
      <c r="IGL24" s="64"/>
      <c r="IGM24" s="64"/>
      <c r="IGN24" s="64"/>
      <c r="IGO24" s="64"/>
      <c r="IGP24" s="64"/>
      <c r="IGQ24" s="64"/>
      <c r="IGR24" s="64"/>
      <c r="IGS24" s="64"/>
      <c r="IGT24" s="64"/>
      <c r="IGU24" s="64"/>
      <c r="IGV24" s="64"/>
      <c r="IGW24" s="64"/>
      <c r="IGX24" s="64"/>
      <c r="IGY24" s="64"/>
      <c r="IGZ24" s="64"/>
      <c r="IHA24" s="64"/>
      <c r="IHB24" s="64"/>
      <c r="IHC24" s="64"/>
      <c r="IHD24" s="64"/>
      <c r="IHE24" s="64"/>
      <c r="IHF24" s="64"/>
      <c r="IHG24" s="64"/>
      <c r="IHH24" s="64"/>
      <c r="IHI24" s="64"/>
      <c r="IHJ24" s="64"/>
      <c r="IHK24" s="64"/>
      <c r="IHL24" s="64"/>
      <c r="IHM24" s="64"/>
      <c r="IHN24" s="64"/>
      <c r="IHO24" s="64"/>
      <c r="IHP24" s="64"/>
      <c r="IHQ24" s="64"/>
      <c r="IHR24" s="64"/>
      <c r="IHS24" s="64"/>
      <c r="IHT24" s="64"/>
      <c r="IHU24" s="64"/>
      <c r="IHV24" s="64"/>
      <c r="IHW24" s="64"/>
      <c r="IHX24" s="64"/>
      <c r="IHY24" s="64"/>
      <c r="IHZ24" s="64"/>
      <c r="IIA24" s="64"/>
      <c r="IIB24" s="64"/>
      <c r="IIC24" s="64"/>
      <c r="IID24" s="64"/>
      <c r="IIE24" s="64"/>
      <c r="IIF24" s="64"/>
      <c r="IIG24" s="64"/>
      <c r="IIH24" s="64"/>
      <c r="III24" s="64"/>
      <c r="IIJ24" s="64"/>
      <c r="IIK24" s="64"/>
      <c r="IIL24" s="64"/>
      <c r="IIM24" s="64"/>
      <c r="IIN24" s="64"/>
      <c r="IIO24" s="64"/>
      <c r="IIP24" s="64"/>
      <c r="IIQ24" s="64"/>
      <c r="IIR24" s="64"/>
      <c r="IIS24" s="64"/>
      <c r="IIT24" s="64"/>
      <c r="IIU24" s="64"/>
      <c r="IIV24" s="64"/>
      <c r="IIW24" s="64"/>
      <c r="IIX24" s="64"/>
      <c r="IIY24" s="64"/>
      <c r="IIZ24" s="64"/>
      <c r="IJA24" s="64"/>
      <c r="IJB24" s="64"/>
      <c r="IJC24" s="64"/>
      <c r="IJD24" s="64"/>
      <c r="IJE24" s="64"/>
      <c r="IJF24" s="64"/>
      <c r="IJG24" s="64"/>
      <c r="IJH24" s="64"/>
      <c r="IJI24" s="64"/>
      <c r="IJJ24" s="64"/>
      <c r="IJK24" s="64"/>
      <c r="IJL24" s="64"/>
      <c r="IJM24" s="64"/>
      <c r="IJN24" s="64"/>
      <c r="IJO24" s="64"/>
      <c r="IJP24" s="64"/>
      <c r="IJQ24" s="64"/>
      <c r="IJR24" s="64"/>
      <c r="IJS24" s="64"/>
      <c r="IJT24" s="64"/>
      <c r="IJU24" s="64"/>
      <c r="IJV24" s="64"/>
      <c r="IJW24" s="64"/>
      <c r="IJX24" s="64"/>
      <c r="IJY24" s="64"/>
      <c r="IJZ24" s="64"/>
      <c r="IKA24" s="64"/>
      <c r="IKB24" s="64"/>
      <c r="IKC24" s="64"/>
      <c r="IKD24" s="64"/>
      <c r="IKE24" s="64"/>
      <c r="IKF24" s="64"/>
      <c r="IKG24" s="64"/>
      <c r="IKH24" s="64"/>
      <c r="IKI24" s="64"/>
      <c r="IKJ24" s="64"/>
      <c r="IKK24" s="64"/>
      <c r="IKL24" s="64"/>
      <c r="IKM24" s="64"/>
      <c r="IKN24" s="64"/>
      <c r="IKO24" s="64"/>
      <c r="IKP24" s="64"/>
      <c r="IKQ24" s="64"/>
      <c r="IKR24" s="64"/>
      <c r="IKS24" s="64"/>
      <c r="IKT24" s="64"/>
      <c r="IKU24" s="64"/>
      <c r="IKV24" s="64"/>
      <c r="IKW24" s="64"/>
      <c r="IKX24" s="64"/>
      <c r="IKY24" s="64"/>
      <c r="IKZ24" s="64"/>
      <c r="ILA24" s="64"/>
      <c r="ILB24" s="64"/>
      <c r="ILC24" s="64"/>
      <c r="ILD24" s="64"/>
      <c r="ILE24" s="64"/>
      <c r="ILF24" s="64"/>
      <c r="ILG24" s="64"/>
      <c r="ILH24" s="64"/>
      <c r="ILI24" s="64"/>
      <c r="ILJ24" s="64"/>
      <c r="ILK24" s="64"/>
      <c r="ILL24" s="64"/>
      <c r="ILM24" s="64"/>
      <c r="ILN24" s="64"/>
      <c r="ILO24" s="64"/>
      <c r="ILP24" s="64"/>
      <c r="ILQ24" s="64"/>
      <c r="ILR24" s="64"/>
      <c r="ILS24" s="64"/>
      <c r="ILT24" s="64"/>
      <c r="ILU24" s="64"/>
      <c r="ILV24" s="64"/>
      <c r="ILW24" s="64"/>
      <c r="ILX24" s="64"/>
      <c r="ILY24" s="64"/>
      <c r="ILZ24" s="64"/>
      <c r="IMA24" s="64"/>
      <c r="IMB24" s="64"/>
      <c r="IMC24" s="64"/>
      <c r="IMD24" s="64"/>
      <c r="IME24" s="64"/>
      <c r="IMF24" s="64"/>
      <c r="IMG24" s="64"/>
      <c r="IMH24" s="64"/>
      <c r="IMI24" s="64"/>
      <c r="IMJ24" s="64"/>
      <c r="IMK24" s="64"/>
      <c r="IML24" s="64"/>
      <c r="IMM24" s="64"/>
      <c r="IMN24" s="64"/>
      <c r="IMO24" s="64"/>
      <c r="IMP24" s="64"/>
      <c r="IMQ24" s="64"/>
      <c r="IMR24" s="64"/>
      <c r="IMS24" s="64"/>
      <c r="IMT24" s="64"/>
      <c r="IMU24" s="64"/>
      <c r="IMV24" s="64"/>
      <c r="IMW24" s="64"/>
      <c r="IMX24" s="64"/>
      <c r="IMY24" s="64"/>
      <c r="IMZ24" s="64"/>
      <c r="INA24" s="64"/>
      <c r="INB24" s="64"/>
      <c r="INC24" s="64"/>
      <c r="IND24" s="64"/>
      <c r="INE24" s="64"/>
      <c r="INF24" s="64"/>
      <c r="ING24" s="64"/>
      <c r="INH24" s="64"/>
      <c r="INI24" s="64"/>
      <c r="INJ24" s="64"/>
      <c r="INK24" s="64"/>
      <c r="INL24" s="64"/>
      <c r="INM24" s="64"/>
      <c r="INN24" s="64"/>
      <c r="INO24" s="64"/>
      <c r="INP24" s="64"/>
      <c r="INQ24" s="64"/>
      <c r="INR24" s="64"/>
      <c r="INS24" s="64"/>
      <c r="INT24" s="64"/>
      <c r="INU24" s="64"/>
      <c r="INV24" s="64"/>
      <c r="INW24" s="64"/>
      <c r="INX24" s="64"/>
      <c r="INY24" s="64"/>
      <c r="INZ24" s="64"/>
      <c r="IOA24" s="64"/>
      <c r="IOB24" s="64"/>
      <c r="IOC24" s="64"/>
      <c r="IOD24" s="64"/>
      <c r="IOE24" s="64"/>
      <c r="IOF24" s="64"/>
      <c r="IOG24" s="64"/>
      <c r="IOH24" s="64"/>
      <c r="IOI24" s="64"/>
      <c r="IOJ24" s="64"/>
      <c r="IOK24" s="64"/>
      <c r="IOL24" s="64"/>
      <c r="IOM24" s="64"/>
      <c r="ION24" s="64"/>
      <c r="IOO24" s="64"/>
      <c r="IOP24" s="64"/>
      <c r="IOQ24" s="64"/>
      <c r="IOR24" s="64"/>
      <c r="IOS24" s="64"/>
      <c r="IOT24" s="64"/>
      <c r="IOU24" s="64"/>
      <c r="IOV24" s="64"/>
      <c r="IOW24" s="64"/>
      <c r="IOX24" s="64"/>
      <c r="IOY24" s="64"/>
      <c r="IOZ24" s="64"/>
      <c r="IPA24" s="64"/>
      <c r="IPB24" s="64"/>
      <c r="IPC24" s="64"/>
      <c r="IPD24" s="64"/>
      <c r="IPE24" s="64"/>
      <c r="IPF24" s="64"/>
      <c r="IPG24" s="64"/>
      <c r="IPH24" s="64"/>
      <c r="IPI24" s="64"/>
      <c r="IPJ24" s="64"/>
      <c r="IPK24" s="64"/>
      <c r="IPL24" s="64"/>
      <c r="IPM24" s="64"/>
      <c r="IPN24" s="64"/>
      <c r="IPO24" s="64"/>
      <c r="IPP24" s="64"/>
      <c r="IPQ24" s="64"/>
      <c r="IPR24" s="64"/>
      <c r="IPS24" s="64"/>
      <c r="IPT24" s="64"/>
      <c r="IPU24" s="64"/>
      <c r="IPV24" s="64"/>
      <c r="IPW24" s="64"/>
      <c r="IPX24" s="64"/>
      <c r="IPY24" s="64"/>
      <c r="IPZ24" s="64"/>
      <c r="IQA24" s="64"/>
      <c r="IQB24" s="64"/>
      <c r="IQC24" s="64"/>
      <c r="IQD24" s="64"/>
      <c r="IQE24" s="64"/>
      <c r="IQF24" s="64"/>
      <c r="IQG24" s="64"/>
      <c r="IQH24" s="64"/>
      <c r="IQI24" s="64"/>
      <c r="IQJ24" s="64"/>
      <c r="IQK24" s="64"/>
      <c r="IQL24" s="64"/>
      <c r="IQM24" s="64"/>
      <c r="IQN24" s="64"/>
      <c r="IQO24" s="64"/>
      <c r="IQP24" s="64"/>
      <c r="IQQ24" s="64"/>
      <c r="IQR24" s="64"/>
      <c r="IQS24" s="64"/>
      <c r="IQT24" s="64"/>
      <c r="IQU24" s="64"/>
      <c r="IQV24" s="64"/>
      <c r="IQW24" s="64"/>
      <c r="IQX24" s="64"/>
      <c r="IQY24" s="64"/>
      <c r="IQZ24" s="64"/>
      <c r="IRA24" s="64"/>
      <c r="IRB24" s="64"/>
      <c r="IRC24" s="64"/>
      <c r="IRD24" s="64"/>
      <c r="IRE24" s="64"/>
      <c r="IRF24" s="64"/>
      <c r="IRG24" s="64"/>
      <c r="IRH24" s="64"/>
      <c r="IRI24" s="64"/>
      <c r="IRJ24" s="64"/>
      <c r="IRK24" s="64"/>
      <c r="IRL24" s="64"/>
      <c r="IRM24" s="64"/>
      <c r="IRN24" s="64"/>
      <c r="IRO24" s="64"/>
      <c r="IRP24" s="64"/>
      <c r="IRQ24" s="64"/>
      <c r="IRR24" s="64"/>
      <c r="IRS24" s="64"/>
      <c r="IRT24" s="64"/>
      <c r="IRU24" s="64"/>
      <c r="IRV24" s="64"/>
      <c r="IRW24" s="64"/>
      <c r="IRX24" s="64"/>
      <c r="IRY24" s="64"/>
      <c r="IRZ24" s="64"/>
      <c r="ISA24" s="64"/>
      <c r="ISB24" s="64"/>
      <c r="ISC24" s="64"/>
      <c r="ISD24" s="64"/>
      <c r="ISE24" s="64"/>
      <c r="ISF24" s="64"/>
      <c r="ISG24" s="64"/>
      <c r="ISH24" s="64"/>
      <c r="ISI24" s="64"/>
      <c r="ISJ24" s="64"/>
      <c r="ISK24" s="64"/>
      <c r="ISL24" s="64"/>
      <c r="ISM24" s="64"/>
      <c r="ISN24" s="64"/>
      <c r="ISO24" s="64"/>
      <c r="ISP24" s="64"/>
      <c r="ISQ24" s="64"/>
      <c r="ISR24" s="64"/>
      <c r="ISS24" s="64"/>
      <c r="IST24" s="64"/>
      <c r="ISU24" s="64"/>
      <c r="ISV24" s="64"/>
      <c r="ISW24" s="64"/>
      <c r="ISX24" s="64"/>
      <c r="ISY24" s="64"/>
      <c r="ISZ24" s="64"/>
      <c r="ITA24" s="64"/>
      <c r="ITB24" s="64"/>
      <c r="ITC24" s="64"/>
      <c r="ITD24" s="64"/>
      <c r="ITE24" s="64"/>
      <c r="ITF24" s="64"/>
      <c r="ITG24" s="64"/>
      <c r="ITH24" s="64"/>
      <c r="ITI24" s="64"/>
      <c r="ITJ24" s="64"/>
      <c r="ITK24" s="64"/>
      <c r="ITL24" s="64"/>
      <c r="ITM24" s="64"/>
      <c r="ITN24" s="64"/>
      <c r="ITO24" s="64"/>
      <c r="ITP24" s="64"/>
      <c r="ITQ24" s="64"/>
      <c r="ITR24" s="64"/>
      <c r="ITS24" s="64"/>
      <c r="ITT24" s="64"/>
      <c r="ITU24" s="64"/>
      <c r="ITV24" s="64"/>
      <c r="ITW24" s="64"/>
      <c r="ITX24" s="64"/>
      <c r="ITY24" s="64"/>
      <c r="ITZ24" s="64"/>
      <c r="IUA24" s="64"/>
      <c r="IUB24" s="64"/>
      <c r="IUC24" s="64"/>
      <c r="IUD24" s="64"/>
      <c r="IUE24" s="64"/>
      <c r="IUF24" s="64"/>
      <c r="IUG24" s="64"/>
      <c r="IUH24" s="64"/>
      <c r="IUI24" s="64"/>
      <c r="IUJ24" s="64"/>
      <c r="IUK24" s="64"/>
      <c r="IUL24" s="64"/>
      <c r="IUM24" s="64"/>
      <c r="IUN24" s="64"/>
      <c r="IUO24" s="64"/>
      <c r="IUP24" s="64"/>
      <c r="IUQ24" s="64"/>
      <c r="IUR24" s="64"/>
      <c r="IUS24" s="64"/>
      <c r="IUT24" s="64"/>
      <c r="IUU24" s="64"/>
      <c r="IUV24" s="64"/>
      <c r="IUW24" s="64"/>
      <c r="IUX24" s="64"/>
      <c r="IUY24" s="64"/>
      <c r="IUZ24" s="64"/>
      <c r="IVA24" s="64"/>
      <c r="IVB24" s="64"/>
      <c r="IVC24" s="64"/>
      <c r="IVD24" s="64"/>
      <c r="IVE24" s="64"/>
      <c r="IVF24" s="64"/>
      <c r="IVG24" s="64"/>
      <c r="IVH24" s="64"/>
      <c r="IVI24" s="64"/>
      <c r="IVJ24" s="64"/>
      <c r="IVK24" s="64"/>
      <c r="IVL24" s="64"/>
      <c r="IVM24" s="64"/>
      <c r="IVN24" s="64"/>
      <c r="IVO24" s="64"/>
      <c r="IVP24" s="64"/>
      <c r="IVQ24" s="64"/>
      <c r="IVR24" s="64"/>
      <c r="IVS24" s="64"/>
      <c r="IVT24" s="64"/>
      <c r="IVU24" s="64"/>
      <c r="IVV24" s="64"/>
      <c r="IVW24" s="64"/>
      <c r="IVX24" s="64"/>
      <c r="IVY24" s="64"/>
      <c r="IVZ24" s="64"/>
      <c r="IWA24" s="64"/>
      <c r="IWB24" s="64"/>
      <c r="IWC24" s="64"/>
      <c r="IWD24" s="64"/>
      <c r="IWE24" s="64"/>
      <c r="IWF24" s="64"/>
      <c r="IWG24" s="64"/>
      <c r="IWH24" s="64"/>
      <c r="IWI24" s="64"/>
      <c r="IWJ24" s="64"/>
      <c r="IWK24" s="64"/>
      <c r="IWL24" s="64"/>
      <c r="IWM24" s="64"/>
      <c r="IWN24" s="64"/>
      <c r="IWO24" s="64"/>
      <c r="IWP24" s="64"/>
      <c r="IWQ24" s="64"/>
      <c r="IWR24" s="64"/>
      <c r="IWS24" s="64"/>
      <c r="IWT24" s="64"/>
      <c r="IWU24" s="64"/>
      <c r="IWV24" s="64"/>
      <c r="IWW24" s="64"/>
      <c r="IWX24" s="64"/>
      <c r="IWY24" s="64"/>
      <c r="IWZ24" s="64"/>
      <c r="IXA24" s="64"/>
      <c r="IXB24" s="64"/>
      <c r="IXC24" s="64"/>
      <c r="IXD24" s="64"/>
      <c r="IXE24" s="64"/>
      <c r="IXF24" s="64"/>
      <c r="IXG24" s="64"/>
      <c r="IXH24" s="64"/>
      <c r="IXI24" s="64"/>
      <c r="IXJ24" s="64"/>
      <c r="IXK24" s="64"/>
      <c r="IXL24" s="64"/>
      <c r="IXM24" s="64"/>
      <c r="IXN24" s="64"/>
      <c r="IXO24" s="64"/>
      <c r="IXP24" s="64"/>
      <c r="IXQ24" s="64"/>
      <c r="IXR24" s="64"/>
      <c r="IXS24" s="64"/>
      <c r="IXT24" s="64"/>
      <c r="IXU24" s="64"/>
      <c r="IXV24" s="64"/>
      <c r="IXW24" s="64"/>
      <c r="IXX24" s="64"/>
      <c r="IXY24" s="64"/>
      <c r="IXZ24" s="64"/>
      <c r="IYA24" s="64"/>
      <c r="IYB24" s="64"/>
      <c r="IYC24" s="64"/>
      <c r="IYD24" s="64"/>
      <c r="IYE24" s="64"/>
      <c r="IYF24" s="64"/>
      <c r="IYG24" s="64"/>
      <c r="IYH24" s="64"/>
      <c r="IYI24" s="64"/>
      <c r="IYJ24" s="64"/>
      <c r="IYK24" s="64"/>
      <c r="IYL24" s="64"/>
      <c r="IYM24" s="64"/>
      <c r="IYN24" s="64"/>
      <c r="IYO24" s="64"/>
      <c r="IYP24" s="64"/>
      <c r="IYQ24" s="64"/>
      <c r="IYR24" s="64"/>
      <c r="IYS24" s="64"/>
      <c r="IYT24" s="64"/>
      <c r="IYU24" s="64"/>
      <c r="IYV24" s="64"/>
      <c r="IYW24" s="64"/>
      <c r="IYX24" s="64"/>
      <c r="IYY24" s="64"/>
      <c r="IYZ24" s="64"/>
      <c r="IZA24" s="64"/>
      <c r="IZB24" s="64"/>
      <c r="IZC24" s="64"/>
      <c r="IZD24" s="64"/>
      <c r="IZE24" s="64"/>
      <c r="IZF24" s="64"/>
      <c r="IZG24" s="64"/>
      <c r="IZH24" s="64"/>
      <c r="IZI24" s="64"/>
      <c r="IZJ24" s="64"/>
      <c r="IZK24" s="64"/>
      <c r="IZL24" s="64"/>
      <c r="IZM24" s="64"/>
      <c r="IZN24" s="64"/>
      <c r="IZO24" s="64"/>
      <c r="IZP24" s="64"/>
      <c r="IZQ24" s="64"/>
      <c r="IZR24" s="64"/>
      <c r="IZS24" s="64"/>
      <c r="IZT24" s="64"/>
      <c r="IZU24" s="64"/>
      <c r="IZV24" s="64"/>
      <c r="IZW24" s="64"/>
      <c r="IZX24" s="64"/>
      <c r="IZY24" s="64"/>
      <c r="IZZ24" s="64"/>
      <c r="JAA24" s="64"/>
      <c r="JAB24" s="64"/>
      <c r="JAC24" s="64"/>
      <c r="JAD24" s="64"/>
      <c r="JAE24" s="64"/>
      <c r="JAF24" s="64"/>
      <c r="JAG24" s="64"/>
      <c r="JAH24" s="64"/>
      <c r="JAI24" s="64"/>
      <c r="JAJ24" s="64"/>
      <c r="JAK24" s="64"/>
      <c r="JAL24" s="64"/>
      <c r="JAM24" s="64"/>
      <c r="JAN24" s="64"/>
      <c r="JAO24" s="64"/>
      <c r="JAP24" s="64"/>
      <c r="JAQ24" s="64"/>
      <c r="JAR24" s="64"/>
      <c r="JAS24" s="64"/>
      <c r="JAT24" s="64"/>
      <c r="JAU24" s="64"/>
      <c r="JAV24" s="64"/>
      <c r="JAW24" s="64"/>
      <c r="JAX24" s="64"/>
      <c r="JAY24" s="64"/>
      <c r="JAZ24" s="64"/>
      <c r="JBA24" s="64"/>
      <c r="JBB24" s="64"/>
      <c r="JBC24" s="64"/>
      <c r="JBD24" s="64"/>
      <c r="JBE24" s="64"/>
      <c r="JBF24" s="64"/>
      <c r="JBG24" s="64"/>
      <c r="JBH24" s="64"/>
      <c r="JBI24" s="64"/>
      <c r="JBJ24" s="64"/>
      <c r="JBK24" s="64"/>
      <c r="JBL24" s="64"/>
      <c r="JBM24" s="64"/>
      <c r="JBN24" s="64"/>
      <c r="JBO24" s="64"/>
      <c r="JBP24" s="64"/>
      <c r="JBQ24" s="64"/>
      <c r="JBR24" s="64"/>
      <c r="JBS24" s="64"/>
      <c r="JBT24" s="64"/>
      <c r="JBU24" s="64"/>
      <c r="JBV24" s="64"/>
      <c r="JBW24" s="64"/>
      <c r="JBX24" s="64"/>
      <c r="JBY24" s="64"/>
      <c r="JBZ24" s="64"/>
      <c r="JCA24" s="64"/>
      <c r="JCB24" s="64"/>
      <c r="JCC24" s="64"/>
      <c r="JCD24" s="64"/>
      <c r="JCE24" s="64"/>
      <c r="JCF24" s="64"/>
      <c r="JCG24" s="64"/>
      <c r="JCH24" s="64"/>
      <c r="JCI24" s="64"/>
      <c r="JCJ24" s="64"/>
      <c r="JCK24" s="64"/>
      <c r="JCL24" s="64"/>
      <c r="JCM24" s="64"/>
      <c r="JCN24" s="64"/>
      <c r="JCO24" s="64"/>
      <c r="JCP24" s="64"/>
      <c r="JCQ24" s="64"/>
      <c r="JCR24" s="64"/>
      <c r="JCS24" s="64"/>
      <c r="JCT24" s="64"/>
      <c r="JCU24" s="64"/>
      <c r="JCV24" s="64"/>
      <c r="JCW24" s="64"/>
      <c r="JCX24" s="64"/>
      <c r="JCY24" s="64"/>
      <c r="JCZ24" s="64"/>
      <c r="JDA24" s="64"/>
      <c r="JDB24" s="64"/>
      <c r="JDC24" s="64"/>
      <c r="JDD24" s="64"/>
      <c r="JDE24" s="64"/>
      <c r="JDF24" s="64"/>
      <c r="JDG24" s="64"/>
      <c r="JDH24" s="64"/>
      <c r="JDI24" s="64"/>
      <c r="JDJ24" s="64"/>
      <c r="JDK24" s="64"/>
      <c r="JDL24" s="64"/>
      <c r="JDM24" s="64"/>
      <c r="JDN24" s="64"/>
      <c r="JDO24" s="64"/>
      <c r="JDP24" s="64"/>
      <c r="JDQ24" s="64"/>
      <c r="JDR24" s="64"/>
      <c r="JDS24" s="64"/>
      <c r="JDT24" s="64"/>
      <c r="JDU24" s="64"/>
      <c r="JDV24" s="64"/>
      <c r="JDW24" s="64"/>
      <c r="JDX24" s="64"/>
      <c r="JDY24" s="64"/>
      <c r="JDZ24" s="64"/>
      <c r="JEA24" s="64"/>
      <c r="JEB24" s="64"/>
      <c r="JEC24" s="64"/>
      <c r="JED24" s="64"/>
      <c r="JEE24" s="64"/>
      <c r="JEF24" s="64"/>
      <c r="JEG24" s="64"/>
      <c r="JEH24" s="64"/>
      <c r="JEI24" s="64"/>
      <c r="JEJ24" s="64"/>
      <c r="JEK24" s="64"/>
      <c r="JEL24" s="64"/>
      <c r="JEM24" s="64"/>
      <c r="JEN24" s="64"/>
      <c r="JEO24" s="64"/>
      <c r="JEP24" s="64"/>
      <c r="JEQ24" s="64"/>
      <c r="JER24" s="64"/>
      <c r="JES24" s="64"/>
      <c r="JET24" s="64"/>
      <c r="JEU24" s="64"/>
      <c r="JEV24" s="64"/>
      <c r="JEW24" s="64"/>
      <c r="JEX24" s="64"/>
      <c r="JEY24" s="64"/>
      <c r="JEZ24" s="64"/>
      <c r="JFA24" s="64"/>
      <c r="JFB24" s="64"/>
      <c r="JFC24" s="64"/>
      <c r="JFD24" s="64"/>
      <c r="JFE24" s="64"/>
      <c r="JFF24" s="64"/>
      <c r="JFG24" s="64"/>
      <c r="JFH24" s="64"/>
      <c r="JFI24" s="64"/>
      <c r="JFJ24" s="64"/>
      <c r="JFK24" s="64"/>
      <c r="JFL24" s="64"/>
      <c r="JFM24" s="64"/>
      <c r="JFN24" s="64"/>
      <c r="JFO24" s="64"/>
      <c r="JFP24" s="64"/>
      <c r="JFQ24" s="64"/>
      <c r="JFR24" s="64"/>
      <c r="JFS24" s="64"/>
      <c r="JFT24" s="64"/>
      <c r="JFU24" s="64"/>
      <c r="JFV24" s="64"/>
      <c r="JFW24" s="64"/>
      <c r="JFX24" s="64"/>
      <c r="JFY24" s="64"/>
      <c r="JFZ24" s="64"/>
      <c r="JGA24" s="64"/>
      <c r="JGB24" s="64"/>
      <c r="JGC24" s="64"/>
      <c r="JGD24" s="64"/>
      <c r="JGE24" s="64"/>
      <c r="JGF24" s="64"/>
      <c r="JGG24" s="64"/>
      <c r="JGH24" s="64"/>
      <c r="JGI24" s="64"/>
      <c r="JGJ24" s="64"/>
      <c r="JGK24" s="64"/>
      <c r="JGL24" s="64"/>
      <c r="JGM24" s="64"/>
      <c r="JGN24" s="64"/>
      <c r="JGO24" s="64"/>
      <c r="JGP24" s="64"/>
      <c r="JGQ24" s="64"/>
      <c r="JGR24" s="64"/>
      <c r="JGS24" s="64"/>
      <c r="JGT24" s="64"/>
      <c r="JGU24" s="64"/>
      <c r="JGV24" s="64"/>
      <c r="JGW24" s="64"/>
      <c r="JGX24" s="64"/>
      <c r="JGY24" s="64"/>
      <c r="JGZ24" s="64"/>
      <c r="JHA24" s="64"/>
      <c r="JHB24" s="64"/>
      <c r="JHC24" s="64"/>
      <c r="JHD24" s="64"/>
      <c r="JHE24" s="64"/>
      <c r="JHF24" s="64"/>
      <c r="JHG24" s="64"/>
      <c r="JHH24" s="64"/>
      <c r="JHI24" s="64"/>
      <c r="JHJ24" s="64"/>
      <c r="JHK24" s="64"/>
      <c r="JHL24" s="64"/>
      <c r="JHM24" s="64"/>
      <c r="JHN24" s="64"/>
      <c r="JHO24" s="64"/>
      <c r="JHP24" s="64"/>
      <c r="JHQ24" s="64"/>
      <c r="JHR24" s="64"/>
      <c r="JHS24" s="64"/>
      <c r="JHT24" s="64"/>
      <c r="JHU24" s="64"/>
      <c r="JHV24" s="64"/>
      <c r="JHW24" s="64"/>
      <c r="JHX24" s="64"/>
      <c r="JHY24" s="64"/>
      <c r="JHZ24" s="64"/>
      <c r="JIA24" s="64"/>
      <c r="JIB24" s="64"/>
      <c r="JIC24" s="64"/>
      <c r="JID24" s="64"/>
      <c r="JIE24" s="64"/>
      <c r="JIF24" s="64"/>
      <c r="JIG24" s="64"/>
      <c r="JIH24" s="64"/>
      <c r="JII24" s="64"/>
      <c r="JIJ24" s="64"/>
      <c r="JIK24" s="64"/>
      <c r="JIL24" s="64"/>
      <c r="JIM24" s="64"/>
      <c r="JIN24" s="64"/>
      <c r="JIO24" s="64"/>
      <c r="JIP24" s="64"/>
      <c r="JIQ24" s="64"/>
      <c r="JIR24" s="64"/>
      <c r="JIS24" s="64"/>
      <c r="JIT24" s="64"/>
      <c r="JIU24" s="64"/>
      <c r="JIV24" s="64"/>
      <c r="JIW24" s="64"/>
      <c r="JIX24" s="64"/>
      <c r="JIY24" s="64"/>
      <c r="JIZ24" s="64"/>
      <c r="JJA24" s="64"/>
      <c r="JJB24" s="64"/>
      <c r="JJC24" s="64"/>
      <c r="JJD24" s="64"/>
      <c r="JJE24" s="64"/>
      <c r="JJF24" s="64"/>
      <c r="JJG24" s="64"/>
      <c r="JJH24" s="64"/>
      <c r="JJI24" s="64"/>
      <c r="JJJ24" s="64"/>
      <c r="JJK24" s="64"/>
      <c r="JJL24" s="64"/>
      <c r="JJM24" s="64"/>
      <c r="JJN24" s="64"/>
      <c r="JJO24" s="64"/>
      <c r="JJP24" s="64"/>
      <c r="JJQ24" s="64"/>
      <c r="JJR24" s="64"/>
      <c r="JJS24" s="64"/>
      <c r="JJT24" s="64"/>
      <c r="JJU24" s="64"/>
      <c r="JJV24" s="64"/>
      <c r="JJW24" s="64"/>
      <c r="JJX24" s="64"/>
      <c r="JJY24" s="64"/>
      <c r="JJZ24" s="64"/>
      <c r="JKA24" s="64"/>
      <c r="JKB24" s="64"/>
      <c r="JKC24" s="64"/>
      <c r="JKD24" s="64"/>
      <c r="JKE24" s="64"/>
      <c r="JKF24" s="64"/>
      <c r="JKG24" s="64"/>
      <c r="JKH24" s="64"/>
      <c r="JKI24" s="64"/>
      <c r="JKJ24" s="64"/>
      <c r="JKK24" s="64"/>
      <c r="JKL24" s="64"/>
      <c r="JKM24" s="64"/>
      <c r="JKN24" s="64"/>
      <c r="JKO24" s="64"/>
      <c r="JKP24" s="64"/>
      <c r="JKQ24" s="64"/>
      <c r="JKR24" s="64"/>
      <c r="JKS24" s="64"/>
      <c r="JKT24" s="64"/>
      <c r="JKU24" s="64"/>
      <c r="JKV24" s="64"/>
      <c r="JKW24" s="64"/>
      <c r="JKX24" s="64"/>
      <c r="JKY24" s="64"/>
      <c r="JKZ24" s="64"/>
      <c r="JLA24" s="64"/>
      <c r="JLB24" s="64"/>
      <c r="JLC24" s="64"/>
      <c r="JLD24" s="64"/>
      <c r="JLE24" s="64"/>
      <c r="JLF24" s="64"/>
      <c r="JLG24" s="64"/>
      <c r="JLH24" s="64"/>
      <c r="JLI24" s="64"/>
      <c r="JLJ24" s="64"/>
      <c r="JLK24" s="64"/>
      <c r="JLL24" s="64"/>
      <c r="JLM24" s="64"/>
      <c r="JLN24" s="64"/>
      <c r="JLO24" s="64"/>
      <c r="JLP24" s="64"/>
      <c r="JLQ24" s="64"/>
      <c r="JLR24" s="64"/>
      <c r="JLS24" s="64"/>
      <c r="JLT24" s="64"/>
      <c r="JLU24" s="64"/>
      <c r="JLV24" s="64"/>
      <c r="JLW24" s="64"/>
      <c r="JLX24" s="64"/>
      <c r="JLY24" s="64"/>
      <c r="JLZ24" s="64"/>
      <c r="JMA24" s="64"/>
      <c r="JMB24" s="64"/>
      <c r="JMC24" s="64"/>
      <c r="JMD24" s="64"/>
      <c r="JME24" s="64"/>
      <c r="JMF24" s="64"/>
      <c r="JMG24" s="64"/>
      <c r="JMH24" s="64"/>
      <c r="JMI24" s="64"/>
      <c r="JMJ24" s="64"/>
      <c r="JMK24" s="64"/>
      <c r="JML24" s="64"/>
      <c r="JMM24" s="64"/>
      <c r="JMN24" s="64"/>
      <c r="JMO24" s="64"/>
      <c r="JMP24" s="64"/>
      <c r="JMQ24" s="64"/>
      <c r="JMR24" s="64"/>
      <c r="JMS24" s="64"/>
      <c r="JMT24" s="64"/>
      <c r="JMU24" s="64"/>
      <c r="JMV24" s="64"/>
      <c r="JMW24" s="64"/>
      <c r="JMX24" s="64"/>
      <c r="JMY24" s="64"/>
      <c r="JMZ24" s="64"/>
      <c r="JNA24" s="64"/>
      <c r="JNB24" s="64"/>
      <c r="JNC24" s="64"/>
      <c r="JND24" s="64"/>
      <c r="JNE24" s="64"/>
      <c r="JNF24" s="64"/>
      <c r="JNG24" s="64"/>
      <c r="JNH24" s="64"/>
      <c r="JNI24" s="64"/>
      <c r="JNJ24" s="64"/>
      <c r="JNK24" s="64"/>
      <c r="JNL24" s="64"/>
      <c r="JNM24" s="64"/>
      <c r="JNN24" s="64"/>
      <c r="JNO24" s="64"/>
      <c r="JNP24" s="64"/>
      <c r="JNQ24" s="64"/>
      <c r="JNR24" s="64"/>
      <c r="JNS24" s="64"/>
      <c r="JNT24" s="64"/>
      <c r="JNU24" s="64"/>
      <c r="JNV24" s="64"/>
      <c r="JNW24" s="64"/>
      <c r="JNX24" s="64"/>
      <c r="JNY24" s="64"/>
      <c r="JNZ24" s="64"/>
      <c r="JOA24" s="64"/>
      <c r="JOB24" s="64"/>
      <c r="JOC24" s="64"/>
      <c r="JOD24" s="64"/>
      <c r="JOE24" s="64"/>
      <c r="JOF24" s="64"/>
      <c r="JOG24" s="64"/>
      <c r="JOH24" s="64"/>
      <c r="JOI24" s="64"/>
      <c r="JOJ24" s="64"/>
      <c r="JOK24" s="64"/>
      <c r="JOL24" s="64"/>
      <c r="JOM24" s="64"/>
      <c r="JON24" s="64"/>
      <c r="JOO24" s="64"/>
      <c r="JOP24" s="64"/>
      <c r="JOQ24" s="64"/>
      <c r="JOR24" s="64"/>
      <c r="JOS24" s="64"/>
      <c r="JOT24" s="64"/>
      <c r="JOU24" s="64"/>
      <c r="JOV24" s="64"/>
      <c r="JOW24" s="64"/>
      <c r="JOX24" s="64"/>
      <c r="JOY24" s="64"/>
      <c r="JOZ24" s="64"/>
      <c r="JPA24" s="64"/>
      <c r="JPB24" s="64"/>
      <c r="JPC24" s="64"/>
      <c r="JPD24" s="64"/>
      <c r="JPE24" s="64"/>
      <c r="JPF24" s="64"/>
      <c r="JPG24" s="64"/>
      <c r="JPH24" s="64"/>
      <c r="JPI24" s="64"/>
      <c r="JPJ24" s="64"/>
      <c r="JPK24" s="64"/>
      <c r="JPL24" s="64"/>
      <c r="JPM24" s="64"/>
      <c r="JPN24" s="64"/>
      <c r="JPO24" s="64"/>
      <c r="JPP24" s="64"/>
      <c r="JPQ24" s="64"/>
      <c r="JPR24" s="64"/>
      <c r="JPS24" s="64"/>
      <c r="JPT24" s="64"/>
      <c r="JPU24" s="64"/>
      <c r="JPV24" s="64"/>
      <c r="JPW24" s="64"/>
      <c r="JPX24" s="64"/>
      <c r="JPY24" s="64"/>
      <c r="JPZ24" s="64"/>
      <c r="JQA24" s="64"/>
      <c r="JQB24" s="64"/>
      <c r="JQC24" s="64"/>
      <c r="JQD24" s="64"/>
      <c r="JQE24" s="64"/>
      <c r="JQF24" s="64"/>
      <c r="JQG24" s="64"/>
      <c r="JQH24" s="64"/>
      <c r="JQI24" s="64"/>
      <c r="JQJ24" s="64"/>
      <c r="JQK24" s="64"/>
      <c r="JQL24" s="64"/>
      <c r="JQM24" s="64"/>
      <c r="JQN24" s="64"/>
      <c r="JQO24" s="64"/>
      <c r="JQP24" s="64"/>
      <c r="JQQ24" s="64"/>
      <c r="JQR24" s="64"/>
      <c r="JQS24" s="64"/>
      <c r="JQT24" s="64"/>
      <c r="JQU24" s="64"/>
      <c r="JQV24" s="64"/>
      <c r="JQW24" s="64"/>
      <c r="JQX24" s="64"/>
      <c r="JQY24" s="64"/>
      <c r="JQZ24" s="64"/>
      <c r="JRA24" s="64"/>
      <c r="JRB24" s="64"/>
      <c r="JRC24" s="64"/>
      <c r="JRD24" s="64"/>
      <c r="JRE24" s="64"/>
      <c r="JRF24" s="64"/>
      <c r="JRG24" s="64"/>
      <c r="JRH24" s="64"/>
      <c r="JRI24" s="64"/>
      <c r="JRJ24" s="64"/>
      <c r="JRK24" s="64"/>
      <c r="JRL24" s="64"/>
      <c r="JRM24" s="64"/>
      <c r="JRN24" s="64"/>
      <c r="JRO24" s="64"/>
      <c r="JRP24" s="64"/>
      <c r="JRQ24" s="64"/>
      <c r="JRR24" s="64"/>
      <c r="JRS24" s="64"/>
      <c r="JRT24" s="64"/>
      <c r="JRU24" s="64"/>
      <c r="JRV24" s="64"/>
      <c r="JRW24" s="64"/>
      <c r="JRX24" s="64"/>
      <c r="JRY24" s="64"/>
      <c r="JRZ24" s="64"/>
      <c r="JSA24" s="64"/>
      <c r="JSB24" s="64"/>
      <c r="JSC24" s="64"/>
      <c r="JSD24" s="64"/>
      <c r="JSE24" s="64"/>
      <c r="JSF24" s="64"/>
      <c r="JSG24" s="64"/>
      <c r="JSH24" s="64"/>
      <c r="JSI24" s="64"/>
      <c r="JSJ24" s="64"/>
      <c r="JSK24" s="64"/>
      <c r="JSL24" s="64"/>
      <c r="JSM24" s="64"/>
      <c r="JSN24" s="64"/>
      <c r="JSO24" s="64"/>
      <c r="JSP24" s="64"/>
      <c r="JSQ24" s="64"/>
      <c r="JSR24" s="64"/>
      <c r="JSS24" s="64"/>
      <c r="JST24" s="64"/>
      <c r="JSU24" s="64"/>
      <c r="JSV24" s="64"/>
      <c r="JSW24" s="64"/>
      <c r="JSX24" s="64"/>
      <c r="JSY24" s="64"/>
      <c r="JSZ24" s="64"/>
      <c r="JTA24" s="64"/>
      <c r="JTB24" s="64"/>
      <c r="JTC24" s="64"/>
      <c r="JTD24" s="64"/>
      <c r="JTE24" s="64"/>
      <c r="JTF24" s="64"/>
      <c r="JTG24" s="64"/>
      <c r="JTH24" s="64"/>
      <c r="JTI24" s="64"/>
      <c r="JTJ24" s="64"/>
      <c r="JTK24" s="64"/>
      <c r="JTL24" s="64"/>
      <c r="JTM24" s="64"/>
      <c r="JTN24" s="64"/>
      <c r="JTO24" s="64"/>
      <c r="JTP24" s="64"/>
      <c r="JTQ24" s="64"/>
      <c r="JTR24" s="64"/>
      <c r="JTS24" s="64"/>
      <c r="JTT24" s="64"/>
      <c r="JTU24" s="64"/>
      <c r="JTV24" s="64"/>
      <c r="JTW24" s="64"/>
      <c r="JTX24" s="64"/>
      <c r="JTY24" s="64"/>
      <c r="JTZ24" s="64"/>
      <c r="JUA24" s="64"/>
      <c r="JUB24" s="64"/>
      <c r="JUC24" s="64"/>
      <c r="JUD24" s="64"/>
      <c r="JUE24" s="64"/>
      <c r="JUF24" s="64"/>
      <c r="JUG24" s="64"/>
      <c r="JUH24" s="64"/>
      <c r="JUI24" s="64"/>
      <c r="JUJ24" s="64"/>
      <c r="JUK24" s="64"/>
      <c r="JUL24" s="64"/>
      <c r="JUM24" s="64"/>
      <c r="JUN24" s="64"/>
      <c r="JUO24" s="64"/>
      <c r="JUP24" s="64"/>
      <c r="JUQ24" s="64"/>
      <c r="JUR24" s="64"/>
      <c r="JUS24" s="64"/>
      <c r="JUT24" s="64"/>
      <c r="JUU24" s="64"/>
      <c r="JUV24" s="64"/>
      <c r="JUW24" s="64"/>
      <c r="JUX24" s="64"/>
      <c r="JUY24" s="64"/>
      <c r="JUZ24" s="64"/>
      <c r="JVA24" s="64"/>
      <c r="JVB24" s="64"/>
      <c r="JVC24" s="64"/>
      <c r="JVD24" s="64"/>
      <c r="JVE24" s="64"/>
      <c r="JVF24" s="64"/>
      <c r="JVG24" s="64"/>
      <c r="JVH24" s="64"/>
      <c r="JVI24" s="64"/>
      <c r="JVJ24" s="64"/>
      <c r="JVK24" s="64"/>
      <c r="JVL24" s="64"/>
      <c r="JVM24" s="64"/>
      <c r="JVN24" s="64"/>
      <c r="JVO24" s="64"/>
      <c r="JVP24" s="64"/>
      <c r="JVQ24" s="64"/>
      <c r="JVR24" s="64"/>
      <c r="JVS24" s="64"/>
      <c r="JVT24" s="64"/>
      <c r="JVU24" s="64"/>
      <c r="JVV24" s="64"/>
      <c r="JVW24" s="64"/>
      <c r="JVX24" s="64"/>
      <c r="JVY24" s="64"/>
      <c r="JVZ24" s="64"/>
      <c r="JWA24" s="64"/>
      <c r="JWB24" s="64"/>
      <c r="JWC24" s="64"/>
      <c r="JWD24" s="64"/>
      <c r="JWE24" s="64"/>
      <c r="JWF24" s="64"/>
      <c r="JWG24" s="64"/>
      <c r="JWH24" s="64"/>
      <c r="JWI24" s="64"/>
      <c r="JWJ24" s="64"/>
      <c r="JWK24" s="64"/>
      <c r="JWL24" s="64"/>
      <c r="JWM24" s="64"/>
      <c r="JWN24" s="64"/>
      <c r="JWO24" s="64"/>
      <c r="JWP24" s="64"/>
      <c r="JWQ24" s="64"/>
      <c r="JWR24" s="64"/>
      <c r="JWS24" s="64"/>
      <c r="JWT24" s="64"/>
      <c r="JWU24" s="64"/>
      <c r="JWV24" s="64"/>
      <c r="JWW24" s="64"/>
      <c r="JWX24" s="64"/>
      <c r="JWY24" s="64"/>
      <c r="JWZ24" s="64"/>
      <c r="JXA24" s="64"/>
      <c r="JXB24" s="64"/>
      <c r="JXC24" s="64"/>
      <c r="JXD24" s="64"/>
      <c r="JXE24" s="64"/>
      <c r="JXF24" s="64"/>
      <c r="JXG24" s="64"/>
      <c r="JXH24" s="64"/>
      <c r="JXI24" s="64"/>
      <c r="JXJ24" s="64"/>
      <c r="JXK24" s="64"/>
      <c r="JXL24" s="64"/>
      <c r="JXM24" s="64"/>
      <c r="JXN24" s="64"/>
      <c r="JXO24" s="64"/>
      <c r="JXP24" s="64"/>
      <c r="JXQ24" s="64"/>
      <c r="JXR24" s="64"/>
      <c r="JXS24" s="64"/>
      <c r="JXT24" s="64"/>
      <c r="JXU24" s="64"/>
      <c r="JXV24" s="64"/>
      <c r="JXW24" s="64"/>
      <c r="JXX24" s="64"/>
      <c r="JXY24" s="64"/>
      <c r="JXZ24" s="64"/>
      <c r="JYA24" s="64"/>
      <c r="JYB24" s="64"/>
      <c r="JYC24" s="64"/>
      <c r="JYD24" s="64"/>
      <c r="JYE24" s="64"/>
      <c r="JYF24" s="64"/>
      <c r="JYG24" s="64"/>
      <c r="JYH24" s="64"/>
      <c r="JYI24" s="64"/>
      <c r="JYJ24" s="64"/>
      <c r="JYK24" s="64"/>
      <c r="JYL24" s="64"/>
      <c r="JYM24" s="64"/>
      <c r="JYN24" s="64"/>
      <c r="JYO24" s="64"/>
      <c r="JYP24" s="64"/>
      <c r="JYQ24" s="64"/>
      <c r="JYR24" s="64"/>
      <c r="JYS24" s="64"/>
      <c r="JYT24" s="64"/>
      <c r="JYU24" s="64"/>
      <c r="JYV24" s="64"/>
      <c r="JYW24" s="64"/>
      <c r="JYX24" s="64"/>
      <c r="JYY24" s="64"/>
      <c r="JYZ24" s="64"/>
      <c r="JZA24" s="64"/>
      <c r="JZB24" s="64"/>
      <c r="JZC24" s="64"/>
      <c r="JZD24" s="64"/>
      <c r="JZE24" s="64"/>
      <c r="JZF24" s="64"/>
      <c r="JZG24" s="64"/>
      <c r="JZH24" s="64"/>
      <c r="JZI24" s="64"/>
      <c r="JZJ24" s="64"/>
      <c r="JZK24" s="64"/>
      <c r="JZL24" s="64"/>
      <c r="JZM24" s="64"/>
      <c r="JZN24" s="64"/>
      <c r="JZO24" s="64"/>
      <c r="JZP24" s="64"/>
      <c r="JZQ24" s="64"/>
      <c r="JZR24" s="64"/>
      <c r="JZS24" s="64"/>
      <c r="JZT24" s="64"/>
      <c r="JZU24" s="64"/>
      <c r="JZV24" s="64"/>
      <c r="JZW24" s="64"/>
      <c r="JZX24" s="64"/>
      <c r="JZY24" s="64"/>
      <c r="JZZ24" s="64"/>
      <c r="KAA24" s="64"/>
      <c r="KAB24" s="64"/>
      <c r="KAC24" s="64"/>
      <c r="KAD24" s="64"/>
      <c r="KAE24" s="64"/>
      <c r="KAF24" s="64"/>
      <c r="KAG24" s="64"/>
      <c r="KAH24" s="64"/>
      <c r="KAI24" s="64"/>
      <c r="KAJ24" s="64"/>
      <c r="KAK24" s="64"/>
      <c r="KAL24" s="64"/>
      <c r="KAM24" s="64"/>
      <c r="KAN24" s="64"/>
      <c r="KAO24" s="64"/>
      <c r="KAP24" s="64"/>
      <c r="KAQ24" s="64"/>
      <c r="KAR24" s="64"/>
      <c r="KAS24" s="64"/>
      <c r="KAT24" s="64"/>
      <c r="KAU24" s="64"/>
      <c r="KAV24" s="64"/>
      <c r="KAW24" s="64"/>
      <c r="KAX24" s="64"/>
      <c r="KAY24" s="64"/>
      <c r="KAZ24" s="64"/>
      <c r="KBA24" s="64"/>
      <c r="KBB24" s="64"/>
      <c r="KBC24" s="64"/>
      <c r="KBD24" s="64"/>
      <c r="KBE24" s="64"/>
      <c r="KBF24" s="64"/>
      <c r="KBG24" s="64"/>
      <c r="KBH24" s="64"/>
      <c r="KBI24" s="64"/>
      <c r="KBJ24" s="64"/>
      <c r="KBK24" s="64"/>
      <c r="KBL24" s="64"/>
      <c r="KBM24" s="64"/>
      <c r="KBN24" s="64"/>
      <c r="KBO24" s="64"/>
      <c r="KBP24" s="64"/>
      <c r="KBQ24" s="64"/>
      <c r="KBR24" s="64"/>
      <c r="KBS24" s="64"/>
      <c r="KBT24" s="64"/>
      <c r="KBU24" s="64"/>
      <c r="KBV24" s="64"/>
      <c r="KBW24" s="64"/>
      <c r="KBX24" s="64"/>
      <c r="KBY24" s="64"/>
      <c r="KBZ24" s="64"/>
      <c r="KCA24" s="64"/>
      <c r="KCB24" s="64"/>
      <c r="KCC24" s="64"/>
      <c r="KCD24" s="64"/>
      <c r="KCE24" s="64"/>
      <c r="KCF24" s="64"/>
      <c r="KCG24" s="64"/>
      <c r="KCH24" s="64"/>
      <c r="KCI24" s="64"/>
      <c r="KCJ24" s="64"/>
      <c r="KCK24" s="64"/>
      <c r="KCL24" s="64"/>
      <c r="KCM24" s="64"/>
      <c r="KCN24" s="64"/>
      <c r="KCO24" s="64"/>
      <c r="KCP24" s="64"/>
      <c r="KCQ24" s="64"/>
      <c r="KCR24" s="64"/>
      <c r="KCS24" s="64"/>
      <c r="KCT24" s="64"/>
      <c r="KCU24" s="64"/>
      <c r="KCV24" s="64"/>
      <c r="KCW24" s="64"/>
      <c r="KCX24" s="64"/>
      <c r="KCY24" s="64"/>
      <c r="KCZ24" s="64"/>
      <c r="KDA24" s="64"/>
      <c r="KDB24" s="64"/>
      <c r="KDC24" s="64"/>
      <c r="KDD24" s="64"/>
      <c r="KDE24" s="64"/>
      <c r="KDF24" s="64"/>
      <c r="KDG24" s="64"/>
      <c r="KDH24" s="64"/>
      <c r="KDI24" s="64"/>
      <c r="KDJ24" s="64"/>
      <c r="KDK24" s="64"/>
      <c r="KDL24" s="64"/>
      <c r="KDM24" s="64"/>
      <c r="KDN24" s="64"/>
      <c r="KDO24" s="64"/>
      <c r="KDP24" s="64"/>
      <c r="KDQ24" s="64"/>
      <c r="KDR24" s="64"/>
      <c r="KDS24" s="64"/>
      <c r="KDT24" s="64"/>
      <c r="KDU24" s="64"/>
      <c r="KDV24" s="64"/>
      <c r="KDW24" s="64"/>
      <c r="KDX24" s="64"/>
      <c r="KDY24" s="64"/>
      <c r="KDZ24" s="64"/>
      <c r="KEA24" s="64"/>
      <c r="KEB24" s="64"/>
      <c r="KEC24" s="64"/>
      <c r="KED24" s="64"/>
      <c r="KEE24" s="64"/>
      <c r="KEF24" s="64"/>
      <c r="KEG24" s="64"/>
      <c r="KEH24" s="64"/>
      <c r="KEI24" s="64"/>
      <c r="KEJ24" s="64"/>
      <c r="KEK24" s="64"/>
      <c r="KEL24" s="64"/>
      <c r="KEM24" s="64"/>
      <c r="KEN24" s="64"/>
      <c r="KEO24" s="64"/>
      <c r="KEP24" s="64"/>
      <c r="KEQ24" s="64"/>
      <c r="KER24" s="64"/>
      <c r="KES24" s="64"/>
      <c r="KET24" s="64"/>
      <c r="KEU24" s="64"/>
      <c r="KEV24" s="64"/>
      <c r="KEW24" s="64"/>
      <c r="KEX24" s="64"/>
      <c r="KEY24" s="64"/>
      <c r="KEZ24" s="64"/>
      <c r="KFA24" s="64"/>
      <c r="KFB24" s="64"/>
      <c r="KFC24" s="64"/>
      <c r="KFD24" s="64"/>
      <c r="KFE24" s="64"/>
      <c r="KFF24" s="64"/>
      <c r="KFG24" s="64"/>
      <c r="KFH24" s="64"/>
      <c r="KFI24" s="64"/>
      <c r="KFJ24" s="64"/>
      <c r="KFK24" s="64"/>
      <c r="KFL24" s="64"/>
      <c r="KFM24" s="64"/>
      <c r="KFN24" s="64"/>
      <c r="KFO24" s="64"/>
      <c r="KFP24" s="64"/>
      <c r="KFQ24" s="64"/>
      <c r="KFR24" s="64"/>
      <c r="KFS24" s="64"/>
      <c r="KFT24" s="64"/>
      <c r="KFU24" s="64"/>
      <c r="KFV24" s="64"/>
      <c r="KFW24" s="64"/>
      <c r="KFX24" s="64"/>
      <c r="KFY24" s="64"/>
      <c r="KFZ24" s="64"/>
      <c r="KGA24" s="64"/>
      <c r="KGB24" s="64"/>
      <c r="KGC24" s="64"/>
      <c r="KGD24" s="64"/>
      <c r="KGE24" s="64"/>
      <c r="KGF24" s="64"/>
      <c r="KGG24" s="64"/>
      <c r="KGH24" s="64"/>
      <c r="KGI24" s="64"/>
      <c r="KGJ24" s="64"/>
      <c r="KGK24" s="64"/>
      <c r="KGL24" s="64"/>
      <c r="KGM24" s="64"/>
      <c r="KGN24" s="64"/>
      <c r="KGO24" s="64"/>
      <c r="KGP24" s="64"/>
      <c r="KGQ24" s="64"/>
      <c r="KGR24" s="64"/>
      <c r="KGS24" s="64"/>
      <c r="KGT24" s="64"/>
      <c r="KGU24" s="64"/>
      <c r="KGV24" s="64"/>
      <c r="KGW24" s="64"/>
      <c r="KGX24" s="64"/>
      <c r="KGY24" s="64"/>
      <c r="KGZ24" s="64"/>
      <c r="KHA24" s="64"/>
      <c r="KHB24" s="64"/>
      <c r="KHC24" s="64"/>
      <c r="KHD24" s="64"/>
      <c r="KHE24" s="64"/>
      <c r="KHF24" s="64"/>
      <c r="KHG24" s="64"/>
      <c r="KHH24" s="64"/>
      <c r="KHI24" s="64"/>
      <c r="KHJ24" s="64"/>
      <c r="KHK24" s="64"/>
      <c r="KHL24" s="64"/>
      <c r="KHM24" s="64"/>
      <c r="KHN24" s="64"/>
      <c r="KHO24" s="64"/>
      <c r="KHP24" s="64"/>
      <c r="KHQ24" s="64"/>
      <c r="KHR24" s="64"/>
      <c r="KHS24" s="64"/>
      <c r="KHT24" s="64"/>
      <c r="KHU24" s="64"/>
      <c r="KHV24" s="64"/>
      <c r="KHW24" s="64"/>
      <c r="KHX24" s="64"/>
      <c r="KHY24" s="64"/>
      <c r="KHZ24" s="64"/>
      <c r="KIA24" s="64"/>
      <c r="KIB24" s="64"/>
      <c r="KIC24" s="64"/>
      <c r="KID24" s="64"/>
      <c r="KIE24" s="64"/>
      <c r="KIF24" s="64"/>
      <c r="KIG24" s="64"/>
      <c r="KIH24" s="64"/>
      <c r="KII24" s="64"/>
      <c r="KIJ24" s="64"/>
      <c r="KIK24" s="64"/>
      <c r="KIL24" s="64"/>
      <c r="KIM24" s="64"/>
      <c r="KIN24" s="64"/>
      <c r="KIO24" s="64"/>
      <c r="KIP24" s="64"/>
      <c r="KIQ24" s="64"/>
      <c r="KIR24" s="64"/>
      <c r="KIS24" s="64"/>
      <c r="KIT24" s="64"/>
      <c r="KIU24" s="64"/>
      <c r="KIV24" s="64"/>
      <c r="KIW24" s="64"/>
      <c r="KIX24" s="64"/>
      <c r="KIY24" s="64"/>
      <c r="KIZ24" s="64"/>
      <c r="KJA24" s="64"/>
      <c r="KJB24" s="64"/>
      <c r="KJC24" s="64"/>
      <c r="KJD24" s="64"/>
      <c r="KJE24" s="64"/>
      <c r="KJF24" s="64"/>
      <c r="KJG24" s="64"/>
      <c r="KJH24" s="64"/>
      <c r="KJI24" s="64"/>
      <c r="KJJ24" s="64"/>
      <c r="KJK24" s="64"/>
      <c r="KJL24" s="64"/>
      <c r="KJM24" s="64"/>
      <c r="KJN24" s="64"/>
      <c r="KJO24" s="64"/>
      <c r="KJP24" s="64"/>
      <c r="KJQ24" s="64"/>
      <c r="KJR24" s="64"/>
      <c r="KJS24" s="64"/>
      <c r="KJT24" s="64"/>
      <c r="KJU24" s="64"/>
      <c r="KJV24" s="64"/>
      <c r="KJW24" s="64"/>
      <c r="KJX24" s="64"/>
      <c r="KJY24" s="64"/>
      <c r="KJZ24" s="64"/>
      <c r="KKA24" s="64"/>
      <c r="KKB24" s="64"/>
      <c r="KKC24" s="64"/>
      <c r="KKD24" s="64"/>
      <c r="KKE24" s="64"/>
      <c r="KKF24" s="64"/>
      <c r="KKG24" s="64"/>
      <c r="KKH24" s="64"/>
      <c r="KKI24" s="64"/>
      <c r="KKJ24" s="64"/>
      <c r="KKK24" s="64"/>
      <c r="KKL24" s="64"/>
      <c r="KKM24" s="64"/>
      <c r="KKN24" s="64"/>
      <c r="KKO24" s="64"/>
      <c r="KKP24" s="64"/>
      <c r="KKQ24" s="64"/>
      <c r="KKR24" s="64"/>
      <c r="KKS24" s="64"/>
      <c r="KKT24" s="64"/>
      <c r="KKU24" s="64"/>
      <c r="KKV24" s="64"/>
      <c r="KKW24" s="64"/>
      <c r="KKX24" s="64"/>
      <c r="KKY24" s="64"/>
      <c r="KKZ24" s="64"/>
      <c r="KLA24" s="64"/>
      <c r="KLB24" s="64"/>
      <c r="KLC24" s="64"/>
      <c r="KLD24" s="64"/>
      <c r="KLE24" s="64"/>
      <c r="KLF24" s="64"/>
      <c r="KLG24" s="64"/>
      <c r="KLH24" s="64"/>
      <c r="KLI24" s="64"/>
      <c r="KLJ24" s="64"/>
      <c r="KLK24" s="64"/>
      <c r="KLL24" s="64"/>
      <c r="KLM24" s="64"/>
      <c r="KLN24" s="64"/>
      <c r="KLO24" s="64"/>
      <c r="KLP24" s="64"/>
      <c r="KLQ24" s="64"/>
      <c r="KLR24" s="64"/>
      <c r="KLS24" s="64"/>
      <c r="KLT24" s="64"/>
      <c r="KLU24" s="64"/>
      <c r="KLV24" s="64"/>
      <c r="KLW24" s="64"/>
      <c r="KLX24" s="64"/>
      <c r="KLY24" s="64"/>
      <c r="KLZ24" s="64"/>
      <c r="KMA24" s="64"/>
      <c r="KMB24" s="64"/>
      <c r="KMC24" s="64"/>
      <c r="KMD24" s="64"/>
      <c r="KME24" s="64"/>
      <c r="KMF24" s="64"/>
      <c r="KMG24" s="64"/>
      <c r="KMH24" s="64"/>
      <c r="KMI24" s="64"/>
      <c r="KMJ24" s="64"/>
      <c r="KMK24" s="64"/>
      <c r="KML24" s="64"/>
      <c r="KMM24" s="64"/>
      <c r="KMN24" s="64"/>
      <c r="KMO24" s="64"/>
      <c r="KMP24" s="64"/>
      <c r="KMQ24" s="64"/>
      <c r="KMR24" s="64"/>
      <c r="KMS24" s="64"/>
      <c r="KMT24" s="64"/>
      <c r="KMU24" s="64"/>
      <c r="KMV24" s="64"/>
      <c r="KMW24" s="64"/>
      <c r="KMX24" s="64"/>
      <c r="KMY24" s="64"/>
      <c r="KMZ24" s="64"/>
      <c r="KNA24" s="64"/>
      <c r="KNB24" s="64"/>
      <c r="KNC24" s="64"/>
      <c r="KND24" s="64"/>
      <c r="KNE24" s="64"/>
      <c r="KNF24" s="64"/>
      <c r="KNG24" s="64"/>
      <c r="KNH24" s="64"/>
      <c r="KNI24" s="64"/>
      <c r="KNJ24" s="64"/>
      <c r="KNK24" s="64"/>
      <c r="KNL24" s="64"/>
      <c r="KNM24" s="64"/>
      <c r="KNN24" s="64"/>
      <c r="KNO24" s="64"/>
      <c r="KNP24" s="64"/>
      <c r="KNQ24" s="64"/>
      <c r="KNR24" s="64"/>
      <c r="KNS24" s="64"/>
      <c r="KNT24" s="64"/>
      <c r="KNU24" s="64"/>
      <c r="KNV24" s="64"/>
      <c r="KNW24" s="64"/>
      <c r="KNX24" s="64"/>
      <c r="KNY24" s="64"/>
      <c r="KNZ24" s="64"/>
      <c r="KOA24" s="64"/>
      <c r="KOB24" s="64"/>
      <c r="KOC24" s="64"/>
      <c r="KOD24" s="64"/>
      <c r="KOE24" s="64"/>
      <c r="KOF24" s="64"/>
      <c r="KOG24" s="64"/>
      <c r="KOH24" s="64"/>
      <c r="KOI24" s="64"/>
      <c r="KOJ24" s="64"/>
      <c r="KOK24" s="64"/>
      <c r="KOL24" s="64"/>
      <c r="KOM24" s="64"/>
      <c r="KON24" s="64"/>
      <c r="KOO24" s="64"/>
      <c r="KOP24" s="64"/>
      <c r="KOQ24" s="64"/>
      <c r="KOR24" s="64"/>
      <c r="KOS24" s="64"/>
      <c r="KOT24" s="64"/>
      <c r="KOU24" s="64"/>
      <c r="KOV24" s="64"/>
      <c r="KOW24" s="64"/>
      <c r="KOX24" s="64"/>
      <c r="KOY24" s="64"/>
      <c r="KOZ24" s="64"/>
      <c r="KPA24" s="64"/>
      <c r="KPB24" s="64"/>
      <c r="KPC24" s="64"/>
      <c r="KPD24" s="64"/>
      <c r="KPE24" s="64"/>
      <c r="KPF24" s="64"/>
      <c r="KPG24" s="64"/>
      <c r="KPH24" s="64"/>
      <c r="KPI24" s="64"/>
      <c r="KPJ24" s="64"/>
      <c r="KPK24" s="64"/>
      <c r="KPL24" s="64"/>
      <c r="KPM24" s="64"/>
      <c r="KPN24" s="64"/>
      <c r="KPO24" s="64"/>
      <c r="KPP24" s="64"/>
      <c r="KPQ24" s="64"/>
      <c r="KPR24" s="64"/>
      <c r="KPS24" s="64"/>
      <c r="KPT24" s="64"/>
      <c r="KPU24" s="64"/>
      <c r="KPV24" s="64"/>
      <c r="KPW24" s="64"/>
      <c r="KPX24" s="64"/>
      <c r="KPY24" s="64"/>
      <c r="KPZ24" s="64"/>
      <c r="KQA24" s="64"/>
      <c r="KQB24" s="64"/>
      <c r="KQC24" s="64"/>
      <c r="KQD24" s="64"/>
      <c r="KQE24" s="64"/>
      <c r="KQF24" s="64"/>
      <c r="KQG24" s="64"/>
      <c r="KQH24" s="64"/>
      <c r="KQI24" s="64"/>
      <c r="KQJ24" s="64"/>
      <c r="KQK24" s="64"/>
      <c r="KQL24" s="64"/>
      <c r="KQM24" s="64"/>
      <c r="KQN24" s="64"/>
      <c r="KQO24" s="64"/>
      <c r="KQP24" s="64"/>
      <c r="KQQ24" s="64"/>
      <c r="KQR24" s="64"/>
      <c r="KQS24" s="64"/>
      <c r="KQT24" s="64"/>
      <c r="KQU24" s="64"/>
      <c r="KQV24" s="64"/>
      <c r="KQW24" s="64"/>
      <c r="KQX24" s="64"/>
      <c r="KQY24" s="64"/>
      <c r="KQZ24" s="64"/>
      <c r="KRA24" s="64"/>
      <c r="KRB24" s="64"/>
      <c r="KRC24" s="64"/>
      <c r="KRD24" s="64"/>
      <c r="KRE24" s="64"/>
      <c r="KRF24" s="64"/>
      <c r="KRG24" s="64"/>
      <c r="KRH24" s="64"/>
      <c r="KRI24" s="64"/>
      <c r="KRJ24" s="64"/>
      <c r="KRK24" s="64"/>
      <c r="KRL24" s="64"/>
      <c r="KRM24" s="64"/>
      <c r="KRN24" s="64"/>
      <c r="KRO24" s="64"/>
      <c r="KRP24" s="64"/>
      <c r="KRQ24" s="64"/>
      <c r="KRR24" s="64"/>
      <c r="KRS24" s="64"/>
      <c r="KRT24" s="64"/>
      <c r="KRU24" s="64"/>
      <c r="KRV24" s="64"/>
      <c r="KRW24" s="64"/>
      <c r="KRX24" s="64"/>
      <c r="KRY24" s="64"/>
      <c r="KRZ24" s="64"/>
      <c r="KSA24" s="64"/>
      <c r="KSB24" s="64"/>
      <c r="KSC24" s="64"/>
      <c r="KSD24" s="64"/>
      <c r="KSE24" s="64"/>
      <c r="KSF24" s="64"/>
      <c r="KSG24" s="64"/>
      <c r="KSH24" s="64"/>
      <c r="KSI24" s="64"/>
      <c r="KSJ24" s="64"/>
      <c r="KSK24" s="64"/>
      <c r="KSL24" s="64"/>
      <c r="KSM24" s="64"/>
      <c r="KSN24" s="64"/>
      <c r="KSO24" s="64"/>
      <c r="KSP24" s="64"/>
      <c r="KSQ24" s="64"/>
      <c r="KSR24" s="64"/>
      <c r="KSS24" s="64"/>
      <c r="KST24" s="64"/>
      <c r="KSU24" s="64"/>
      <c r="KSV24" s="64"/>
      <c r="KSW24" s="64"/>
      <c r="KSX24" s="64"/>
      <c r="KSY24" s="64"/>
      <c r="KSZ24" s="64"/>
      <c r="KTA24" s="64"/>
      <c r="KTB24" s="64"/>
      <c r="KTC24" s="64"/>
      <c r="KTD24" s="64"/>
      <c r="KTE24" s="64"/>
      <c r="KTF24" s="64"/>
      <c r="KTG24" s="64"/>
      <c r="KTH24" s="64"/>
      <c r="KTI24" s="64"/>
      <c r="KTJ24" s="64"/>
      <c r="KTK24" s="64"/>
      <c r="KTL24" s="64"/>
      <c r="KTM24" s="64"/>
      <c r="KTN24" s="64"/>
      <c r="KTO24" s="64"/>
      <c r="KTP24" s="64"/>
      <c r="KTQ24" s="64"/>
      <c r="KTR24" s="64"/>
      <c r="KTS24" s="64"/>
      <c r="KTT24" s="64"/>
      <c r="KTU24" s="64"/>
      <c r="KTV24" s="64"/>
      <c r="KTW24" s="64"/>
      <c r="KTX24" s="64"/>
      <c r="KTY24" s="64"/>
      <c r="KTZ24" s="64"/>
      <c r="KUA24" s="64"/>
      <c r="KUB24" s="64"/>
      <c r="KUC24" s="64"/>
      <c r="KUD24" s="64"/>
      <c r="KUE24" s="64"/>
      <c r="KUF24" s="64"/>
      <c r="KUG24" s="64"/>
      <c r="KUH24" s="64"/>
      <c r="KUI24" s="64"/>
      <c r="KUJ24" s="64"/>
      <c r="KUK24" s="64"/>
      <c r="KUL24" s="64"/>
      <c r="KUM24" s="64"/>
      <c r="KUN24" s="64"/>
      <c r="KUO24" s="64"/>
      <c r="KUP24" s="64"/>
      <c r="KUQ24" s="64"/>
      <c r="KUR24" s="64"/>
      <c r="KUS24" s="64"/>
      <c r="KUT24" s="64"/>
      <c r="KUU24" s="64"/>
      <c r="KUV24" s="64"/>
      <c r="KUW24" s="64"/>
      <c r="KUX24" s="64"/>
      <c r="KUY24" s="64"/>
      <c r="KUZ24" s="64"/>
      <c r="KVA24" s="64"/>
      <c r="KVB24" s="64"/>
      <c r="KVC24" s="64"/>
      <c r="KVD24" s="64"/>
      <c r="KVE24" s="64"/>
      <c r="KVF24" s="64"/>
      <c r="KVG24" s="64"/>
      <c r="KVH24" s="64"/>
      <c r="KVI24" s="64"/>
      <c r="KVJ24" s="64"/>
      <c r="KVK24" s="64"/>
      <c r="KVL24" s="64"/>
      <c r="KVM24" s="64"/>
      <c r="KVN24" s="64"/>
      <c r="KVO24" s="64"/>
      <c r="KVP24" s="64"/>
      <c r="KVQ24" s="64"/>
      <c r="KVR24" s="64"/>
      <c r="KVS24" s="64"/>
      <c r="KVT24" s="64"/>
      <c r="KVU24" s="64"/>
      <c r="KVV24" s="64"/>
      <c r="KVW24" s="64"/>
      <c r="KVX24" s="64"/>
      <c r="KVY24" s="64"/>
      <c r="KVZ24" s="64"/>
      <c r="KWA24" s="64"/>
      <c r="KWB24" s="64"/>
      <c r="KWC24" s="64"/>
      <c r="KWD24" s="64"/>
      <c r="KWE24" s="64"/>
      <c r="KWF24" s="64"/>
      <c r="KWG24" s="64"/>
      <c r="KWH24" s="64"/>
      <c r="KWI24" s="64"/>
      <c r="KWJ24" s="64"/>
      <c r="KWK24" s="64"/>
      <c r="KWL24" s="64"/>
      <c r="KWM24" s="64"/>
      <c r="KWN24" s="64"/>
      <c r="KWO24" s="64"/>
      <c r="KWP24" s="64"/>
      <c r="KWQ24" s="64"/>
      <c r="KWR24" s="64"/>
      <c r="KWS24" s="64"/>
      <c r="KWT24" s="64"/>
      <c r="KWU24" s="64"/>
      <c r="KWV24" s="64"/>
      <c r="KWW24" s="64"/>
      <c r="KWX24" s="64"/>
      <c r="KWY24" s="64"/>
      <c r="KWZ24" s="64"/>
      <c r="KXA24" s="64"/>
      <c r="KXB24" s="64"/>
      <c r="KXC24" s="64"/>
      <c r="KXD24" s="64"/>
      <c r="KXE24" s="64"/>
      <c r="KXF24" s="64"/>
      <c r="KXG24" s="64"/>
      <c r="KXH24" s="64"/>
      <c r="KXI24" s="64"/>
      <c r="KXJ24" s="64"/>
      <c r="KXK24" s="64"/>
      <c r="KXL24" s="64"/>
      <c r="KXM24" s="64"/>
      <c r="KXN24" s="64"/>
      <c r="KXO24" s="64"/>
      <c r="KXP24" s="64"/>
      <c r="KXQ24" s="64"/>
      <c r="KXR24" s="64"/>
      <c r="KXS24" s="64"/>
      <c r="KXT24" s="64"/>
      <c r="KXU24" s="64"/>
      <c r="KXV24" s="64"/>
      <c r="KXW24" s="64"/>
      <c r="KXX24" s="64"/>
      <c r="KXY24" s="64"/>
      <c r="KXZ24" s="64"/>
      <c r="KYA24" s="64"/>
      <c r="KYB24" s="64"/>
      <c r="KYC24" s="64"/>
      <c r="KYD24" s="64"/>
      <c r="KYE24" s="64"/>
      <c r="KYF24" s="64"/>
      <c r="KYG24" s="64"/>
      <c r="KYH24" s="64"/>
      <c r="KYI24" s="64"/>
      <c r="KYJ24" s="64"/>
      <c r="KYK24" s="64"/>
      <c r="KYL24" s="64"/>
      <c r="KYM24" s="64"/>
      <c r="KYN24" s="64"/>
      <c r="KYO24" s="64"/>
      <c r="KYP24" s="64"/>
      <c r="KYQ24" s="64"/>
      <c r="KYR24" s="64"/>
      <c r="KYS24" s="64"/>
      <c r="KYT24" s="64"/>
      <c r="KYU24" s="64"/>
      <c r="KYV24" s="64"/>
      <c r="KYW24" s="64"/>
      <c r="KYX24" s="64"/>
      <c r="KYY24" s="64"/>
      <c r="KYZ24" s="64"/>
      <c r="KZA24" s="64"/>
      <c r="KZB24" s="64"/>
      <c r="KZC24" s="64"/>
      <c r="KZD24" s="64"/>
      <c r="KZE24" s="64"/>
      <c r="KZF24" s="64"/>
      <c r="KZG24" s="64"/>
      <c r="KZH24" s="64"/>
      <c r="KZI24" s="64"/>
      <c r="KZJ24" s="64"/>
      <c r="KZK24" s="64"/>
      <c r="KZL24" s="64"/>
      <c r="KZM24" s="64"/>
      <c r="KZN24" s="64"/>
      <c r="KZO24" s="64"/>
      <c r="KZP24" s="64"/>
      <c r="KZQ24" s="64"/>
      <c r="KZR24" s="64"/>
      <c r="KZS24" s="64"/>
      <c r="KZT24" s="64"/>
      <c r="KZU24" s="64"/>
      <c r="KZV24" s="64"/>
      <c r="KZW24" s="64"/>
      <c r="KZX24" s="64"/>
      <c r="KZY24" s="64"/>
      <c r="KZZ24" s="64"/>
      <c r="LAA24" s="64"/>
      <c r="LAB24" s="64"/>
      <c r="LAC24" s="64"/>
      <c r="LAD24" s="64"/>
      <c r="LAE24" s="64"/>
      <c r="LAF24" s="64"/>
      <c r="LAG24" s="64"/>
      <c r="LAH24" s="64"/>
      <c r="LAI24" s="64"/>
      <c r="LAJ24" s="64"/>
      <c r="LAK24" s="64"/>
      <c r="LAL24" s="64"/>
      <c r="LAM24" s="64"/>
      <c r="LAN24" s="64"/>
      <c r="LAO24" s="64"/>
      <c r="LAP24" s="64"/>
      <c r="LAQ24" s="64"/>
      <c r="LAR24" s="64"/>
      <c r="LAS24" s="64"/>
      <c r="LAT24" s="64"/>
      <c r="LAU24" s="64"/>
      <c r="LAV24" s="64"/>
      <c r="LAW24" s="64"/>
      <c r="LAX24" s="64"/>
      <c r="LAY24" s="64"/>
      <c r="LAZ24" s="64"/>
      <c r="LBA24" s="64"/>
      <c r="LBB24" s="64"/>
      <c r="LBC24" s="64"/>
      <c r="LBD24" s="64"/>
      <c r="LBE24" s="64"/>
      <c r="LBF24" s="64"/>
      <c r="LBG24" s="64"/>
      <c r="LBH24" s="64"/>
      <c r="LBI24" s="64"/>
      <c r="LBJ24" s="64"/>
      <c r="LBK24" s="64"/>
      <c r="LBL24" s="64"/>
      <c r="LBM24" s="64"/>
      <c r="LBN24" s="64"/>
      <c r="LBO24" s="64"/>
      <c r="LBP24" s="64"/>
      <c r="LBQ24" s="64"/>
      <c r="LBR24" s="64"/>
      <c r="LBS24" s="64"/>
      <c r="LBT24" s="64"/>
      <c r="LBU24" s="64"/>
      <c r="LBV24" s="64"/>
      <c r="LBW24" s="64"/>
      <c r="LBX24" s="64"/>
      <c r="LBY24" s="64"/>
      <c r="LBZ24" s="64"/>
      <c r="LCA24" s="64"/>
      <c r="LCB24" s="64"/>
      <c r="LCC24" s="64"/>
      <c r="LCD24" s="64"/>
      <c r="LCE24" s="64"/>
      <c r="LCF24" s="64"/>
      <c r="LCG24" s="64"/>
      <c r="LCH24" s="64"/>
      <c r="LCI24" s="64"/>
      <c r="LCJ24" s="64"/>
      <c r="LCK24" s="64"/>
      <c r="LCL24" s="64"/>
      <c r="LCM24" s="64"/>
      <c r="LCN24" s="64"/>
      <c r="LCO24" s="64"/>
      <c r="LCP24" s="64"/>
      <c r="LCQ24" s="64"/>
      <c r="LCR24" s="64"/>
      <c r="LCS24" s="64"/>
      <c r="LCT24" s="64"/>
      <c r="LCU24" s="64"/>
      <c r="LCV24" s="64"/>
      <c r="LCW24" s="64"/>
      <c r="LCX24" s="64"/>
      <c r="LCY24" s="64"/>
      <c r="LCZ24" s="64"/>
      <c r="LDA24" s="64"/>
      <c r="LDB24" s="64"/>
      <c r="LDC24" s="64"/>
      <c r="LDD24" s="64"/>
      <c r="LDE24" s="64"/>
      <c r="LDF24" s="64"/>
      <c r="LDG24" s="64"/>
      <c r="LDH24" s="64"/>
      <c r="LDI24" s="64"/>
      <c r="LDJ24" s="64"/>
      <c r="LDK24" s="64"/>
      <c r="LDL24" s="64"/>
      <c r="LDM24" s="64"/>
      <c r="LDN24" s="64"/>
      <c r="LDO24" s="64"/>
      <c r="LDP24" s="64"/>
      <c r="LDQ24" s="64"/>
      <c r="LDR24" s="64"/>
      <c r="LDS24" s="64"/>
      <c r="LDT24" s="64"/>
      <c r="LDU24" s="64"/>
      <c r="LDV24" s="64"/>
      <c r="LDW24" s="64"/>
      <c r="LDX24" s="64"/>
      <c r="LDY24" s="64"/>
      <c r="LDZ24" s="64"/>
      <c r="LEA24" s="64"/>
      <c r="LEB24" s="64"/>
      <c r="LEC24" s="64"/>
      <c r="LED24" s="64"/>
      <c r="LEE24" s="64"/>
      <c r="LEF24" s="64"/>
      <c r="LEG24" s="64"/>
      <c r="LEH24" s="64"/>
      <c r="LEI24" s="64"/>
      <c r="LEJ24" s="64"/>
      <c r="LEK24" s="64"/>
      <c r="LEL24" s="64"/>
      <c r="LEM24" s="64"/>
      <c r="LEN24" s="64"/>
      <c r="LEO24" s="64"/>
      <c r="LEP24" s="64"/>
      <c r="LEQ24" s="64"/>
      <c r="LER24" s="64"/>
      <c r="LES24" s="64"/>
      <c r="LET24" s="64"/>
      <c r="LEU24" s="64"/>
      <c r="LEV24" s="64"/>
      <c r="LEW24" s="64"/>
      <c r="LEX24" s="64"/>
      <c r="LEY24" s="64"/>
      <c r="LEZ24" s="64"/>
      <c r="LFA24" s="64"/>
      <c r="LFB24" s="64"/>
      <c r="LFC24" s="64"/>
      <c r="LFD24" s="64"/>
      <c r="LFE24" s="64"/>
      <c r="LFF24" s="64"/>
      <c r="LFG24" s="64"/>
      <c r="LFH24" s="64"/>
      <c r="LFI24" s="64"/>
      <c r="LFJ24" s="64"/>
      <c r="LFK24" s="64"/>
      <c r="LFL24" s="64"/>
      <c r="LFM24" s="64"/>
      <c r="LFN24" s="64"/>
      <c r="LFO24" s="64"/>
      <c r="LFP24" s="64"/>
      <c r="LFQ24" s="64"/>
      <c r="LFR24" s="64"/>
      <c r="LFS24" s="64"/>
      <c r="LFT24" s="64"/>
      <c r="LFU24" s="64"/>
      <c r="LFV24" s="64"/>
      <c r="LFW24" s="64"/>
      <c r="LFX24" s="64"/>
      <c r="LFY24" s="64"/>
      <c r="LFZ24" s="64"/>
      <c r="LGA24" s="64"/>
      <c r="LGB24" s="64"/>
      <c r="LGC24" s="64"/>
      <c r="LGD24" s="64"/>
      <c r="LGE24" s="64"/>
      <c r="LGF24" s="64"/>
      <c r="LGG24" s="64"/>
      <c r="LGH24" s="64"/>
      <c r="LGI24" s="64"/>
      <c r="LGJ24" s="64"/>
      <c r="LGK24" s="64"/>
      <c r="LGL24" s="64"/>
      <c r="LGM24" s="64"/>
      <c r="LGN24" s="64"/>
      <c r="LGO24" s="64"/>
      <c r="LGP24" s="64"/>
      <c r="LGQ24" s="64"/>
      <c r="LGR24" s="64"/>
      <c r="LGS24" s="64"/>
      <c r="LGT24" s="64"/>
      <c r="LGU24" s="64"/>
      <c r="LGV24" s="64"/>
      <c r="LGW24" s="64"/>
      <c r="LGX24" s="64"/>
      <c r="LGY24" s="64"/>
      <c r="LGZ24" s="64"/>
      <c r="LHA24" s="64"/>
      <c r="LHB24" s="64"/>
      <c r="LHC24" s="64"/>
      <c r="LHD24" s="64"/>
      <c r="LHE24" s="64"/>
      <c r="LHF24" s="64"/>
      <c r="LHG24" s="64"/>
      <c r="LHH24" s="64"/>
      <c r="LHI24" s="64"/>
      <c r="LHJ24" s="64"/>
      <c r="LHK24" s="64"/>
      <c r="LHL24" s="64"/>
      <c r="LHM24" s="64"/>
      <c r="LHN24" s="64"/>
      <c r="LHO24" s="64"/>
      <c r="LHP24" s="64"/>
      <c r="LHQ24" s="64"/>
      <c r="LHR24" s="64"/>
      <c r="LHS24" s="64"/>
      <c r="LHT24" s="64"/>
      <c r="LHU24" s="64"/>
      <c r="LHV24" s="64"/>
      <c r="LHW24" s="64"/>
      <c r="LHX24" s="64"/>
      <c r="LHY24" s="64"/>
      <c r="LHZ24" s="64"/>
      <c r="LIA24" s="64"/>
      <c r="LIB24" s="64"/>
      <c r="LIC24" s="64"/>
      <c r="LID24" s="64"/>
      <c r="LIE24" s="64"/>
      <c r="LIF24" s="64"/>
      <c r="LIG24" s="64"/>
      <c r="LIH24" s="64"/>
      <c r="LII24" s="64"/>
      <c r="LIJ24" s="64"/>
      <c r="LIK24" s="64"/>
      <c r="LIL24" s="64"/>
      <c r="LIM24" s="64"/>
      <c r="LIN24" s="64"/>
      <c r="LIO24" s="64"/>
      <c r="LIP24" s="64"/>
      <c r="LIQ24" s="64"/>
      <c r="LIR24" s="64"/>
      <c r="LIS24" s="64"/>
      <c r="LIT24" s="64"/>
      <c r="LIU24" s="64"/>
      <c r="LIV24" s="64"/>
      <c r="LIW24" s="64"/>
      <c r="LIX24" s="64"/>
      <c r="LIY24" s="64"/>
      <c r="LIZ24" s="64"/>
      <c r="LJA24" s="64"/>
      <c r="LJB24" s="64"/>
      <c r="LJC24" s="64"/>
      <c r="LJD24" s="64"/>
      <c r="LJE24" s="64"/>
      <c r="LJF24" s="64"/>
      <c r="LJG24" s="64"/>
      <c r="LJH24" s="64"/>
      <c r="LJI24" s="64"/>
      <c r="LJJ24" s="64"/>
      <c r="LJK24" s="64"/>
      <c r="LJL24" s="64"/>
      <c r="LJM24" s="64"/>
      <c r="LJN24" s="64"/>
      <c r="LJO24" s="64"/>
      <c r="LJP24" s="64"/>
      <c r="LJQ24" s="64"/>
      <c r="LJR24" s="64"/>
      <c r="LJS24" s="64"/>
      <c r="LJT24" s="64"/>
      <c r="LJU24" s="64"/>
      <c r="LJV24" s="64"/>
      <c r="LJW24" s="64"/>
      <c r="LJX24" s="64"/>
      <c r="LJY24" s="64"/>
      <c r="LJZ24" s="64"/>
      <c r="LKA24" s="64"/>
      <c r="LKB24" s="64"/>
      <c r="LKC24" s="64"/>
      <c r="LKD24" s="64"/>
      <c r="LKE24" s="64"/>
      <c r="LKF24" s="64"/>
      <c r="LKG24" s="64"/>
      <c r="LKH24" s="64"/>
      <c r="LKI24" s="64"/>
      <c r="LKJ24" s="64"/>
      <c r="LKK24" s="64"/>
      <c r="LKL24" s="64"/>
      <c r="LKM24" s="64"/>
      <c r="LKN24" s="64"/>
      <c r="LKO24" s="64"/>
      <c r="LKP24" s="64"/>
      <c r="LKQ24" s="64"/>
      <c r="LKR24" s="64"/>
      <c r="LKS24" s="64"/>
      <c r="LKT24" s="64"/>
      <c r="LKU24" s="64"/>
      <c r="LKV24" s="64"/>
      <c r="LKW24" s="64"/>
      <c r="LKX24" s="64"/>
      <c r="LKY24" s="64"/>
      <c r="LKZ24" s="64"/>
      <c r="LLA24" s="64"/>
      <c r="LLB24" s="64"/>
      <c r="LLC24" s="64"/>
      <c r="LLD24" s="64"/>
      <c r="LLE24" s="64"/>
      <c r="LLF24" s="64"/>
      <c r="LLG24" s="64"/>
      <c r="LLH24" s="64"/>
      <c r="LLI24" s="64"/>
      <c r="LLJ24" s="64"/>
      <c r="LLK24" s="64"/>
      <c r="LLL24" s="64"/>
      <c r="LLM24" s="64"/>
      <c r="LLN24" s="64"/>
      <c r="LLO24" s="64"/>
      <c r="LLP24" s="64"/>
      <c r="LLQ24" s="64"/>
      <c r="LLR24" s="64"/>
      <c r="LLS24" s="64"/>
      <c r="LLT24" s="64"/>
      <c r="LLU24" s="64"/>
      <c r="LLV24" s="64"/>
      <c r="LLW24" s="64"/>
      <c r="LLX24" s="64"/>
      <c r="LLY24" s="64"/>
      <c r="LLZ24" s="64"/>
      <c r="LMA24" s="64"/>
      <c r="LMB24" s="64"/>
      <c r="LMC24" s="64"/>
      <c r="LMD24" s="64"/>
      <c r="LME24" s="64"/>
      <c r="LMF24" s="64"/>
      <c r="LMG24" s="64"/>
      <c r="LMH24" s="64"/>
      <c r="LMI24" s="64"/>
      <c r="LMJ24" s="64"/>
      <c r="LMK24" s="64"/>
      <c r="LML24" s="64"/>
      <c r="LMM24" s="64"/>
      <c r="LMN24" s="64"/>
      <c r="LMO24" s="64"/>
      <c r="LMP24" s="64"/>
      <c r="LMQ24" s="64"/>
      <c r="LMR24" s="64"/>
      <c r="LMS24" s="64"/>
      <c r="LMT24" s="64"/>
      <c r="LMU24" s="64"/>
      <c r="LMV24" s="64"/>
      <c r="LMW24" s="64"/>
      <c r="LMX24" s="64"/>
      <c r="LMY24" s="64"/>
      <c r="LMZ24" s="64"/>
      <c r="LNA24" s="64"/>
      <c r="LNB24" s="64"/>
      <c r="LNC24" s="64"/>
      <c r="LND24" s="64"/>
      <c r="LNE24" s="64"/>
      <c r="LNF24" s="64"/>
      <c r="LNG24" s="64"/>
      <c r="LNH24" s="64"/>
      <c r="LNI24" s="64"/>
      <c r="LNJ24" s="64"/>
      <c r="LNK24" s="64"/>
      <c r="LNL24" s="64"/>
      <c r="LNM24" s="64"/>
      <c r="LNN24" s="64"/>
      <c r="LNO24" s="64"/>
      <c r="LNP24" s="64"/>
      <c r="LNQ24" s="64"/>
      <c r="LNR24" s="64"/>
      <c r="LNS24" s="64"/>
      <c r="LNT24" s="64"/>
      <c r="LNU24" s="64"/>
      <c r="LNV24" s="64"/>
      <c r="LNW24" s="64"/>
      <c r="LNX24" s="64"/>
      <c r="LNY24" s="64"/>
      <c r="LNZ24" s="64"/>
      <c r="LOA24" s="64"/>
      <c r="LOB24" s="64"/>
      <c r="LOC24" s="64"/>
      <c r="LOD24" s="64"/>
      <c r="LOE24" s="64"/>
      <c r="LOF24" s="64"/>
      <c r="LOG24" s="64"/>
      <c r="LOH24" s="64"/>
      <c r="LOI24" s="64"/>
      <c r="LOJ24" s="64"/>
      <c r="LOK24" s="64"/>
      <c r="LOL24" s="64"/>
      <c r="LOM24" s="64"/>
      <c r="LON24" s="64"/>
      <c r="LOO24" s="64"/>
      <c r="LOP24" s="64"/>
      <c r="LOQ24" s="64"/>
      <c r="LOR24" s="64"/>
      <c r="LOS24" s="64"/>
      <c r="LOT24" s="64"/>
      <c r="LOU24" s="64"/>
      <c r="LOV24" s="64"/>
      <c r="LOW24" s="64"/>
      <c r="LOX24" s="64"/>
      <c r="LOY24" s="64"/>
      <c r="LOZ24" s="64"/>
      <c r="LPA24" s="64"/>
      <c r="LPB24" s="64"/>
      <c r="LPC24" s="64"/>
      <c r="LPD24" s="64"/>
      <c r="LPE24" s="64"/>
      <c r="LPF24" s="64"/>
      <c r="LPG24" s="64"/>
      <c r="LPH24" s="64"/>
      <c r="LPI24" s="64"/>
      <c r="LPJ24" s="64"/>
      <c r="LPK24" s="64"/>
      <c r="LPL24" s="64"/>
      <c r="LPM24" s="64"/>
      <c r="LPN24" s="64"/>
      <c r="LPO24" s="64"/>
      <c r="LPP24" s="64"/>
      <c r="LPQ24" s="64"/>
      <c r="LPR24" s="64"/>
      <c r="LPS24" s="64"/>
      <c r="LPT24" s="64"/>
      <c r="LPU24" s="64"/>
      <c r="LPV24" s="64"/>
      <c r="LPW24" s="64"/>
      <c r="LPX24" s="64"/>
      <c r="LPY24" s="64"/>
      <c r="LPZ24" s="64"/>
      <c r="LQA24" s="64"/>
      <c r="LQB24" s="64"/>
      <c r="LQC24" s="64"/>
      <c r="LQD24" s="64"/>
      <c r="LQE24" s="64"/>
      <c r="LQF24" s="64"/>
      <c r="LQG24" s="64"/>
      <c r="LQH24" s="64"/>
      <c r="LQI24" s="64"/>
      <c r="LQJ24" s="64"/>
      <c r="LQK24" s="64"/>
      <c r="LQL24" s="64"/>
      <c r="LQM24" s="64"/>
      <c r="LQN24" s="64"/>
      <c r="LQO24" s="64"/>
      <c r="LQP24" s="64"/>
      <c r="LQQ24" s="64"/>
      <c r="LQR24" s="64"/>
      <c r="LQS24" s="64"/>
      <c r="LQT24" s="64"/>
      <c r="LQU24" s="64"/>
      <c r="LQV24" s="64"/>
      <c r="LQW24" s="64"/>
      <c r="LQX24" s="64"/>
      <c r="LQY24" s="64"/>
      <c r="LQZ24" s="64"/>
      <c r="LRA24" s="64"/>
      <c r="LRB24" s="64"/>
      <c r="LRC24" s="64"/>
      <c r="LRD24" s="64"/>
      <c r="LRE24" s="64"/>
      <c r="LRF24" s="64"/>
      <c r="LRG24" s="64"/>
      <c r="LRH24" s="64"/>
      <c r="LRI24" s="64"/>
      <c r="LRJ24" s="64"/>
      <c r="LRK24" s="64"/>
      <c r="LRL24" s="64"/>
      <c r="LRM24" s="64"/>
      <c r="LRN24" s="64"/>
      <c r="LRO24" s="64"/>
      <c r="LRP24" s="64"/>
      <c r="LRQ24" s="64"/>
      <c r="LRR24" s="64"/>
      <c r="LRS24" s="64"/>
      <c r="LRT24" s="64"/>
      <c r="LRU24" s="64"/>
      <c r="LRV24" s="64"/>
      <c r="LRW24" s="64"/>
      <c r="LRX24" s="64"/>
      <c r="LRY24" s="64"/>
      <c r="LRZ24" s="64"/>
      <c r="LSA24" s="64"/>
      <c r="LSB24" s="64"/>
      <c r="LSC24" s="64"/>
      <c r="LSD24" s="64"/>
      <c r="LSE24" s="64"/>
      <c r="LSF24" s="64"/>
      <c r="LSG24" s="64"/>
      <c r="LSH24" s="64"/>
      <c r="LSI24" s="64"/>
      <c r="LSJ24" s="64"/>
      <c r="LSK24" s="64"/>
      <c r="LSL24" s="64"/>
      <c r="LSM24" s="64"/>
      <c r="LSN24" s="64"/>
      <c r="LSO24" s="64"/>
      <c r="LSP24" s="64"/>
      <c r="LSQ24" s="64"/>
      <c r="LSR24" s="64"/>
      <c r="LSS24" s="64"/>
      <c r="LST24" s="64"/>
      <c r="LSU24" s="64"/>
      <c r="LSV24" s="64"/>
      <c r="LSW24" s="64"/>
      <c r="LSX24" s="64"/>
      <c r="LSY24" s="64"/>
      <c r="LSZ24" s="64"/>
      <c r="LTA24" s="64"/>
      <c r="LTB24" s="64"/>
      <c r="LTC24" s="64"/>
      <c r="LTD24" s="64"/>
      <c r="LTE24" s="64"/>
      <c r="LTF24" s="64"/>
      <c r="LTG24" s="64"/>
      <c r="LTH24" s="64"/>
      <c r="LTI24" s="64"/>
      <c r="LTJ24" s="64"/>
      <c r="LTK24" s="64"/>
      <c r="LTL24" s="64"/>
      <c r="LTM24" s="64"/>
      <c r="LTN24" s="64"/>
      <c r="LTO24" s="64"/>
      <c r="LTP24" s="64"/>
      <c r="LTQ24" s="64"/>
      <c r="LTR24" s="64"/>
      <c r="LTS24" s="64"/>
      <c r="LTT24" s="64"/>
      <c r="LTU24" s="64"/>
      <c r="LTV24" s="64"/>
      <c r="LTW24" s="64"/>
      <c r="LTX24" s="64"/>
      <c r="LTY24" s="64"/>
      <c r="LTZ24" s="64"/>
      <c r="LUA24" s="64"/>
      <c r="LUB24" s="64"/>
      <c r="LUC24" s="64"/>
      <c r="LUD24" s="64"/>
      <c r="LUE24" s="64"/>
      <c r="LUF24" s="64"/>
      <c r="LUG24" s="64"/>
      <c r="LUH24" s="64"/>
      <c r="LUI24" s="64"/>
      <c r="LUJ24" s="64"/>
      <c r="LUK24" s="64"/>
      <c r="LUL24" s="64"/>
      <c r="LUM24" s="64"/>
      <c r="LUN24" s="64"/>
      <c r="LUO24" s="64"/>
      <c r="LUP24" s="64"/>
      <c r="LUQ24" s="64"/>
      <c r="LUR24" s="64"/>
      <c r="LUS24" s="64"/>
      <c r="LUT24" s="64"/>
      <c r="LUU24" s="64"/>
      <c r="LUV24" s="64"/>
      <c r="LUW24" s="64"/>
      <c r="LUX24" s="64"/>
      <c r="LUY24" s="64"/>
      <c r="LUZ24" s="64"/>
      <c r="LVA24" s="64"/>
      <c r="LVB24" s="64"/>
      <c r="LVC24" s="64"/>
      <c r="LVD24" s="64"/>
      <c r="LVE24" s="64"/>
      <c r="LVF24" s="64"/>
      <c r="LVG24" s="64"/>
      <c r="LVH24" s="64"/>
      <c r="LVI24" s="64"/>
      <c r="LVJ24" s="64"/>
      <c r="LVK24" s="64"/>
      <c r="LVL24" s="64"/>
      <c r="LVM24" s="64"/>
      <c r="LVN24" s="64"/>
      <c r="LVO24" s="64"/>
      <c r="LVP24" s="64"/>
      <c r="LVQ24" s="64"/>
      <c r="LVR24" s="64"/>
      <c r="LVS24" s="64"/>
      <c r="LVT24" s="64"/>
      <c r="LVU24" s="64"/>
      <c r="LVV24" s="64"/>
      <c r="LVW24" s="64"/>
      <c r="LVX24" s="64"/>
      <c r="LVY24" s="64"/>
      <c r="LVZ24" s="64"/>
      <c r="LWA24" s="64"/>
      <c r="LWB24" s="64"/>
      <c r="LWC24" s="64"/>
      <c r="LWD24" s="64"/>
      <c r="LWE24" s="64"/>
      <c r="LWF24" s="64"/>
      <c r="LWG24" s="64"/>
      <c r="LWH24" s="64"/>
      <c r="LWI24" s="64"/>
      <c r="LWJ24" s="64"/>
      <c r="LWK24" s="64"/>
      <c r="LWL24" s="64"/>
      <c r="LWM24" s="64"/>
      <c r="LWN24" s="64"/>
      <c r="LWO24" s="64"/>
      <c r="LWP24" s="64"/>
      <c r="LWQ24" s="64"/>
      <c r="LWR24" s="64"/>
      <c r="LWS24" s="64"/>
      <c r="LWT24" s="64"/>
      <c r="LWU24" s="64"/>
      <c r="LWV24" s="64"/>
      <c r="LWW24" s="64"/>
      <c r="LWX24" s="64"/>
      <c r="LWY24" s="64"/>
      <c r="LWZ24" s="64"/>
      <c r="LXA24" s="64"/>
      <c r="LXB24" s="64"/>
      <c r="LXC24" s="64"/>
      <c r="LXD24" s="64"/>
      <c r="LXE24" s="64"/>
      <c r="LXF24" s="64"/>
      <c r="LXG24" s="64"/>
      <c r="LXH24" s="64"/>
      <c r="LXI24" s="64"/>
      <c r="LXJ24" s="64"/>
      <c r="LXK24" s="64"/>
      <c r="LXL24" s="64"/>
      <c r="LXM24" s="64"/>
      <c r="LXN24" s="64"/>
      <c r="LXO24" s="64"/>
      <c r="LXP24" s="64"/>
      <c r="LXQ24" s="64"/>
      <c r="LXR24" s="64"/>
      <c r="LXS24" s="64"/>
      <c r="LXT24" s="64"/>
      <c r="LXU24" s="64"/>
      <c r="LXV24" s="64"/>
      <c r="LXW24" s="64"/>
      <c r="LXX24" s="64"/>
      <c r="LXY24" s="64"/>
      <c r="LXZ24" s="64"/>
      <c r="LYA24" s="64"/>
      <c r="LYB24" s="64"/>
      <c r="LYC24" s="64"/>
      <c r="LYD24" s="64"/>
      <c r="LYE24" s="64"/>
      <c r="LYF24" s="64"/>
      <c r="LYG24" s="64"/>
      <c r="LYH24" s="64"/>
      <c r="LYI24" s="64"/>
      <c r="LYJ24" s="64"/>
      <c r="LYK24" s="64"/>
      <c r="LYL24" s="64"/>
      <c r="LYM24" s="64"/>
      <c r="LYN24" s="64"/>
      <c r="LYO24" s="64"/>
      <c r="LYP24" s="64"/>
      <c r="LYQ24" s="64"/>
      <c r="LYR24" s="64"/>
      <c r="LYS24" s="64"/>
      <c r="LYT24" s="64"/>
      <c r="LYU24" s="64"/>
      <c r="LYV24" s="64"/>
      <c r="LYW24" s="64"/>
      <c r="LYX24" s="64"/>
      <c r="LYY24" s="64"/>
      <c r="LYZ24" s="64"/>
      <c r="LZA24" s="64"/>
      <c r="LZB24" s="64"/>
      <c r="LZC24" s="64"/>
      <c r="LZD24" s="64"/>
      <c r="LZE24" s="64"/>
      <c r="LZF24" s="64"/>
      <c r="LZG24" s="64"/>
      <c r="LZH24" s="64"/>
      <c r="LZI24" s="64"/>
      <c r="LZJ24" s="64"/>
      <c r="LZK24" s="64"/>
      <c r="LZL24" s="64"/>
      <c r="LZM24" s="64"/>
      <c r="LZN24" s="64"/>
      <c r="LZO24" s="64"/>
      <c r="LZP24" s="64"/>
      <c r="LZQ24" s="64"/>
      <c r="LZR24" s="64"/>
      <c r="LZS24" s="64"/>
      <c r="LZT24" s="64"/>
      <c r="LZU24" s="64"/>
      <c r="LZV24" s="64"/>
      <c r="LZW24" s="64"/>
      <c r="LZX24" s="64"/>
      <c r="LZY24" s="64"/>
      <c r="LZZ24" s="64"/>
      <c r="MAA24" s="64"/>
      <c r="MAB24" s="64"/>
      <c r="MAC24" s="64"/>
      <c r="MAD24" s="64"/>
      <c r="MAE24" s="64"/>
      <c r="MAF24" s="64"/>
      <c r="MAG24" s="64"/>
      <c r="MAH24" s="64"/>
      <c r="MAI24" s="64"/>
      <c r="MAJ24" s="64"/>
      <c r="MAK24" s="64"/>
      <c r="MAL24" s="64"/>
      <c r="MAM24" s="64"/>
      <c r="MAN24" s="64"/>
      <c r="MAO24" s="64"/>
      <c r="MAP24" s="64"/>
      <c r="MAQ24" s="64"/>
      <c r="MAR24" s="64"/>
      <c r="MAS24" s="64"/>
      <c r="MAT24" s="64"/>
      <c r="MAU24" s="64"/>
      <c r="MAV24" s="64"/>
      <c r="MAW24" s="64"/>
      <c r="MAX24" s="64"/>
      <c r="MAY24" s="64"/>
      <c r="MAZ24" s="64"/>
      <c r="MBA24" s="64"/>
      <c r="MBB24" s="64"/>
      <c r="MBC24" s="64"/>
      <c r="MBD24" s="64"/>
      <c r="MBE24" s="64"/>
      <c r="MBF24" s="64"/>
      <c r="MBG24" s="64"/>
      <c r="MBH24" s="64"/>
      <c r="MBI24" s="64"/>
      <c r="MBJ24" s="64"/>
      <c r="MBK24" s="64"/>
      <c r="MBL24" s="64"/>
      <c r="MBM24" s="64"/>
      <c r="MBN24" s="64"/>
      <c r="MBO24" s="64"/>
      <c r="MBP24" s="64"/>
      <c r="MBQ24" s="64"/>
      <c r="MBR24" s="64"/>
      <c r="MBS24" s="64"/>
      <c r="MBT24" s="64"/>
      <c r="MBU24" s="64"/>
      <c r="MBV24" s="64"/>
      <c r="MBW24" s="64"/>
      <c r="MBX24" s="64"/>
      <c r="MBY24" s="64"/>
      <c r="MBZ24" s="64"/>
      <c r="MCA24" s="64"/>
      <c r="MCB24" s="64"/>
      <c r="MCC24" s="64"/>
      <c r="MCD24" s="64"/>
      <c r="MCE24" s="64"/>
      <c r="MCF24" s="64"/>
      <c r="MCG24" s="64"/>
      <c r="MCH24" s="64"/>
      <c r="MCI24" s="64"/>
      <c r="MCJ24" s="64"/>
      <c r="MCK24" s="64"/>
      <c r="MCL24" s="64"/>
      <c r="MCM24" s="64"/>
      <c r="MCN24" s="64"/>
      <c r="MCO24" s="64"/>
      <c r="MCP24" s="64"/>
      <c r="MCQ24" s="64"/>
      <c r="MCR24" s="64"/>
      <c r="MCS24" s="64"/>
      <c r="MCT24" s="64"/>
      <c r="MCU24" s="64"/>
      <c r="MCV24" s="64"/>
      <c r="MCW24" s="64"/>
      <c r="MCX24" s="64"/>
      <c r="MCY24" s="64"/>
      <c r="MCZ24" s="64"/>
      <c r="MDA24" s="64"/>
      <c r="MDB24" s="64"/>
      <c r="MDC24" s="64"/>
      <c r="MDD24" s="64"/>
      <c r="MDE24" s="64"/>
      <c r="MDF24" s="64"/>
      <c r="MDG24" s="64"/>
      <c r="MDH24" s="64"/>
      <c r="MDI24" s="64"/>
      <c r="MDJ24" s="64"/>
      <c r="MDK24" s="64"/>
      <c r="MDL24" s="64"/>
      <c r="MDM24" s="64"/>
      <c r="MDN24" s="64"/>
      <c r="MDO24" s="64"/>
      <c r="MDP24" s="64"/>
      <c r="MDQ24" s="64"/>
      <c r="MDR24" s="64"/>
      <c r="MDS24" s="64"/>
      <c r="MDT24" s="64"/>
      <c r="MDU24" s="64"/>
      <c r="MDV24" s="64"/>
      <c r="MDW24" s="64"/>
      <c r="MDX24" s="64"/>
      <c r="MDY24" s="64"/>
      <c r="MDZ24" s="64"/>
      <c r="MEA24" s="64"/>
      <c r="MEB24" s="64"/>
      <c r="MEC24" s="64"/>
      <c r="MED24" s="64"/>
      <c r="MEE24" s="64"/>
      <c r="MEF24" s="64"/>
      <c r="MEG24" s="64"/>
      <c r="MEH24" s="64"/>
      <c r="MEI24" s="64"/>
      <c r="MEJ24" s="64"/>
      <c r="MEK24" s="64"/>
      <c r="MEL24" s="64"/>
      <c r="MEM24" s="64"/>
      <c r="MEN24" s="64"/>
      <c r="MEO24" s="64"/>
      <c r="MEP24" s="64"/>
      <c r="MEQ24" s="64"/>
      <c r="MER24" s="64"/>
      <c r="MES24" s="64"/>
      <c r="MET24" s="64"/>
      <c r="MEU24" s="64"/>
      <c r="MEV24" s="64"/>
      <c r="MEW24" s="64"/>
      <c r="MEX24" s="64"/>
      <c r="MEY24" s="64"/>
      <c r="MEZ24" s="64"/>
      <c r="MFA24" s="64"/>
      <c r="MFB24" s="64"/>
      <c r="MFC24" s="64"/>
      <c r="MFD24" s="64"/>
      <c r="MFE24" s="64"/>
      <c r="MFF24" s="64"/>
      <c r="MFG24" s="64"/>
      <c r="MFH24" s="64"/>
      <c r="MFI24" s="64"/>
      <c r="MFJ24" s="64"/>
      <c r="MFK24" s="64"/>
      <c r="MFL24" s="64"/>
      <c r="MFM24" s="64"/>
      <c r="MFN24" s="64"/>
      <c r="MFO24" s="64"/>
      <c r="MFP24" s="64"/>
      <c r="MFQ24" s="64"/>
      <c r="MFR24" s="64"/>
      <c r="MFS24" s="64"/>
      <c r="MFT24" s="64"/>
      <c r="MFU24" s="64"/>
      <c r="MFV24" s="64"/>
      <c r="MFW24" s="64"/>
      <c r="MFX24" s="64"/>
      <c r="MFY24" s="64"/>
      <c r="MFZ24" s="64"/>
      <c r="MGA24" s="64"/>
      <c r="MGB24" s="64"/>
      <c r="MGC24" s="64"/>
      <c r="MGD24" s="64"/>
      <c r="MGE24" s="64"/>
      <c r="MGF24" s="64"/>
      <c r="MGG24" s="64"/>
      <c r="MGH24" s="64"/>
      <c r="MGI24" s="64"/>
      <c r="MGJ24" s="64"/>
      <c r="MGK24" s="64"/>
      <c r="MGL24" s="64"/>
      <c r="MGM24" s="64"/>
      <c r="MGN24" s="64"/>
      <c r="MGO24" s="64"/>
      <c r="MGP24" s="64"/>
      <c r="MGQ24" s="64"/>
      <c r="MGR24" s="64"/>
      <c r="MGS24" s="64"/>
      <c r="MGT24" s="64"/>
      <c r="MGU24" s="64"/>
      <c r="MGV24" s="64"/>
      <c r="MGW24" s="64"/>
      <c r="MGX24" s="64"/>
      <c r="MGY24" s="64"/>
      <c r="MGZ24" s="64"/>
      <c r="MHA24" s="64"/>
      <c r="MHB24" s="64"/>
      <c r="MHC24" s="64"/>
      <c r="MHD24" s="64"/>
      <c r="MHE24" s="64"/>
      <c r="MHF24" s="64"/>
      <c r="MHG24" s="64"/>
      <c r="MHH24" s="64"/>
      <c r="MHI24" s="64"/>
      <c r="MHJ24" s="64"/>
      <c r="MHK24" s="64"/>
      <c r="MHL24" s="64"/>
      <c r="MHM24" s="64"/>
      <c r="MHN24" s="64"/>
      <c r="MHO24" s="64"/>
      <c r="MHP24" s="64"/>
      <c r="MHQ24" s="64"/>
      <c r="MHR24" s="64"/>
      <c r="MHS24" s="64"/>
      <c r="MHT24" s="64"/>
      <c r="MHU24" s="64"/>
      <c r="MHV24" s="64"/>
      <c r="MHW24" s="64"/>
      <c r="MHX24" s="64"/>
      <c r="MHY24" s="64"/>
      <c r="MHZ24" s="64"/>
      <c r="MIA24" s="64"/>
      <c r="MIB24" s="64"/>
      <c r="MIC24" s="64"/>
      <c r="MID24" s="64"/>
      <c r="MIE24" s="64"/>
      <c r="MIF24" s="64"/>
      <c r="MIG24" s="64"/>
      <c r="MIH24" s="64"/>
      <c r="MII24" s="64"/>
      <c r="MIJ24" s="64"/>
      <c r="MIK24" s="64"/>
      <c r="MIL24" s="64"/>
      <c r="MIM24" s="64"/>
      <c r="MIN24" s="64"/>
      <c r="MIO24" s="64"/>
      <c r="MIP24" s="64"/>
      <c r="MIQ24" s="64"/>
      <c r="MIR24" s="64"/>
      <c r="MIS24" s="64"/>
      <c r="MIT24" s="64"/>
      <c r="MIU24" s="64"/>
      <c r="MIV24" s="64"/>
      <c r="MIW24" s="64"/>
      <c r="MIX24" s="64"/>
      <c r="MIY24" s="64"/>
      <c r="MIZ24" s="64"/>
      <c r="MJA24" s="64"/>
      <c r="MJB24" s="64"/>
      <c r="MJC24" s="64"/>
      <c r="MJD24" s="64"/>
      <c r="MJE24" s="64"/>
      <c r="MJF24" s="64"/>
      <c r="MJG24" s="64"/>
      <c r="MJH24" s="64"/>
      <c r="MJI24" s="64"/>
      <c r="MJJ24" s="64"/>
      <c r="MJK24" s="64"/>
      <c r="MJL24" s="64"/>
      <c r="MJM24" s="64"/>
      <c r="MJN24" s="64"/>
      <c r="MJO24" s="64"/>
      <c r="MJP24" s="64"/>
      <c r="MJQ24" s="64"/>
      <c r="MJR24" s="64"/>
      <c r="MJS24" s="64"/>
      <c r="MJT24" s="64"/>
      <c r="MJU24" s="64"/>
      <c r="MJV24" s="64"/>
      <c r="MJW24" s="64"/>
      <c r="MJX24" s="64"/>
      <c r="MJY24" s="64"/>
      <c r="MJZ24" s="64"/>
      <c r="MKA24" s="64"/>
      <c r="MKB24" s="64"/>
      <c r="MKC24" s="64"/>
      <c r="MKD24" s="64"/>
      <c r="MKE24" s="64"/>
      <c r="MKF24" s="64"/>
      <c r="MKG24" s="64"/>
      <c r="MKH24" s="64"/>
      <c r="MKI24" s="64"/>
      <c r="MKJ24" s="64"/>
      <c r="MKK24" s="64"/>
      <c r="MKL24" s="64"/>
      <c r="MKM24" s="64"/>
      <c r="MKN24" s="64"/>
      <c r="MKO24" s="64"/>
      <c r="MKP24" s="64"/>
      <c r="MKQ24" s="64"/>
      <c r="MKR24" s="64"/>
      <c r="MKS24" s="64"/>
      <c r="MKT24" s="64"/>
      <c r="MKU24" s="64"/>
      <c r="MKV24" s="64"/>
      <c r="MKW24" s="64"/>
      <c r="MKX24" s="64"/>
      <c r="MKY24" s="64"/>
      <c r="MKZ24" s="64"/>
      <c r="MLA24" s="64"/>
      <c r="MLB24" s="64"/>
      <c r="MLC24" s="64"/>
      <c r="MLD24" s="64"/>
      <c r="MLE24" s="64"/>
      <c r="MLF24" s="64"/>
      <c r="MLG24" s="64"/>
      <c r="MLH24" s="64"/>
      <c r="MLI24" s="64"/>
      <c r="MLJ24" s="64"/>
      <c r="MLK24" s="64"/>
      <c r="MLL24" s="64"/>
      <c r="MLM24" s="64"/>
      <c r="MLN24" s="64"/>
      <c r="MLO24" s="64"/>
      <c r="MLP24" s="64"/>
      <c r="MLQ24" s="64"/>
      <c r="MLR24" s="64"/>
      <c r="MLS24" s="64"/>
      <c r="MLT24" s="64"/>
      <c r="MLU24" s="64"/>
      <c r="MLV24" s="64"/>
      <c r="MLW24" s="64"/>
      <c r="MLX24" s="64"/>
      <c r="MLY24" s="64"/>
      <c r="MLZ24" s="64"/>
      <c r="MMA24" s="64"/>
      <c r="MMB24" s="64"/>
      <c r="MMC24" s="64"/>
      <c r="MMD24" s="64"/>
      <c r="MME24" s="64"/>
      <c r="MMF24" s="64"/>
      <c r="MMG24" s="64"/>
      <c r="MMH24" s="64"/>
      <c r="MMI24" s="64"/>
      <c r="MMJ24" s="64"/>
      <c r="MMK24" s="64"/>
      <c r="MML24" s="64"/>
      <c r="MMM24" s="64"/>
      <c r="MMN24" s="64"/>
      <c r="MMO24" s="64"/>
      <c r="MMP24" s="64"/>
      <c r="MMQ24" s="64"/>
      <c r="MMR24" s="64"/>
      <c r="MMS24" s="64"/>
      <c r="MMT24" s="64"/>
      <c r="MMU24" s="64"/>
      <c r="MMV24" s="64"/>
      <c r="MMW24" s="64"/>
      <c r="MMX24" s="64"/>
      <c r="MMY24" s="64"/>
      <c r="MMZ24" s="64"/>
      <c r="MNA24" s="64"/>
      <c r="MNB24" s="64"/>
      <c r="MNC24" s="64"/>
      <c r="MND24" s="64"/>
      <c r="MNE24" s="64"/>
      <c r="MNF24" s="64"/>
      <c r="MNG24" s="64"/>
      <c r="MNH24" s="64"/>
      <c r="MNI24" s="64"/>
      <c r="MNJ24" s="64"/>
      <c r="MNK24" s="64"/>
      <c r="MNL24" s="64"/>
      <c r="MNM24" s="64"/>
      <c r="MNN24" s="64"/>
      <c r="MNO24" s="64"/>
      <c r="MNP24" s="64"/>
      <c r="MNQ24" s="64"/>
      <c r="MNR24" s="64"/>
      <c r="MNS24" s="64"/>
      <c r="MNT24" s="64"/>
      <c r="MNU24" s="64"/>
      <c r="MNV24" s="64"/>
      <c r="MNW24" s="64"/>
      <c r="MNX24" s="64"/>
      <c r="MNY24" s="64"/>
      <c r="MNZ24" s="64"/>
      <c r="MOA24" s="64"/>
      <c r="MOB24" s="64"/>
      <c r="MOC24" s="64"/>
      <c r="MOD24" s="64"/>
      <c r="MOE24" s="64"/>
      <c r="MOF24" s="64"/>
      <c r="MOG24" s="64"/>
      <c r="MOH24" s="64"/>
      <c r="MOI24" s="64"/>
      <c r="MOJ24" s="64"/>
      <c r="MOK24" s="64"/>
      <c r="MOL24" s="64"/>
      <c r="MOM24" s="64"/>
      <c r="MON24" s="64"/>
      <c r="MOO24" s="64"/>
      <c r="MOP24" s="64"/>
      <c r="MOQ24" s="64"/>
      <c r="MOR24" s="64"/>
      <c r="MOS24" s="64"/>
      <c r="MOT24" s="64"/>
      <c r="MOU24" s="64"/>
      <c r="MOV24" s="64"/>
      <c r="MOW24" s="64"/>
      <c r="MOX24" s="64"/>
      <c r="MOY24" s="64"/>
      <c r="MOZ24" s="64"/>
      <c r="MPA24" s="64"/>
      <c r="MPB24" s="64"/>
      <c r="MPC24" s="64"/>
      <c r="MPD24" s="64"/>
      <c r="MPE24" s="64"/>
      <c r="MPF24" s="64"/>
      <c r="MPG24" s="64"/>
      <c r="MPH24" s="64"/>
      <c r="MPI24" s="64"/>
      <c r="MPJ24" s="64"/>
      <c r="MPK24" s="64"/>
      <c r="MPL24" s="64"/>
      <c r="MPM24" s="64"/>
      <c r="MPN24" s="64"/>
      <c r="MPO24" s="64"/>
      <c r="MPP24" s="64"/>
      <c r="MPQ24" s="64"/>
      <c r="MPR24" s="64"/>
      <c r="MPS24" s="64"/>
      <c r="MPT24" s="64"/>
      <c r="MPU24" s="64"/>
      <c r="MPV24" s="64"/>
      <c r="MPW24" s="64"/>
      <c r="MPX24" s="64"/>
      <c r="MPY24" s="64"/>
      <c r="MPZ24" s="64"/>
      <c r="MQA24" s="64"/>
      <c r="MQB24" s="64"/>
      <c r="MQC24" s="64"/>
      <c r="MQD24" s="64"/>
      <c r="MQE24" s="64"/>
      <c r="MQF24" s="64"/>
      <c r="MQG24" s="64"/>
      <c r="MQH24" s="64"/>
      <c r="MQI24" s="64"/>
      <c r="MQJ24" s="64"/>
      <c r="MQK24" s="64"/>
      <c r="MQL24" s="64"/>
      <c r="MQM24" s="64"/>
      <c r="MQN24" s="64"/>
      <c r="MQO24" s="64"/>
      <c r="MQP24" s="64"/>
      <c r="MQQ24" s="64"/>
      <c r="MQR24" s="64"/>
      <c r="MQS24" s="64"/>
      <c r="MQT24" s="64"/>
      <c r="MQU24" s="64"/>
      <c r="MQV24" s="64"/>
      <c r="MQW24" s="64"/>
      <c r="MQX24" s="64"/>
      <c r="MQY24" s="64"/>
      <c r="MQZ24" s="64"/>
      <c r="MRA24" s="64"/>
      <c r="MRB24" s="64"/>
      <c r="MRC24" s="64"/>
      <c r="MRD24" s="64"/>
      <c r="MRE24" s="64"/>
      <c r="MRF24" s="64"/>
      <c r="MRG24" s="64"/>
      <c r="MRH24" s="64"/>
      <c r="MRI24" s="64"/>
      <c r="MRJ24" s="64"/>
      <c r="MRK24" s="64"/>
      <c r="MRL24" s="64"/>
      <c r="MRM24" s="64"/>
      <c r="MRN24" s="64"/>
      <c r="MRO24" s="64"/>
      <c r="MRP24" s="64"/>
      <c r="MRQ24" s="64"/>
      <c r="MRR24" s="64"/>
      <c r="MRS24" s="64"/>
      <c r="MRT24" s="64"/>
      <c r="MRU24" s="64"/>
      <c r="MRV24" s="64"/>
      <c r="MRW24" s="64"/>
      <c r="MRX24" s="64"/>
      <c r="MRY24" s="64"/>
      <c r="MRZ24" s="64"/>
      <c r="MSA24" s="64"/>
      <c r="MSB24" s="64"/>
      <c r="MSC24" s="64"/>
      <c r="MSD24" s="64"/>
      <c r="MSE24" s="64"/>
      <c r="MSF24" s="64"/>
      <c r="MSG24" s="64"/>
      <c r="MSH24" s="64"/>
      <c r="MSI24" s="64"/>
      <c r="MSJ24" s="64"/>
      <c r="MSK24" s="64"/>
      <c r="MSL24" s="64"/>
      <c r="MSM24" s="64"/>
      <c r="MSN24" s="64"/>
      <c r="MSO24" s="64"/>
      <c r="MSP24" s="64"/>
      <c r="MSQ24" s="64"/>
      <c r="MSR24" s="64"/>
      <c r="MSS24" s="64"/>
      <c r="MST24" s="64"/>
      <c r="MSU24" s="64"/>
      <c r="MSV24" s="64"/>
      <c r="MSW24" s="64"/>
      <c r="MSX24" s="64"/>
      <c r="MSY24" s="64"/>
      <c r="MSZ24" s="64"/>
      <c r="MTA24" s="64"/>
      <c r="MTB24" s="64"/>
      <c r="MTC24" s="64"/>
      <c r="MTD24" s="64"/>
      <c r="MTE24" s="64"/>
      <c r="MTF24" s="64"/>
      <c r="MTG24" s="64"/>
      <c r="MTH24" s="64"/>
      <c r="MTI24" s="64"/>
      <c r="MTJ24" s="64"/>
      <c r="MTK24" s="64"/>
      <c r="MTL24" s="64"/>
      <c r="MTM24" s="64"/>
      <c r="MTN24" s="64"/>
      <c r="MTO24" s="64"/>
      <c r="MTP24" s="64"/>
      <c r="MTQ24" s="64"/>
      <c r="MTR24" s="64"/>
      <c r="MTS24" s="64"/>
      <c r="MTT24" s="64"/>
      <c r="MTU24" s="64"/>
      <c r="MTV24" s="64"/>
      <c r="MTW24" s="64"/>
      <c r="MTX24" s="64"/>
      <c r="MTY24" s="64"/>
      <c r="MTZ24" s="64"/>
      <c r="MUA24" s="64"/>
      <c r="MUB24" s="64"/>
      <c r="MUC24" s="64"/>
      <c r="MUD24" s="64"/>
      <c r="MUE24" s="64"/>
      <c r="MUF24" s="64"/>
      <c r="MUG24" s="64"/>
      <c r="MUH24" s="64"/>
      <c r="MUI24" s="64"/>
      <c r="MUJ24" s="64"/>
      <c r="MUK24" s="64"/>
      <c r="MUL24" s="64"/>
      <c r="MUM24" s="64"/>
      <c r="MUN24" s="64"/>
      <c r="MUO24" s="64"/>
      <c r="MUP24" s="64"/>
      <c r="MUQ24" s="64"/>
      <c r="MUR24" s="64"/>
      <c r="MUS24" s="64"/>
      <c r="MUT24" s="64"/>
      <c r="MUU24" s="64"/>
      <c r="MUV24" s="64"/>
      <c r="MUW24" s="64"/>
      <c r="MUX24" s="64"/>
      <c r="MUY24" s="64"/>
      <c r="MUZ24" s="64"/>
      <c r="MVA24" s="64"/>
      <c r="MVB24" s="64"/>
      <c r="MVC24" s="64"/>
      <c r="MVD24" s="64"/>
      <c r="MVE24" s="64"/>
      <c r="MVF24" s="64"/>
      <c r="MVG24" s="64"/>
      <c r="MVH24" s="64"/>
      <c r="MVI24" s="64"/>
      <c r="MVJ24" s="64"/>
      <c r="MVK24" s="64"/>
      <c r="MVL24" s="64"/>
      <c r="MVM24" s="64"/>
      <c r="MVN24" s="64"/>
      <c r="MVO24" s="64"/>
      <c r="MVP24" s="64"/>
      <c r="MVQ24" s="64"/>
      <c r="MVR24" s="64"/>
      <c r="MVS24" s="64"/>
      <c r="MVT24" s="64"/>
      <c r="MVU24" s="64"/>
      <c r="MVV24" s="64"/>
      <c r="MVW24" s="64"/>
      <c r="MVX24" s="64"/>
      <c r="MVY24" s="64"/>
      <c r="MVZ24" s="64"/>
      <c r="MWA24" s="64"/>
      <c r="MWB24" s="64"/>
      <c r="MWC24" s="64"/>
      <c r="MWD24" s="64"/>
      <c r="MWE24" s="64"/>
      <c r="MWF24" s="64"/>
      <c r="MWG24" s="64"/>
      <c r="MWH24" s="64"/>
      <c r="MWI24" s="64"/>
      <c r="MWJ24" s="64"/>
      <c r="MWK24" s="64"/>
      <c r="MWL24" s="64"/>
      <c r="MWM24" s="64"/>
      <c r="MWN24" s="64"/>
      <c r="MWO24" s="64"/>
      <c r="MWP24" s="64"/>
      <c r="MWQ24" s="64"/>
      <c r="MWR24" s="64"/>
      <c r="MWS24" s="64"/>
      <c r="MWT24" s="64"/>
      <c r="MWU24" s="64"/>
      <c r="MWV24" s="64"/>
      <c r="MWW24" s="64"/>
      <c r="MWX24" s="64"/>
      <c r="MWY24" s="64"/>
      <c r="MWZ24" s="64"/>
      <c r="MXA24" s="64"/>
      <c r="MXB24" s="64"/>
      <c r="MXC24" s="64"/>
      <c r="MXD24" s="64"/>
      <c r="MXE24" s="64"/>
      <c r="MXF24" s="64"/>
      <c r="MXG24" s="64"/>
      <c r="MXH24" s="64"/>
      <c r="MXI24" s="64"/>
      <c r="MXJ24" s="64"/>
      <c r="MXK24" s="64"/>
      <c r="MXL24" s="64"/>
      <c r="MXM24" s="64"/>
      <c r="MXN24" s="64"/>
      <c r="MXO24" s="64"/>
      <c r="MXP24" s="64"/>
      <c r="MXQ24" s="64"/>
      <c r="MXR24" s="64"/>
      <c r="MXS24" s="64"/>
      <c r="MXT24" s="64"/>
      <c r="MXU24" s="64"/>
      <c r="MXV24" s="64"/>
      <c r="MXW24" s="64"/>
      <c r="MXX24" s="64"/>
      <c r="MXY24" s="64"/>
      <c r="MXZ24" s="64"/>
      <c r="MYA24" s="64"/>
      <c r="MYB24" s="64"/>
      <c r="MYC24" s="64"/>
      <c r="MYD24" s="64"/>
      <c r="MYE24" s="64"/>
      <c r="MYF24" s="64"/>
      <c r="MYG24" s="64"/>
      <c r="MYH24" s="64"/>
      <c r="MYI24" s="64"/>
      <c r="MYJ24" s="64"/>
      <c r="MYK24" s="64"/>
      <c r="MYL24" s="64"/>
      <c r="MYM24" s="64"/>
      <c r="MYN24" s="64"/>
      <c r="MYO24" s="64"/>
      <c r="MYP24" s="64"/>
      <c r="MYQ24" s="64"/>
      <c r="MYR24" s="64"/>
      <c r="MYS24" s="64"/>
      <c r="MYT24" s="64"/>
      <c r="MYU24" s="64"/>
      <c r="MYV24" s="64"/>
      <c r="MYW24" s="64"/>
      <c r="MYX24" s="64"/>
      <c r="MYY24" s="64"/>
      <c r="MYZ24" s="64"/>
      <c r="MZA24" s="64"/>
      <c r="MZB24" s="64"/>
      <c r="MZC24" s="64"/>
      <c r="MZD24" s="64"/>
      <c r="MZE24" s="64"/>
      <c r="MZF24" s="64"/>
      <c r="MZG24" s="64"/>
      <c r="MZH24" s="64"/>
      <c r="MZI24" s="64"/>
      <c r="MZJ24" s="64"/>
      <c r="MZK24" s="64"/>
      <c r="MZL24" s="64"/>
      <c r="MZM24" s="64"/>
      <c r="MZN24" s="64"/>
      <c r="MZO24" s="64"/>
      <c r="MZP24" s="64"/>
      <c r="MZQ24" s="64"/>
      <c r="MZR24" s="64"/>
      <c r="MZS24" s="64"/>
      <c r="MZT24" s="64"/>
      <c r="MZU24" s="64"/>
      <c r="MZV24" s="64"/>
      <c r="MZW24" s="64"/>
      <c r="MZX24" s="64"/>
      <c r="MZY24" s="64"/>
      <c r="MZZ24" s="64"/>
      <c r="NAA24" s="64"/>
      <c r="NAB24" s="64"/>
      <c r="NAC24" s="64"/>
      <c r="NAD24" s="64"/>
      <c r="NAE24" s="64"/>
      <c r="NAF24" s="64"/>
      <c r="NAG24" s="64"/>
      <c r="NAH24" s="64"/>
      <c r="NAI24" s="64"/>
      <c r="NAJ24" s="64"/>
      <c r="NAK24" s="64"/>
      <c r="NAL24" s="64"/>
      <c r="NAM24" s="64"/>
      <c r="NAN24" s="64"/>
      <c r="NAO24" s="64"/>
      <c r="NAP24" s="64"/>
      <c r="NAQ24" s="64"/>
      <c r="NAR24" s="64"/>
      <c r="NAS24" s="64"/>
      <c r="NAT24" s="64"/>
      <c r="NAU24" s="64"/>
      <c r="NAV24" s="64"/>
      <c r="NAW24" s="64"/>
      <c r="NAX24" s="64"/>
      <c r="NAY24" s="64"/>
      <c r="NAZ24" s="64"/>
      <c r="NBA24" s="64"/>
      <c r="NBB24" s="64"/>
      <c r="NBC24" s="64"/>
      <c r="NBD24" s="64"/>
      <c r="NBE24" s="64"/>
      <c r="NBF24" s="64"/>
      <c r="NBG24" s="64"/>
      <c r="NBH24" s="64"/>
      <c r="NBI24" s="64"/>
      <c r="NBJ24" s="64"/>
      <c r="NBK24" s="64"/>
      <c r="NBL24" s="64"/>
      <c r="NBM24" s="64"/>
      <c r="NBN24" s="64"/>
      <c r="NBO24" s="64"/>
      <c r="NBP24" s="64"/>
      <c r="NBQ24" s="64"/>
      <c r="NBR24" s="64"/>
      <c r="NBS24" s="64"/>
      <c r="NBT24" s="64"/>
      <c r="NBU24" s="64"/>
      <c r="NBV24" s="64"/>
      <c r="NBW24" s="64"/>
      <c r="NBX24" s="64"/>
      <c r="NBY24" s="64"/>
      <c r="NBZ24" s="64"/>
      <c r="NCA24" s="64"/>
      <c r="NCB24" s="64"/>
      <c r="NCC24" s="64"/>
      <c r="NCD24" s="64"/>
      <c r="NCE24" s="64"/>
      <c r="NCF24" s="64"/>
      <c r="NCG24" s="64"/>
      <c r="NCH24" s="64"/>
      <c r="NCI24" s="64"/>
      <c r="NCJ24" s="64"/>
      <c r="NCK24" s="64"/>
      <c r="NCL24" s="64"/>
      <c r="NCM24" s="64"/>
      <c r="NCN24" s="64"/>
      <c r="NCO24" s="64"/>
      <c r="NCP24" s="64"/>
      <c r="NCQ24" s="64"/>
      <c r="NCR24" s="64"/>
      <c r="NCS24" s="64"/>
      <c r="NCT24" s="64"/>
      <c r="NCU24" s="64"/>
      <c r="NCV24" s="64"/>
      <c r="NCW24" s="64"/>
      <c r="NCX24" s="64"/>
      <c r="NCY24" s="64"/>
      <c r="NCZ24" s="64"/>
      <c r="NDA24" s="64"/>
      <c r="NDB24" s="64"/>
      <c r="NDC24" s="64"/>
      <c r="NDD24" s="64"/>
      <c r="NDE24" s="64"/>
      <c r="NDF24" s="64"/>
      <c r="NDG24" s="64"/>
      <c r="NDH24" s="64"/>
      <c r="NDI24" s="64"/>
      <c r="NDJ24" s="64"/>
      <c r="NDK24" s="64"/>
      <c r="NDL24" s="64"/>
      <c r="NDM24" s="64"/>
      <c r="NDN24" s="64"/>
      <c r="NDO24" s="64"/>
      <c r="NDP24" s="64"/>
      <c r="NDQ24" s="64"/>
      <c r="NDR24" s="64"/>
      <c r="NDS24" s="64"/>
      <c r="NDT24" s="64"/>
      <c r="NDU24" s="64"/>
      <c r="NDV24" s="64"/>
      <c r="NDW24" s="64"/>
      <c r="NDX24" s="64"/>
      <c r="NDY24" s="64"/>
      <c r="NDZ24" s="64"/>
      <c r="NEA24" s="64"/>
      <c r="NEB24" s="64"/>
      <c r="NEC24" s="64"/>
      <c r="NED24" s="64"/>
      <c r="NEE24" s="64"/>
      <c r="NEF24" s="64"/>
      <c r="NEG24" s="64"/>
      <c r="NEH24" s="64"/>
      <c r="NEI24" s="64"/>
      <c r="NEJ24" s="64"/>
      <c r="NEK24" s="64"/>
      <c r="NEL24" s="64"/>
      <c r="NEM24" s="64"/>
      <c r="NEN24" s="64"/>
      <c r="NEO24" s="64"/>
      <c r="NEP24" s="64"/>
      <c r="NEQ24" s="64"/>
      <c r="NER24" s="64"/>
      <c r="NES24" s="64"/>
      <c r="NET24" s="64"/>
      <c r="NEU24" s="64"/>
      <c r="NEV24" s="64"/>
      <c r="NEW24" s="64"/>
      <c r="NEX24" s="64"/>
      <c r="NEY24" s="64"/>
      <c r="NEZ24" s="64"/>
      <c r="NFA24" s="64"/>
      <c r="NFB24" s="64"/>
      <c r="NFC24" s="64"/>
      <c r="NFD24" s="64"/>
      <c r="NFE24" s="64"/>
      <c r="NFF24" s="64"/>
      <c r="NFG24" s="64"/>
      <c r="NFH24" s="64"/>
      <c r="NFI24" s="64"/>
      <c r="NFJ24" s="64"/>
      <c r="NFK24" s="64"/>
      <c r="NFL24" s="64"/>
      <c r="NFM24" s="64"/>
      <c r="NFN24" s="64"/>
      <c r="NFO24" s="64"/>
      <c r="NFP24" s="64"/>
      <c r="NFQ24" s="64"/>
      <c r="NFR24" s="64"/>
      <c r="NFS24" s="64"/>
      <c r="NFT24" s="64"/>
      <c r="NFU24" s="64"/>
      <c r="NFV24" s="64"/>
      <c r="NFW24" s="64"/>
      <c r="NFX24" s="64"/>
      <c r="NFY24" s="64"/>
      <c r="NFZ24" s="64"/>
      <c r="NGA24" s="64"/>
      <c r="NGB24" s="64"/>
      <c r="NGC24" s="64"/>
      <c r="NGD24" s="64"/>
      <c r="NGE24" s="64"/>
      <c r="NGF24" s="64"/>
      <c r="NGG24" s="64"/>
      <c r="NGH24" s="64"/>
      <c r="NGI24" s="64"/>
      <c r="NGJ24" s="64"/>
      <c r="NGK24" s="64"/>
      <c r="NGL24" s="64"/>
      <c r="NGM24" s="64"/>
      <c r="NGN24" s="64"/>
      <c r="NGO24" s="64"/>
      <c r="NGP24" s="64"/>
      <c r="NGQ24" s="64"/>
      <c r="NGR24" s="64"/>
      <c r="NGS24" s="64"/>
      <c r="NGT24" s="64"/>
      <c r="NGU24" s="64"/>
      <c r="NGV24" s="64"/>
      <c r="NGW24" s="64"/>
      <c r="NGX24" s="64"/>
      <c r="NGY24" s="64"/>
      <c r="NGZ24" s="64"/>
      <c r="NHA24" s="64"/>
      <c r="NHB24" s="64"/>
      <c r="NHC24" s="64"/>
      <c r="NHD24" s="64"/>
      <c r="NHE24" s="64"/>
      <c r="NHF24" s="64"/>
      <c r="NHG24" s="64"/>
      <c r="NHH24" s="64"/>
      <c r="NHI24" s="64"/>
      <c r="NHJ24" s="64"/>
      <c r="NHK24" s="64"/>
      <c r="NHL24" s="64"/>
      <c r="NHM24" s="64"/>
      <c r="NHN24" s="64"/>
      <c r="NHO24" s="64"/>
      <c r="NHP24" s="64"/>
      <c r="NHQ24" s="64"/>
      <c r="NHR24" s="64"/>
      <c r="NHS24" s="64"/>
      <c r="NHT24" s="64"/>
      <c r="NHU24" s="64"/>
      <c r="NHV24" s="64"/>
      <c r="NHW24" s="64"/>
      <c r="NHX24" s="64"/>
      <c r="NHY24" s="64"/>
      <c r="NHZ24" s="64"/>
      <c r="NIA24" s="64"/>
      <c r="NIB24" s="64"/>
      <c r="NIC24" s="64"/>
      <c r="NID24" s="64"/>
      <c r="NIE24" s="64"/>
      <c r="NIF24" s="64"/>
      <c r="NIG24" s="64"/>
      <c r="NIH24" s="64"/>
      <c r="NII24" s="64"/>
      <c r="NIJ24" s="64"/>
      <c r="NIK24" s="64"/>
      <c r="NIL24" s="64"/>
      <c r="NIM24" s="64"/>
      <c r="NIN24" s="64"/>
      <c r="NIO24" s="64"/>
      <c r="NIP24" s="64"/>
      <c r="NIQ24" s="64"/>
      <c r="NIR24" s="64"/>
      <c r="NIS24" s="64"/>
      <c r="NIT24" s="64"/>
      <c r="NIU24" s="64"/>
      <c r="NIV24" s="64"/>
      <c r="NIW24" s="64"/>
      <c r="NIX24" s="64"/>
      <c r="NIY24" s="64"/>
      <c r="NIZ24" s="64"/>
      <c r="NJA24" s="64"/>
      <c r="NJB24" s="64"/>
      <c r="NJC24" s="64"/>
      <c r="NJD24" s="64"/>
      <c r="NJE24" s="64"/>
      <c r="NJF24" s="64"/>
      <c r="NJG24" s="64"/>
      <c r="NJH24" s="64"/>
      <c r="NJI24" s="64"/>
      <c r="NJJ24" s="64"/>
      <c r="NJK24" s="64"/>
      <c r="NJL24" s="64"/>
      <c r="NJM24" s="64"/>
      <c r="NJN24" s="64"/>
      <c r="NJO24" s="64"/>
      <c r="NJP24" s="64"/>
      <c r="NJQ24" s="64"/>
      <c r="NJR24" s="64"/>
      <c r="NJS24" s="64"/>
      <c r="NJT24" s="64"/>
      <c r="NJU24" s="64"/>
      <c r="NJV24" s="64"/>
      <c r="NJW24" s="64"/>
      <c r="NJX24" s="64"/>
      <c r="NJY24" s="64"/>
      <c r="NJZ24" s="64"/>
      <c r="NKA24" s="64"/>
      <c r="NKB24" s="64"/>
      <c r="NKC24" s="64"/>
      <c r="NKD24" s="64"/>
      <c r="NKE24" s="64"/>
      <c r="NKF24" s="64"/>
      <c r="NKG24" s="64"/>
      <c r="NKH24" s="64"/>
      <c r="NKI24" s="64"/>
      <c r="NKJ24" s="64"/>
      <c r="NKK24" s="64"/>
      <c r="NKL24" s="64"/>
      <c r="NKM24" s="64"/>
      <c r="NKN24" s="64"/>
      <c r="NKO24" s="64"/>
      <c r="NKP24" s="64"/>
      <c r="NKQ24" s="64"/>
      <c r="NKR24" s="64"/>
      <c r="NKS24" s="64"/>
      <c r="NKT24" s="64"/>
      <c r="NKU24" s="64"/>
      <c r="NKV24" s="64"/>
      <c r="NKW24" s="64"/>
      <c r="NKX24" s="64"/>
      <c r="NKY24" s="64"/>
      <c r="NKZ24" s="64"/>
      <c r="NLA24" s="64"/>
      <c r="NLB24" s="64"/>
      <c r="NLC24" s="64"/>
      <c r="NLD24" s="64"/>
      <c r="NLE24" s="64"/>
      <c r="NLF24" s="64"/>
      <c r="NLG24" s="64"/>
      <c r="NLH24" s="64"/>
      <c r="NLI24" s="64"/>
      <c r="NLJ24" s="64"/>
      <c r="NLK24" s="64"/>
      <c r="NLL24" s="64"/>
      <c r="NLM24" s="64"/>
      <c r="NLN24" s="64"/>
      <c r="NLO24" s="64"/>
      <c r="NLP24" s="64"/>
      <c r="NLQ24" s="64"/>
      <c r="NLR24" s="64"/>
      <c r="NLS24" s="64"/>
      <c r="NLT24" s="64"/>
      <c r="NLU24" s="64"/>
      <c r="NLV24" s="64"/>
      <c r="NLW24" s="64"/>
      <c r="NLX24" s="64"/>
      <c r="NLY24" s="64"/>
      <c r="NLZ24" s="64"/>
      <c r="NMA24" s="64"/>
      <c r="NMB24" s="64"/>
      <c r="NMC24" s="64"/>
      <c r="NMD24" s="64"/>
      <c r="NME24" s="64"/>
      <c r="NMF24" s="64"/>
      <c r="NMG24" s="64"/>
      <c r="NMH24" s="64"/>
      <c r="NMI24" s="64"/>
      <c r="NMJ24" s="64"/>
      <c r="NMK24" s="64"/>
      <c r="NML24" s="64"/>
      <c r="NMM24" s="64"/>
      <c r="NMN24" s="64"/>
      <c r="NMO24" s="64"/>
      <c r="NMP24" s="64"/>
      <c r="NMQ24" s="64"/>
      <c r="NMR24" s="64"/>
      <c r="NMS24" s="64"/>
      <c r="NMT24" s="64"/>
      <c r="NMU24" s="64"/>
      <c r="NMV24" s="64"/>
      <c r="NMW24" s="64"/>
      <c r="NMX24" s="64"/>
      <c r="NMY24" s="64"/>
      <c r="NMZ24" s="64"/>
      <c r="NNA24" s="64"/>
      <c r="NNB24" s="64"/>
      <c r="NNC24" s="64"/>
      <c r="NND24" s="64"/>
      <c r="NNE24" s="64"/>
      <c r="NNF24" s="64"/>
      <c r="NNG24" s="64"/>
      <c r="NNH24" s="64"/>
      <c r="NNI24" s="64"/>
      <c r="NNJ24" s="64"/>
      <c r="NNK24" s="64"/>
      <c r="NNL24" s="64"/>
      <c r="NNM24" s="64"/>
      <c r="NNN24" s="64"/>
      <c r="NNO24" s="64"/>
      <c r="NNP24" s="64"/>
      <c r="NNQ24" s="64"/>
      <c r="NNR24" s="64"/>
      <c r="NNS24" s="64"/>
      <c r="NNT24" s="64"/>
      <c r="NNU24" s="64"/>
      <c r="NNV24" s="64"/>
      <c r="NNW24" s="64"/>
      <c r="NNX24" s="64"/>
      <c r="NNY24" s="64"/>
      <c r="NNZ24" s="64"/>
      <c r="NOA24" s="64"/>
      <c r="NOB24" s="64"/>
      <c r="NOC24" s="64"/>
      <c r="NOD24" s="64"/>
      <c r="NOE24" s="64"/>
      <c r="NOF24" s="64"/>
      <c r="NOG24" s="64"/>
      <c r="NOH24" s="64"/>
      <c r="NOI24" s="64"/>
      <c r="NOJ24" s="64"/>
      <c r="NOK24" s="64"/>
      <c r="NOL24" s="64"/>
      <c r="NOM24" s="64"/>
      <c r="NON24" s="64"/>
      <c r="NOO24" s="64"/>
      <c r="NOP24" s="64"/>
      <c r="NOQ24" s="64"/>
      <c r="NOR24" s="64"/>
      <c r="NOS24" s="64"/>
      <c r="NOT24" s="64"/>
      <c r="NOU24" s="64"/>
      <c r="NOV24" s="64"/>
      <c r="NOW24" s="64"/>
      <c r="NOX24" s="64"/>
      <c r="NOY24" s="64"/>
      <c r="NOZ24" s="64"/>
      <c r="NPA24" s="64"/>
      <c r="NPB24" s="64"/>
      <c r="NPC24" s="64"/>
      <c r="NPD24" s="64"/>
      <c r="NPE24" s="64"/>
      <c r="NPF24" s="64"/>
      <c r="NPG24" s="64"/>
      <c r="NPH24" s="64"/>
      <c r="NPI24" s="64"/>
      <c r="NPJ24" s="64"/>
      <c r="NPK24" s="64"/>
      <c r="NPL24" s="64"/>
      <c r="NPM24" s="64"/>
      <c r="NPN24" s="64"/>
      <c r="NPO24" s="64"/>
      <c r="NPP24" s="64"/>
      <c r="NPQ24" s="64"/>
      <c r="NPR24" s="64"/>
      <c r="NPS24" s="64"/>
      <c r="NPT24" s="64"/>
      <c r="NPU24" s="64"/>
      <c r="NPV24" s="64"/>
      <c r="NPW24" s="64"/>
      <c r="NPX24" s="64"/>
      <c r="NPY24" s="64"/>
      <c r="NPZ24" s="64"/>
      <c r="NQA24" s="64"/>
      <c r="NQB24" s="64"/>
      <c r="NQC24" s="64"/>
      <c r="NQD24" s="64"/>
      <c r="NQE24" s="64"/>
      <c r="NQF24" s="64"/>
      <c r="NQG24" s="64"/>
      <c r="NQH24" s="64"/>
      <c r="NQI24" s="64"/>
      <c r="NQJ24" s="64"/>
      <c r="NQK24" s="64"/>
      <c r="NQL24" s="64"/>
      <c r="NQM24" s="64"/>
      <c r="NQN24" s="64"/>
      <c r="NQO24" s="64"/>
      <c r="NQP24" s="64"/>
      <c r="NQQ24" s="64"/>
      <c r="NQR24" s="64"/>
      <c r="NQS24" s="64"/>
      <c r="NQT24" s="64"/>
      <c r="NQU24" s="64"/>
      <c r="NQV24" s="64"/>
      <c r="NQW24" s="64"/>
      <c r="NQX24" s="64"/>
      <c r="NQY24" s="64"/>
      <c r="NQZ24" s="64"/>
      <c r="NRA24" s="64"/>
      <c r="NRB24" s="64"/>
      <c r="NRC24" s="64"/>
      <c r="NRD24" s="64"/>
      <c r="NRE24" s="64"/>
      <c r="NRF24" s="64"/>
      <c r="NRG24" s="64"/>
      <c r="NRH24" s="64"/>
      <c r="NRI24" s="64"/>
      <c r="NRJ24" s="64"/>
      <c r="NRK24" s="64"/>
      <c r="NRL24" s="64"/>
      <c r="NRM24" s="64"/>
      <c r="NRN24" s="64"/>
      <c r="NRO24" s="64"/>
      <c r="NRP24" s="64"/>
      <c r="NRQ24" s="64"/>
      <c r="NRR24" s="64"/>
      <c r="NRS24" s="64"/>
      <c r="NRT24" s="64"/>
      <c r="NRU24" s="64"/>
      <c r="NRV24" s="64"/>
      <c r="NRW24" s="64"/>
      <c r="NRX24" s="64"/>
      <c r="NRY24" s="64"/>
      <c r="NRZ24" s="64"/>
      <c r="NSA24" s="64"/>
      <c r="NSB24" s="64"/>
      <c r="NSC24" s="64"/>
      <c r="NSD24" s="64"/>
      <c r="NSE24" s="64"/>
      <c r="NSF24" s="64"/>
      <c r="NSG24" s="64"/>
      <c r="NSH24" s="64"/>
      <c r="NSI24" s="64"/>
      <c r="NSJ24" s="64"/>
      <c r="NSK24" s="64"/>
      <c r="NSL24" s="64"/>
      <c r="NSM24" s="64"/>
      <c r="NSN24" s="64"/>
      <c r="NSO24" s="64"/>
      <c r="NSP24" s="64"/>
      <c r="NSQ24" s="64"/>
      <c r="NSR24" s="64"/>
      <c r="NSS24" s="64"/>
      <c r="NST24" s="64"/>
      <c r="NSU24" s="64"/>
      <c r="NSV24" s="64"/>
      <c r="NSW24" s="64"/>
      <c r="NSX24" s="64"/>
      <c r="NSY24" s="64"/>
      <c r="NSZ24" s="64"/>
      <c r="NTA24" s="64"/>
      <c r="NTB24" s="64"/>
      <c r="NTC24" s="64"/>
      <c r="NTD24" s="64"/>
      <c r="NTE24" s="64"/>
      <c r="NTF24" s="64"/>
      <c r="NTG24" s="64"/>
      <c r="NTH24" s="64"/>
      <c r="NTI24" s="64"/>
      <c r="NTJ24" s="64"/>
      <c r="NTK24" s="64"/>
      <c r="NTL24" s="64"/>
      <c r="NTM24" s="64"/>
      <c r="NTN24" s="64"/>
      <c r="NTO24" s="64"/>
      <c r="NTP24" s="64"/>
      <c r="NTQ24" s="64"/>
      <c r="NTR24" s="64"/>
      <c r="NTS24" s="64"/>
      <c r="NTT24" s="64"/>
      <c r="NTU24" s="64"/>
      <c r="NTV24" s="64"/>
      <c r="NTW24" s="64"/>
      <c r="NTX24" s="64"/>
      <c r="NTY24" s="64"/>
      <c r="NTZ24" s="64"/>
      <c r="NUA24" s="64"/>
      <c r="NUB24" s="64"/>
      <c r="NUC24" s="64"/>
      <c r="NUD24" s="64"/>
      <c r="NUE24" s="64"/>
      <c r="NUF24" s="64"/>
      <c r="NUG24" s="64"/>
      <c r="NUH24" s="64"/>
      <c r="NUI24" s="64"/>
      <c r="NUJ24" s="64"/>
      <c r="NUK24" s="64"/>
      <c r="NUL24" s="64"/>
      <c r="NUM24" s="64"/>
      <c r="NUN24" s="64"/>
      <c r="NUO24" s="64"/>
      <c r="NUP24" s="64"/>
      <c r="NUQ24" s="64"/>
      <c r="NUR24" s="64"/>
      <c r="NUS24" s="64"/>
      <c r="NUT24" s="64"/>
      <c r="NUU24" s="64"/>
      <c r="NUV24" s="64"/>
      <c r="NUW24" s="64"/>
      <c r="NUX24" s="64"/>
      <c r="NUY24" s="64"/>
      <c r="NUZ24" s="64"/>
      <c r="NVA24" s="64"/>
      <c r="NVB24" s="64"/>
      <c r="NVC24" s="64"/>
      <c r="NVD24" s="64"/>
      <c r="NVE24" s="64"/>
      <c r="NVF24" s="64"/>
      <c r="NVG24" s="64"/>
      <c r="NVH24" s="64"/>
      <c r="NVI24" s="64"/>
      <c r="NVJ24" s="64"/>
      <c r="NVK24" s="64"/>
      <c r="NVL24" s="64"/>
      <c r="NVM24" s="64"/>
      <c r="NVN24" s="64"/>
      <c r="NVO24" s="64"/>
      <c r="NVP24" s="64"/>
      <c r="NVQ24" s="64"/>
      <c r="NVR24" s="64"/>
      <c r="NVS24" s="64"/>
      <c r="NVT24" s="64"/>
      <c r="NVU24" s="64"/>
      <c r="NVV24" s="64"/>
      <c r="NVW24" s="64"/>
      <c r="NVX24" s="64"/>
      <c r="NVY24" s="64"/>
      <c r="NVZ24" s="64"/>
      <c r="NWA24" s="64"/>
      <c r="NWB24" s="64"/>
      <c r="NWC24" s="64"/>
      <c r="NWD24" s="64"/>
      <c r="NWE24" s="64"/>
      <c r="NWF24" s="64"/>
      <c r="NWG24" s="64"/>
      <c r="NWH24" s="64"/>
      <c r="NWI24" s="64"/>
      <c r="NWJ24" s="64"/>
      <c r="NWK24" s="64"/>
      <c r="NWL24" s="64"/>
      <c r="NWM24" s="64"/>
      <c r="NWN24" s="64"/>
      <c r="NWO24" s="64"/>
      <c r="NWP24" s="64"/>
      <c r="NWQ24" s="64"/>
      <c r="NWR24" s="64"/>
      <c r="NWS24" s="64"/>
      <c r="NWT24" s="64"/>
      <c r="NWU24" s="64"/>
      <c r="NWV24" s="64"/>
      <c r="NWW24" s="64"/>
      <c r="NWX24" s="64"/>
      <c r="NWY24" s="64"/>
      <c r="NWZ24" s="64"/>
      <c r="NXA24" s="64"/>
      <c r="NXB24" s="64"/>
      <c r="NXC24" s="64"/>
      <c r="NXD24" s="64"/>
      <c r="NXE24" s="64"/>
      <c r="NXF24" s="64"/>
      <c r="NXG24" s="64"/>
      <c r="NXH24" s="64"/>
      <c r="NXI24" s="64"/>
      <c r="NXJ24" s="64"/>
      <c r="NXK24" s="64"/>
      <c r="NXL24" s="64"/>
      <c r="NXM24" s="64"/>
      <c r="NXN24" s="64"/>
      <c r="NXO24" s="64"/>
      <c r="NXP24" s="64"/>
      <c r="NXQ24" s="64"/>
      <c r="NXR24" s="64"/>
      <c r="NXS24" s="64"/>
      <c r="NXT24" s="64"/>
      <c r="NXU24" s="64"/>
      <c r="NXV24" s="64"/>
      <c r="NXW24" s="64"/>
      <c r="NXX24" s="64"/>
      <c r="NXY24" s="64"/>
      <c r="NXZ24" s="64"/>
      <c r="NYA24" s="64"/>
      <c r="NYB24" s="64"/>
      <c r="NYC24" s="64"/>
      <c r="NYD24" s="64"/>
      <c r="NYE24" s="64"/>
      <c r="NYF24" s="64"/>
      <c r="NYG24" s="64"/>
      <c r="NYH24" s="64"/>
      <c r="NYI24" s="64"/>
      <c r="NYJ24" s="64"/>
      <c r="NYK24" s="64"/>
      <c r="NYL24" s="64"/>
      <c r="NYM24" s="64"/>
      <c r="NYN24" s="64"/>
      <c r="NYO24" s="64"/>
      <c r="NYP24" s="64"/>
      <c r="NYQ24" s="64"/>
      <c r="NYR24" s="64"/>
      <c r="NYS24" s="64"/>
      <c r="NYT24" s="64"/>
      <c r="NYU24" s="64"/>
      <c r="NYV24" s="64"/>
      <c r="NYW24" s="64"/>
      <c r="NYX24" s="64"/>
      <c r="NYY24" s="64"/>
      <c r="NYZ24" s="64"/>
      <c r="NZA24" s="64"/>
      <c r="NZB24" s="64"/>
      <c r="NZC24" s="64"/>
      <c r="NZD24" s="64"/>
      <c r="NZE24" s="64"/>
      <c r="NZF24" s="64"/>
      <c r="NZG24" s="64"/>
      <c r="NZH24" s="64"/>
      <c r="NZI24" s="64"/>
      <c r="NZJ24" s="64"/>
      <c r="NZK24" s="64"/>
      <c r="NZL24" s="64"/>
      <c r="NZM24" s="64"/>
      <c r="NZN24" s="64"/>
      <c r="NZO24" s="64"/>
      <c r="NZP24" s="64"/>
      <c r="NZQ24" s="64"/>
      <c r="NZR24" s="64"/>
      <c r="NZS24" s="64"/>
      <c r="NZT24" s="64"/>
      <c r="NZU24" s="64"/>
      <c r="NZV24" s="64"/>
      <c r="NZW24" s="64"/>
      <c r="NZX24" s="64"/>
      <c r="NZY24" s="64"/>
      <c r="NZZ24" s="64"/>
      <c r="OAA24" s="64"/>
      <c r="OAB24" s="64"/>
      <c r="OAC24" s="64"/>
      <c r="OAD24" s="64"/>
      <c r="OAE24" s="64"/>
      <c r="OAF24" s="64"/>
      <c r="OAG24" s="64"/>
      <c r="OAH24" s="64"/>
      <c r="OAI24" s="64"/>
      <c r="OAJ24" s="64"/>
      <c r="OAK24" s="64"/>
      <c r="OAL24" s="64"/>
      <c r="OAM24" s="64"/>
      <c r="OAN24" s="64"/>
      <c r="OAO24" s="64"/>
      <c r="OAP24" s="64"/>
      <c r="OAQ24" s="64"/>
      <c r="OAR24" s="64"/>
      <c r="OAS24" s="64"/>
      <c r="OAT24" s="64"/>
      <c r="OAU24" s="64"/>
      <c r="OAV24" s="64"/>
      <c r="OAW24" s="64"/>
      <c r="OAX24" s="64"/>
      <c r="OAY24" s="64"/>
      <c r="OAZ24" s="64"/>
      <c r="OBA24" s="64"/>
      <c r="OBB24" s="64"/>
      <c r="OBC24" s="64"/>
      <c r="OBD24" s="64"/>
      <c r="OBE24" s="64"/>
      <c r="OBF24" s="64"/>
      <c r="OBG24" s="64"/>
      <c r="OBH24" s="64"/>
      <c r="OBI24" s="64"/>
      <c r="OBJ24" s="64"/>
      <c r="OBK24" s="64"/>
      <c r="OBL24" s="64"/>
      <c r="OBM24" s="64"/>
      <c r="OBN24" s="64"/>
      <c r="OBO24" s="64"/>
      <c r="OBP24" s="64"/>
      <c r="OBQ24" s="64"/>
      <c r="OBR24" s="64"/>
      <c r="OBS24" s="64"/>
      <c r="OBT24" s="64"/>
      <c r="OBU24" s="64"/>
      <c r="OBV24" s="64"/>
      <c r="OBW24" s="64"/>
      <c r="OBX24" s="64"/>
      <c r="OBY24" s="64"/>
      <c r="OBZ24" s="64"/>
      <c r="OCA24" s="64"/>
      <c r="OCB24" s="64"/>
      <c r="OCC24" s="64"/>
      <c r="OCD24" s="64"/>
      <c r="OCE24" s="64"/>
      <c r="OCF24" s="64"/>
      <c r="OCG24" s="64"/>
      <c r="OCH24" s="64"/>
      <c r="OCI24" s="64"/>
      <c r="OCJ24" s="64"/>
      <c r="OCK24" s="64"/>
      <c r="OCL24" s="64"/>
      <c r="OCM24" s="64"/>
      <c r="OCN24" s="64"/>
      <c r="OCO24" s="64"/>
      <c r="OCP24" s="64"/>
      <c r="OCQ24" s="64"/>
      <c r="OCR24" s="64"/>
      <c r="OCS24" s="64"/>
      <c r="OCT24" s="64"/>
      <c r="OCU24" s="64"/>
      <c r="OCV24" s="64"/>
      <c r="OCW24" s="64"/>
      <c r="OCX24" s="64"/>
      <c r="OCY24" s="64"/>
      <c r="OCZ24" s="64"/>
      <c r="ODA24" s="64"/>
      <c r="ODB24" s="64"/>
      <c r="ODC24" s="64"/>
      <c r="ODD24" s="64"/>
      <c r="ODE24" s="64"/>
      <c r="ODF24" s="64"/>
      <c r="ODG24" s="64"/>
      <c r="ODH24" s="64"/>
      <c r="ODI24" s="64"/>
      <c r="ODJ24" s="64"/>
      <c r="ODK24" s="64"/>
      <c r="ODL24" s="64"/>
      <c r="ODM24" s="64"/>
      <c r="ODN24" s="64"/>
      <c r="ODO24" s="64"/>
      <c r="ODP24" s="64"/>
      <c r="ODQ24" s="64"/>
      <c r="ODR24" s="64"/>
      <c r="ODS24" s="64"/>
      <c r="ODT24" s="64"/>
      <c r="ODU24" s="64"/>
      <c r="ODV24" s="64"/>
      <c r="ODW24" s="64"/>
      <c r="ODX24" s="64"/>
      <c r="ODY24" s="64"/>
      <c r="ODZ24" s="64"/>
      <c r="OEA24" s="64"/>
      <c r="OEB24" s="64"/>
      <c r="OEC24" s="64"/>
      <c r="OED24" s="64"/>
      <c r="OEE24" s="64"/>
      <c r="OEF24" s="64"/>
      <c r="OEG24" s="64"/>
      <c r="OEH24" s="64"/>
      <c r="OEI24" s="64"/>
      <c r="OEJ24" s="64"/>
      <c r="OEK24" s="64"/>
      <c r="OEL24" s="64"/>
      <c r="OEM24" s="64"/>
      <c r="OEN24" s="64"/>
      <c r="OEO24" s="64"/>
      <c r="OEP24" s="64"/>
      <c r="OEQ24" s="64"/>
      <c r="OER24" s="64"/>
      <c r="OES24" s="64"/>
      <c r="OET24" s="64"/>
      <c r="OEU24" s="64"/>
      <c r="OEV24" s="64"/>
      <c r="OEW24" s="64"/>
      <c r="OEX24" s="64"/>
      <c r="OEY24" s="64"/>
      <c r="OEZ24" s="64"/>
      <c r="OFA24" s="64"/>
      <c r="OFB24" s="64"/>
      <c r="OFC24" s="64"/>
      <c r="OFD24" s="64"/>
      <c r="OFE24" s="64"/>
      <c r="OFF24" s="64"/>
      <c r="OFG24" s="64"/>
      <c r="OFH24" s="64"/>
      <c r="OFI24" s="64"/>
      <c r="OFJ24" s="64"/>
      <c r="OFK24" s="64"/>
      <c r="OFL24" s="64"/>
      <c r="OFM24" s="64"/>
      <c r="OFN24" s="64"/>
      <c r="OFO24" s="64"/>
      <c r="OFP24" s="64"/>
      <c r="OFQ24" s="64"/>
      <c r="OFR24" s="64"/>
      <c r="OFS24" s="64"/>
      <c r="OFT24" s="64"/>
      <c r="OFU24" s="64"/>
      <c r="OFV24" s="64"/>
      <c r="OFW24" s="64"/>
      <c r="OFX24" s="64"/>
      <c r="OFY24" s="64"/>
      <c r="OFZ24" s="64"/>
      <c r="OGA24" s="64"/>
      <c r="OGB24" s="64"/>
      <c r="OGC24" s="64"/>
      <c r="OGD24" s="64"/>
      <c r="OGE24" s="64"/>
      <c r="OGF24" s="64"/>
      <c r="OGG24" s="64"/>
      <c r="OGH24" s="64"/>
      <c r="OGI24" s="64"/>
      <c r="OGJ24" s="64"/>
      <c r="OGK24" s="64"/>
      <c r="OGL24" s="64"/>
      <c r="OGM24" s="64"/>
      <c r="OGN24" s="64"/>
      <c r="OGO24" s="64"/>
      <c r="OGP24" s="64"/>
      <c r="OGQ24" s="64"/>
      <c r="OGR24" s="64"/>
      <c r="OGS24" s="64"/>
      <c r="OGT24" s="64"/>
      <c r="OGU24" s="64"/>
      <c r="OGV24" s="64"/>
      <c r="OGW24" s="64"/>
      <c r="OGX24" s="64"/>
      <c r="OGY24" s="64"/>
      <c r="OGZ24" s="64"/>
      <c r="OHA24" s="64"/>
      <c r="OHB24" s="64"/>
      <c r="OHC24" s="64"/>
      <c r="OHD24" s="64"/>
      <c r="OHE24" s="64"/>
      <c r="OHF24" s="64"/>
      <c r="OHG24" s="64"/>
      <c r="OHH24" s="64"/>
      <c r="OHI24" s="64"/>
      <c r="OHJ24" s="64"/>
      <c r="OHK24" s="64"/>
      <c r="OHL24" s="64"/>
      <c r="OHM24" s="64"/>
      <c r="OHN24" s="64"/>
      <c r="OHO24" s="64"/>
      <c r="OHP24" s="64"/>
      <c r="OHQ24" s="64"/>
      <c r="OHR24" s="64"/>
      <c r="OHS24" s="64"/>
      <c r="OHT24" s="64"/>
      <c r="OHU24" s="64"/>
      <c r="OHV24" s="64"/>
      <c r="OHW24" s="64"/>
      <c r="OHX24" s="64"/>
      <c r="OHY24" s="64"/>
      <c r="OHZ24" s="64"/>
      <c r="OIA24" s="64"/>
      <c r="OIB24" s="64"/>
      <c r="OIC24" s="64"/>
      <c r="OID24" s="64"/>
      <c r="OIE24" s="64"/>
      <c r="OIF24" s="64"/>
      <c r="OIG24" s="64"/>
      <c r="OIH24" s="64"/>
      <c r="OII24" s="64"/>
      <c r="OIJ24" s="64"/>
      <c r="OIK24" s="64"/>
      <c r="OIL24" s="64"/>
      <c r="OIM24" s="64"/>
      <c r="OIN24" s="64"/>
      <c r="OIO24" s="64"/>
      <c r="OIP24" s="64"/>
      <c r="OIQ24" s="64"/>
      <c r="OIR24" s="64"/>
      <c r="OIS24" s="64"/>
      <c r="OIT24" s="64"/>
      <c r="OIU24" s="64"/>
      <c r="OIV24" s="64"/>
      <c r="OIW24" s="64"/>
      <c r="OIX24" s="64"/>
      <c r="OIY24" s="64"/>
      <c r="OIZ24" s="64"/>
      <c r="OJA24" s="64"/>
      <c r="OJB24" s="64"/>
      <c r="OJC24" s="64"/>
      <c r="OJD24" s="64"/>
      <c r="OJE24" s="64"/>
      <c r="OJF24" s="64"/>
      <c r="OJG24" s="64"/>
      <c r="OJH24" s="64"/>
      <c r="OJI24" s="64"/>
      <c r="OJJ24" s="64"/>
      <c r="OJK24" s="64"/>
      <c r="OJL24" s="64"/>
      <c r="OJM24" s="64"/>
      <c r="OJN24" s="64"/>
      <c r="OJO24" s="64"/>
      <c r="OJP24" s="64"/>
      <c r="OJQ24" s="64"/>
      <c r="OJR24" s="64"/>
      <c r="OJS24" s="64"/>
      <c r="OJT24" s="64"/>
      <c r="OJU24" s="64"/>
      <c r="OJV24" s="64"/>
      <c r="OJW24" s="64"/>
      <c r="OJX24" s="64"/>
      <c r="OJY24" s="64"/>
      <c r="OJZ24" s="64"/>
      <c r="OKA24" s="64"/>
      <c r="OKB24" s="64"/>
      <c r="OKC24" s="64"/>
      <c r="OKD24" s="64"/>
      <c r="OKE24" s="64"/>
      <c r="OKF24" s="64"/>
      <c r="OKG24" s="64"/>
      <c r="OKH24" s="64"/>
      <c r="OKI24" s="64"/>
      <c r="OKJ24" s="64"/>
      <c r="OKK24" s="64"/>
      <c r="OKL24" s="64"/>
      <c r="OKM24" s="64"/>
      <c r="OKN24" s="64"/>
      <c r="OKO24" s="64"/>
      <c r="OKP24" s="64"/>
      <c r="OKQ24" s="64"/>
      <c r="OKR24" s="64"/>
      <c r="OKS24" s="64"/>
      <c r="OKT24" s="64"/>
      <c r="OKU24" s="64"/>
      <c r="OKV24" s="64"/>
      <c r="OKW24" s="64"/>
      <c r="OKX24" s="64"/>
      <c r="OKY24" s="64"/>
      <c r="OKZ24" s="64"/>
      <c r="OLA24" s="64"/>
      <c r="OLB24" s="64"/>
      <c r="OLC24" s="64"/>
      <c r="OLD24" s="64"/>
      <c r="OLE24" s="64"/>
      <c r="OLF24" s="64"/>
      <c r="OLG24" s="64"/>
      <c r="OLH24" s="64"/>
      <c r="OLI24" s="64"/>
      <c r="OLJ24" s="64"/>
      <c r="OLK24" s="64"/>
      <c r="OLL24" s="64"/>
      <c r="OLM24" s="64"/>
      <c r="OLN24" s="64"/>
      <c r="OLO24" s="64"/>
      <c r="OLP24" s="64"/>
      <c r="OLQ24" s="64"/>
      <c r="OLR24" s="64"/>
      <c r="OLS24" s="64"/>
      <c r="OLT24" s="64"/>
      <c r="OLU24" s="64"/>
      <c r="OLV24" s="64"/>
      <c r="OLW24" s="64"/>
      <c r="OLX24" s="64"/>
      <c r="OLY24" s="64"/>
      <c r="OLZ24" s="64"/>
      <c r="OMA24" s="64"/>
      <c r="OMB24" s="64"/>
      <c r="OMC24" s="64"/>
      <c r="OMD24" s="64"/>
      <c r="OME24" s="64"/>
      <c r="OMF24" s="64"/>
      <c r="OMG24" s="64"/>
      <c r="OMH24" s="64"/>
      <c r="OMI24" s="64"/>
      <c r="OMJ24" s="64"/>
      <c r="OMK24" s="64"/>
      <c r="OML24" s="64"/>
      <c r="OMM24" s="64"/>
      <c r="OMN24" s="64"/>
      <c r="OMO24" s="64"/>
      <c r="OMP24" s="64"/>
      <c r="OMQ24" s="64"/>
      <c r="OMR24" s="64"/>
      <c r="OMS24" s="64"/>
      <c r="OMT24" s="64"/>
      <c r="OMU24" s="64"/>
      <c r="OMV24" s="64"/>
      <c r="OMW24" s="64"/>
      <c r="OMX24" s="64"/>
      <c r="OMY24" s="64"/>
      <c r="OMZ24" s="64"/>
      <c r="ONA24" s="64"/>
      <c r="ONB24" s="64"/>
      <c r="ONC24" s="64"/>
      <c r="OND24" s="64"/>
      <c r="ONE24" s="64"/>
      <c r="ONF24" s="64"/>
      <c r="ONG24" s="64"/>
      <c r="ONH24" s="64"/>
      <c r="ONI24" s="64"/>
      <c r="ONJ24" s="64"/>
      <c r="ONK24" s="64"/>
      <c r="ONL24" s="64"/>
      <c r="ONM24" s="64"/>
      <c r="ONN24" s="64"/>
      <c r="ONO24" s="64"/>
      <c r="ONP24" s="64"/>
      <c r="ONQ24" s="64"/>
      <c r="ONR24" s="64"/>
      <c r="ONS24" s="64"/>
      <c r="ONT24" s="64"/>
      <c r="ONU24" s="64"/>
      <c r="ONV24" s="64"/>
      <c r="ONW24" s="64"/>
      <c r="ONX24" s="64"/>
      <c r="ONY24" s="64"/>
      <c r="ONZ24" s="64"/>
      <c r="OOA24" s="64"/>
      <c r="OOB24" s="64"/>
      <c r="OOC24" s="64"/>
      <c r="OOD24" s="64"/>
      <c r="OOE24" s="64"/>
      <c r="OOF24" s="64"/>
      <c r="OOG24" s="64"/>
      <c r="OOH24" s="64"/>
      <c r="OOI24" s="64"/>
      <c r="OOJ24" s="64"/>
      <c r="OOK24" s="64"/>
      <c r="OOL24" s="64"/>
      <c r="OOM24" s="64"/>
      <c r="OON24" s="64"/>
      <c r="OOO24" s="64"/>
      <c r="OOP24" s="64"/>
      <c r="OOQ24" s="64"/>
      <c r="OOR24" s="64"/>
      <c r="OOS24" s="64"/>
      <c r="OOT24" s="64"/>
      <c r="OOU24" s="64"/>
      <c r="OOV24" s="64"/>
      <c r="OOW24" s="64"/>
      <c r="OOX24" s="64"/>
      <c r="OOY24" s="64"/>
      <c r="OOZ24" s="64"/>
      <c r="OPA24" s="64"/>
      <c r="OPB24" s="64"/>
      <c r="OPC24" s="64"/>
      <c r="OPD24" s="64"/>
      <c r="OPE24" s="64"/>
      <c r="OPF24" s="64"/>
      <c r="OPG24" s="64"/>
      <c r="OPH24" s="64"/>
      <c r="OPI24" s="64"/>
      <c r="OPJ24" s="64"/>
      <c r="OPK24" s="64"/>
      <c r="OPL24" s="64"/>
      <c r="OPM24" s="64"/>
      <c r="OPN24" s="64"/>
      <c r="OPO24" s="64"/>
      <c r="OPP24" s="64"/>
      <c r="OPQ24" s="64"/>
      <c r="OPR24" s="64"/>
      <c r="OPS24" s="64"/>
      <c r="OPT24" s="64"/>
      <c r="OPU24" s="64"/>
      <c r="OPV24" s="64"/>
      <c r="OPW24" s="64"/>
      <c r="OPX24" s="64"/>
      <c r="OPY24" s="64"/>
      <c r="OPZ24" s="64"/>
      <c r="OQA24" s="64"/>
      <c r="OQB24" s="64"/>
      <c r="OQC24" s="64"/>
      <c r="OQD24" s="64"/>
      <c r="OQE24" s="64"/>
      <c r="OQF24" s="64"/>
      <c r="OQG24" s="64"/>
      <c r="OQH24" s="64"/>
      <c r="OQI24" s="64"/>
      <c r="OQJ24" s="64"/>
      <c r="OQK24" s="64"/>
      <c r="OQL24" s="64"/>
      <c r="OQM24" s="64"/>
      <c r="OQN24" s="64"/>
      <c r="OQO24" s="64"/>
      <c r="OQP24" s="64"/>
      <c r="OQQ24" s="64"/>
      <c r="OQR24" s="64"/>
      <c r="OQS24" s="64"/>
      <c r="OQT24" s="64"/>
      <c r="OQU24" s="64"/>
      <c r="OQV24" s="64"/>
      <c r="OQW24" s="64"/>
      <c r="OQX24" s="64"/>
      <c r="OQY24" s="64"/>
      <c r="OQZ24" s="64"/>
      <c r="ORA24" s="64"/>
      <c r="ORB24" s="64"/>
      <c r="ORC24" s="64"/>
      <c r="ORD24" s="64"/>
      <c r="ORE24" s="64"/>
      <c r="ORF24" s="64"/>
      <c r="ORG24" s="64"/>
      <c r="ORH24" s="64"/>
      <c r="ORI24" s="64"/>
      <c r="ORJ24" s="64"/>
      <c r="ORK24" s="64"/>
      <c r="ORL24" s="64"/>
      <c r="ORM24" s="64"/>
      <c r="ORN24" s="64"/>
      <c r="ORO24" s="64"/>
      <c r="ORP24" s="64"/>
      <c r="ORQ24" s="64"/>
      <c r="ORR24" s="64"/>
      <c r="ORS24" s="64"/>
      <c r="ORT24" s="64"/>
      <c r="ORU24" s="64"/>
      <c r="ORV24" s="64"/>
      <c r="ORW24" s="64"/>
      <c r="ORX24" s="64"/>
      <c r="ORY24" s="64"/>
      <c r="ORZ24" s="64"/>
      <c r="OSA24" s="64"/>
      <c r="OSB24" s="64"/>
      <c r="OSC24" s="64"/>
      <c r="OSD24" s="64"/>
      <c r="OSE24" s="64"/>
      <c r="OSF24" s="64"/>
      <c r="OSG24" s="64"/>
      <c r="OSH24" s="64"/>
      <c r="OSI24" s="64"/>
      <c r="OSJ24" s="64"/>
      <c r="OSK24" s="64"/>
      <c r="OSL24" s="64"/>
      <c r="OSM24" s="64"/>
      <c r="OSN24" s="64"/>
      <c r="OSO24" s="64"/>
      <c r="OSP24" s="64"/>
      <c r="OSQ24" s="64"/>
      <c r="OSR24" s="64"/>
      <c r="OSS24" s="64"/>
      <c r="OST24" s="64"/>
      <c r="OSU24" s="64"/>
      <c r="OSV24" s="64"/>
      <c r="OSW24" s="64"/>
      <c r="OSX24" s="64"/>
      <c r="OSY24" s="64"/>
      <c r="OSZ24" s="64"/>
      <c r="OTA24" s="64"/>
      <c r="OTB24" s="64"/>
      <c r="OTC24" s="64"/>
      <c r="OTD24" s="64"/>
      <c r="OTE24" s="64"/>
      <c r="OTF24" s="64"/>
      <c r="OTG24" s="64"/>
      <c r="OTH24" s="64"/>
      <c r="OTI24" s="64"/>
      <c r="OTJ24" s="64"/>
      <c r="OTK24" s="64"/>
      <c r="OTL24" s="64"/>
      <c r="OTM24" s="64"/>
      <c r="OTN24" s="64"/>
      <c r="OTO24" s="64"/>
      <c r="OTP24" s="64"/>
      <c r="OTQ24" s="64"/>
      <c r="OTR24" s="64"/>
      <c r="OTS24" s="64"/>
      <c r="OTT24" s="64"/>
      <c r="OTU24" s="64"/>
      <c r="OTV24" s="64"/>
      <c r="OTW24" s="64"/>
      <c r="OTX24" s="64"/>
      <c r="OTY24" s="64"/>
      <c r="OTZ24" s="64"/>
      <c r="OUA24" s="64"/>
      <c r="OUB24" s="64"/>
      <c r="OUC24" s="64"/>
      <c r="OUD24" s="64"/>
      <c r="OUE24" s="64"/>
      <c r="OUF24" s="64"/>
      <c r="OUG24" s="64"/>
      <c r="OUH24" s="64"/>
      <c r="OUI24" s="64"/>
      <c r="OUJ24" s="64"/>
      <c r="OUK24" s="64"/>
      <c r="OUL24" s="64"/>
      <c r="OUM24" s="64"/>
      <c r="OUN24" s="64"/>
      <c r="OUO24" s="64"/>
      <c r="OUP24" s="64"/>
      <c r="OUQ24" s="64"/>
      <c r="OUR24" s="64"/>
      <c r="OUS24" s="64"/>
      <c r="OUT24" s="64"/>
      <c r="OUU24" s="64"/>
      <c r="OUV24" s="64"/>
      <c r="OUW24" s="64"/>
      <c r="OUX24" s="64"/>
      <c r="OUY24" s="64"/>
      <c r="OUZ24" s="64"/>
      <c r="OVA24" s="64"/>
      <c r="OVB24" s="64"/>
      <c r="OVC24" s="64"/>
      <c r="OVD24" s="64"/>
      <c r="OVE24" s="64"/>
      <c r="OVF24" s="64"/>
      <c r="OVG24" s="64"/>
      <c r="OVH24" s="64"/>
      <c r="OVI24" s="64"/>
      <c r="OVJ24" s="64"/>
      <c r="OVK24" s="64"/>
      <c r="OVL24" s="64"/>
      <c r="OVM24" s="64"/>
      <c r="OVN24" s="64"/>
      <c r="OVO24" s="64"/>
      <c r="OVP24" s="64"/>
      <c r="OVQ24" s="64"/>
      <c r="OVR24" s="64"/>
      <c r="OVS24" s="64"/>
      <c r="OVT24" s="64"/>
      <c r="OVU24" s="64"/>
      <c r="OVV24" s="64"/>
      <c r="OVW24" s="64"/>
      <c r="OVX24" s="64"/>
      <c r="OVY24" s="64"/>
      <c r="OVZ24" s="64"/>
      <c r="OWA24" s="64"/>
      <c r="OWB24" s="64"/>
      <c r="OWC24" s="64"/>
      <c r="OWD24" s="64"/>
      <c r="OWE24" s="64"/>
      <c r="OWF24" s="64"/>
      <c r="OWG24" s="64"/>
      <c r="OWH24" s="64"/>
      <c r="OWI24" s="64"/>
      <c r="OWJ24" s="64"/>
      <c r="OWK24" s="64"/>
      <c r="OWL24" s="64"/>
      <c r="OWM24" s="64"/>
      <c r="OWN24" s="64"/>
      <c r="OWO24" s="64"/>
      <c r="OWP24" s="64"/>
      <c r="OWQ24" s="64"/>
      <c r="OWR24" s="64"/>
      <c r="OWS24" s="64"/>
      <c r="OWT24" s="64"/>
      <c r="OWU24" s="64"/>
      <c r="OWV24" s="64"/>
      <c r="OWW24" s="64"/>
      <c r="OWX24" s="64"/>
      <c r="OWY24" s="64"/>
      <c r="OWZ24" s="64"/>
      <c r="OXA24" s="64"/>
      <c r="OXB24" s="64"/>
      <c r="OXC24" s="64"/>
      <c r="OXD24" s="64"/>
      <c r="OXE24" s="64"/>
      <c r="OXF24" s="64"/>
      <c r="OXG24" s="64"/>
      <c r="OXH24" s="64"/>
      <c r="OXI24" s="64"/>
      <c r="OXJ24" s="64"/>
      <c r="OXK24" s="64"/>
      <c r="OXL24" s="64"/>
      <c r="OXM24" s="64"/>
      <c r="OXN24" s="64"/>
      <c r="OXO24" s="64"/>
      <c r="OXP24" s="64"/>
      <c r="OXQ24" s="64"/>
      <c r="OXR24" s="64"/>
      <c r="OXS24" s="64"/>
      <c r="OXT24" s="64"/>
      <c r="OXU24" s="64"/>
      <c r="OXV24" s="64"/>
      <c r="OXW24" s="64"/>
      <c r="OXX24" s="64"/>
      <c r="OXY24" s="64"/>
      <c r="OXZ24" s="64"/>
      <c r="OYA24" s="64"/>
      <c r="OYB24" s="64"/>
      <c r="OYC24" s="64"/>
      <c r="OYD24" s="64"/>
      <c r="OYE24" s="64"/>
      <c r="OYF24" s="64"/>
      <c r="OYG24" s="64"/>
      <c r="OYH24" s="64"/>
      <c r="OYI24" s="64"/>
      <c r="OYJ24" s="64"/>
      <c r="OYK24" s="64"/>
      <c r="OYL24" s="64"/>
      <c r="OYM24" s="64"/>
      <c r="OYN24" s="64"/>
      <c r="OYO24" s="64"/>
      <c r="OYP24" s="64"/>
      <c r="OYQ24" s="64"/>
      <c r="OYR24" s="64"/>
      <c r="OYS24" s="64"/>
      <c r="OYT24" s="64"/>
      <c r="OYU24" s="64"/>
      <c r="OYV24" s="64"/>
      <c r="OYW24" s="64"/>
      <c r="OYX24" s="64"/>
      <c r="OYY24" s="64"/>
      <c r="OYZ24" s="64"/>
      <c r="OZA24" s="64"/>
      <c r="OZB24" s="64"/>
      <c r="OZC24" s="64"/>
      <c r="OZD24" s="64"/>
      <c r="OZE24" s="64"/>
      <c r="OZF24" s="64"/>
      <c r="OZG24" s="64"/>
      <c r="OZH24" s="64"/>
      <c r="OZI24" s="64"/>
      <c r="OZJ24" s="64"/>
      <c r="OZK24" s="64"/>
      <c r="OZL24" s="64"/>
      <c r="OZM24" s="64"/>
      <c r="OZN24" s="64"/>
      <c r="OZO24" s="64"/>
      <c r="OZP24" s="64"/>
      <c r="OZQ24" s="64"/>
      <c r="OZR24" s="64"/>
      <c r="OZS24" s="64"/>
      <c r="OZT24" s="64"/>
      <c r="OZU24" s="64"/>
      <c r="OZV24" s="64"/>
      <c r="OZW24" s="64"/>
      <c r="OZX24" s="64"/>
      <c r="OZY24" s="64"/>
      <c r="OZZ24" s="64"/>
      <c r="PAA24" s="64"/>
      <c r="PAB24" s="64"/>
      <c r="PAC24" s="64"/>
      <c r="PAD24" s="64"/>
      <c r="PAE24" s="64"/>
      <c r="PAF24" s="64"/>
      <c r="PAG24" s="64"/>
      <c r="PAH24" s="64"/>
      <c r="PAI24" s="64"/>
      <c r="PAJ24" s="64"/>
      <c r="PAK24" s="64"/>
      <c r="PAL24" s="64"/>
      <c r="PAM24" s="64"/>
      <c r="PAN24" s="64"/>
      <c r="PAO24" s="64"/>
      <c r="PAP24" s="64"/>
      <c r="PAQ24" s="64"/>
      <c r="PAR24" s="64"/>
      <c r="PAS24" s="64"/>
      <c r="PAT24" s="64"/>
      <c r="PAU24" s="64"/>
      <c r="PAV24" s="64"/>
      <c r="PAW24" s="64"/>
      <c r="PAX24" s="64"/>
      <c r="PAY24" s="64"/>
      <c r="PAZ24" s="64"/>
      <c r="PBA24" s="64"/>
      <c r="PBB24" s="64"/>
      <c r="PBC24" s="64"/>
      <c r="PBD24" s="64"/>
      <c r="PBE24" s="64"/>
      <c r="PBF24" s="64"/>
      <c r="PBG24" s="64"/>
      <c r="PBH24" s="64"/>
      <c r="PBI24" s="64"/>
      <c r="PBJ24" s="64"/>
      <c r="PBK24" s="64"/>
      <c r="PBL24" s="64"/>
      <c r="PBM24" s="64"/>
      <c r="PBN24" s="64"/>
      <c r="PBO24" s="64"/>
      <c r="PBP24" s="64"/>
      <c r="PBQ24" s="64"/>
      <c r="PBR24" s="64"/>
      <c r="PBS24" s="64"/>
      <c r="PBT24" s="64"/>
      <c r="PBU24" s="64"/>
      <c r="PBV24" s="64"/>
      <c r="PBW24" s="64"/>
      <c r="PBX24" s="64"/>
      <c r="PBY24" s="64"/>
      <c r="PBZ24" s="64"/>
      <c r="PCA24" s="64"/>
      <c r="PCB24" s="64"/>
      <c r="PCC24" s="64"/>
      <c r="PCD24" s="64"/>
      <c r="PCE24" s="64"/>
      <c r="PCF24" s="64"/>
      <c r="PCG24" s="64"/>
      <c r="PCH24" s="64"/>
      <c r="PCI24" s="64"/>
      <c r="PCJ24" s="64"/>
      <c r="PCK24" s="64"/>
      <c r="PCL24" s="64"/>
      <c r="PCM24" s="64"/>
      <c r="PCN24" s="64"/>
      <c r="PCO24" s="64"/>
      <c r="PCP24" s="64"/>
      <c r="PCQ24" s="64"/>
      <c r="PCR24" s="64"/>
      <c r="PCS24" s="64"/>
      <c r="PCT24" s="64"/>
      <c r="PCU24" s="64"/>
      <c r="PCV24" s="64"/>
      <c r="PCW24" s="64"/>
      <c r="PCX24" s="64"/>
      <c r="PCY24" s="64"/>
      <c r="PCZ24" s="64"/>
      <c r="PDA24" s="64"/>
      <c r="PDB24" s="64"/>
      <c r="PDC24" s="64"/>
      <c r="PDD24" s="64"/>
      <c r="PDE24" s="64"/>
      <c r="PDF24" s="64"/>
      <c r="PDG24" s="64"/>
      <c r="PDH24" s="64"/>
      <c r="PDI24" s="64"/>
      <c r="PDJ24" s="64"/>
      <c r="PDK24" s="64"/>
      <c r="PDL24" s="64"/>
      <c r="PDM24" s="64"/>
      <c r="PDN24" s="64"/>
      <c r="PDO24" s="64"/>
      <c r="PDP24" s="64"/>
      <c r="PDQ24" s="64"/>
      <c r="PDR24" s="64"/>
      <c r="PDS24" s="64"/>
      <c r="PDT24" s="64"/>
      <c r="PDU24" s="64"/>
      <c r="PDV24" s="64"/>
      <c r="PDW24" s="64"/>
      <c r="PDX24" s="64"/>
      <c r="PDY24" s="64"/>
      <c r="PDZ24" s="64"/>
      <c r="PEA24" s="64"/>
      <c r="PEB24" s="64"/>
      <c r="PEC24" s="64"/>
      <c r="PED24" s="64"/>
      <c r="PEE24" s="64"/>
      <c r="PEF24" s="64"/>
      <c r="PEG24" s="64"/>
      <c r="PEH24" s="64"/>
      <c r="PEI24" s="64"/>
      <c r="PEJ24" s="64"/>
      <c r="PEK24" s="64"/>
      <c r="PEL24" s="64"/>
      <c r="PEM24" s="64"/>
      <c r="PEN24" s="64"/>
      <c r="PEO24" s="64"/>
      <c r="PEP24" s="64"/>
      <c r="PEQ24" s="64"/>
      <c r="PER24" s="64"/>
      <c r="PES24" s="64"/>
      <c r="PET24" s="64"/>
      <c r="PEU24" s="64"/>
      <c r="PEV24" s="64"/>
      <c r="PEW24" s="64"/>
      <c r="PEX24" s="64"/>
      <c r="PEY24" s="64"/>
      <c r="PEZ24" s="64"/>
      <c r="PFA24" s="64"/>
      <c r="PFB24" s="64"/>
      <c r="PFC24" s="64"/>
      <c r="PFD24" s="64"/>
      <c r="PFE24" s="64"/>
      <c r="PFF24" s="64"/>
      <c r="PFG24" s="64"/>
      <c r="PFH24" s="64"/>
      <c r="PFI24" s="64"/>
      <c r="PFJ24" s="64"/>
      <c r="PFK24" s="64"/>
      <c r="PFL24" s="64"/>
      <c r="PFM24" s="64"/>
      <c r="PFN24" s="64"/>
      <c r="PFO24" s="64"/>
      <c r="PFP24" s="64"/>
      <c r="PFQ24" s="64"/>
      <c r="PFR24" s="64"/>
      <c r="PFS24" s="64"/>
      <c r="PFT24" s="64"/>
      <c r="PFU24" s="64"/>
      <c r="PFV24" s="64"/>
      <c r="PFW24" s="64"/>
      <c r="PFX24" s="64"/>
      <c r="PFY24" s="64"/>
      <c r="PFZ24" s="64"/>
      <c r="PGA24" s="64"/>
      <c r="PGB24" s="64"/>
      <c r="PGC24" s="64"/>
      <c r="PGD24" s="64"/>
      <c r="PGE24" s="64"/>
      <c r="PGF24" s="64"/>
      <c r="PGG24" s="64"/>
      <c r="PGH24" s="64"/>
      <c r="PGI24" s="64"/>
      <c r="PGJ24" s="64"/>
      <c r="PGK24" s="64"/>
      <c r="PGL24" s="64"/>
      <c r="PGM24" s="64"/>
      <c r="PGN24" s="64"/>
      <c r="PGO24" s="64"/>
      <c r="PGP24" s="64"/>
      <c r="PGQ24" s="64"/>
      <c r="PGR24" s="64"/>
      <c r="PGS24" s="64"/>
      <c r="PGT24" s="64"/>
      <c r="PGU24" s="64"/>
      <c r="PGV24" s="64"/>
      <c r="PGW24" s="64"/>
      <c r="PGX24" s="64"/>
      <c r="PGY24" s="64"/>
      <c r="PGZ24" s="64"/>
      <c r="PHA24" s="64"/>
      <c r="PHB24" s="64"/>
      <c r="PHC24" s="64"/>
      <c r="PHD24" s="64"/>
      <c r="PHE24" s="64"/>
      <c r="PHF24" s="64"/>
      <c r="PHG24" s="64"/>
      <c r="PHH24" s="64"/>
      <c r="PHI24" s="64"/>
      <c r="PHJ24" s="64"/>
      <c r="PHK24" s="64"/>
      <c r="PHL24" s="64"/>
      <c r="PHM24" s="64"/>
      <c r="PHN24" s="64"/>
      <c r="PHO24" s="64"/>
      <c r="PHP24" s="64"/>
      <c r="PHQ24" s="64"/>
      <c r="PHR24" s="64"/>
      <c r="PHS24" s="64"/>
      <c r="PHT24" s="64"/>
      <c r="PHU24" s="64"/>
      <c r="PHV24" s="64"/>
      <c r="PHW24" s="64"/>
      <c r="PHX24" s="64"/>
      <c r="PHY24" s="64"/>
      <c r="PHZ24" s="64"/>
      <c r="PIA24" s="64"/>
      <c r="PIB24" s="64"/>
      <c r="PIC24" s="64"/>
      <c r="PID24" s="64"/>
      <c r="PIE24" s="64"/>
      <c r="PIF24" s="64"/>
      <c r="PIG24" s="64"/>
      <c r="PIH24" s="64"/>
      <c r="PII24" s="64"/>
      <c r="PIJ24" s="64"/>
      <c r="PIK24" s="64"/>
      <c r="PIL24" s="64"/>
      <c r="PIM24" s="64"/>
      <c r="PIN24" s="64"/>
      <c r="PIO24" s="64"/>
      <c r="PIP24" s="64"/>
      <c r="PIQ24" s="64"/>
      <c r="PIR24" s="64"/>
      <c r="PIS24" s="64"/>
      <c r="PIT24" s="64"/>
      <c r="PIU24" s="64"/>
      <c r="PIV24" s="64"/>
      <c r="PIW24" s="64"/>
      <c r="PIX24" s="64"/>
      <c r="PIY24" s="64"/>
      <c r="PIZ24" s="64"/>
      <c r="PJA24" s="64"/>
      <c r="PJB24" s="64"/>
      <c r="PJC24" s="64"/>
      <c r="PJD24" s="64"/>
      <c r="PJE24" s="64"/>
      <c r="PJF24" s="64"/>
      <c r="PJG24" s="64"/>
      <c r="PJH24" s="64"/>
      <c r="PJI24" s="64"/>
      <c r="PJJ24" s="64"/>
      <c r="PJK24" s="64"/>
      <c r="PJL24" s="64"/>
      <c r="PJM24" s="64"/>
      <c r="PJN24" s="64"/>
      <c r="PJO24" s="64"/>
      <c r="PJP24" s="64"/>
      <c r="PJQ24" s="64"/>
      <c r="PJR24" s="64"/>
      <c r="PJS24" s="64"/>
      <c r="PJT24" s="64"/>
      <c r="PJU24" s="64"/>
      <c r="PJV24" s="64"/>
      <c r="PJW24" s="64"/>
      <c r="PJX24" s="64"/>
      <c r="PJY24" s="64"/>
      <c r="PJZ24" s="64"/>
      <c r="PKA24" s="64"/>
      <c r="PKB24" s="64"/>
      <c r="PKC24" s="64"/>
      <c r="PKD24" s="64"/>
      <c r="PKE24" s="64"/>
      <c r="PKF24" s="64"/>
      <c r="PKG24" s="64"/>
      <c r="PKH24" s="64"/>
      <c r="PKI24" s="64"/>
      <c r="PKJ24" s="64"/>
      <c r="PKK24" s="64"/>
      <c r="PKL24" s="64"/>
      <c r="PKM24" s="64"/>
      <c r="PKN24" s="64"/>
      <c r="PKO24" s="64"/>
      <c r="PKP24" s="64"/>
      <c r="PKQ24" s="64"/>
      <c r="PKR24" s="64"/>
      <c r="PKS24" s="64"/>
      <c r="PKT24" s="64"/>
      <c r="PKU24" s="64"/>
      <c r="PKV24" s="64"/>
      <c r="PKW24" s="64"/>
      <c r="PKX24" s="64"/>
      <c r="PKY24" s="64"/>
      <c r="PKZ24" s="64"/>
      <c r="PLA24" s="64"/>
      <c r="PLB24" s="64"/>
      <c r="PLC24" s="64"/>
      <c r="PLD24" s="64"/>
      <c r="PLE24" s="64"/>
      <c r="PLF24" s="64"/>
      <c r="PLG24" s="64"/>
      <c r="PLH24" s="64"/>
      <c r="PLI24" s="64"/>
      <c r="PLJ24" s="64"/>
      <c r="PLK24" s="64"/>
      <c r="PLL24" s="64"/>
      <c r="PLM24" s="64"/>
      <c r="PLN24" s="64"/>
      <c r="PLO24" s="64"/>
      <c r="PLP24" s="64"/>
      <c r="PLQ24" s="64"/>
      <c r="PLR24" s="64"/>
      <c r="PLS24" s="64"/>
      <c r="PLT24" s="64"/>
      <c r="PLU24" s="64"/>
      <c r="PLV24" s="64"/>
      <c r="PLW24" s="64"/>
      <c r="PLX24" s="64"/>
      <c r="PLY24" s="64"/>
      <c r="PLZ24" s="64"/>
      <c r="PMA24" s="64"/>
      <c r="PMB24" s="64"/>
      <c r="PMC24" s="64"/>
      <c r="PMD24" s="64"/>
      <c r="PME24" s="64"/>
      <c r="PMF24" s="64"/>
      <c r="PMG24" s="64"/>
      <c r="PMH24" s="64"/>
      <c r="PMI24" s="64"/>
      <c r="PMJ24" s="64"/>
      <c r="PMK24" s="64"/>
      <c r="PML24" s="64"/>
      <c r="PMM24" s="64"/>
      <c r="PMN24" s="64"/>
      <c r="PMO24" s="64"/>
      <c r="PMP24" s="64"/>
      <c r="PMQ24" s="64"/>
      <c r="PMR24" s="64"/>
      <c r="PMS24" s="64"/>
      <c r="PMT24" s="64"/>
      <c r="PMU24" s="64"/>
      <c r="PMV24" s="64"/>
      <c r="PMW24" s="64"/>
      <c r="PMX24" s="64"/>
      <c r="PMY24" s="64"/>
      <c r="PMZ24" s="64"/>
      <c r="PNA24" s="64"/>
      <c r="PNB24" s="64"/>
      <c r="PNC24" s="64"/>
      <c r="PND24" s="64"/>
      <c r="PNE24" s="64"/>
      <c r="PNF24" s="64"/>
      <c r="PNG24" s="64"/>
      <c r="PNH24" s="64"/>
      <c r="PNI24" s="64"/>
      <c r="PNJ24" s="64"/>
      <c r="PNK24" s="64"/>
      <c r="PNL24" s="64"/>
      <c r="PNM24" s="64"/>
      <c r="PNN24" s="64"/>
      <c r="PNO24" s="64"/>
      <c r="PNP24" s="64"/>
      <c r="PNQ24" s="64"/>
      <c r="PNR24" s="64"/>
      <c r="PNS24" s="64"/>
      <c r="PNT24" s="64"/>
      <c r="PNU24" s="64"/>
      <c r="PNV24" s="64"/>
      <c r="PNW24" s="64"/>
      <c r="PNX24" s="64"/>
      <c r="PNY24" s="64"/>
      <c r="PNZ24" s="64"/>
      <c r="POA24" s="64"/>
      <c r="POB24" s="64"/>
      <c r="POC24" s="64"/>
      <c r="POD24" s="64"/>
      <c r="POE24" s="64"/>
      <c r="POF24" s="64"/>
      <c r="POG24" s="64"/>
      <c r="POH24" s="64"/>
      <c r="POI24" s="64"/>
      <c r="POJ24" s="64"/>
      <c r="POK24" s="64"/>
      <c r="POL24" s="64"/>
      <c r="POM24" s="64"/>
      <c r="PON24" s="64"/>
      <c r="POO24" s="64"/>
      <c r="POP24" s="64"/>
      <c r="POQ24" s="64"/>
      <c r="POR24" s="64"/>
      <c r="POS24" s="64"/>
      <c r="POT24" s="64"/>
      <c r="POU24" s="64"/>
      <c r="POV24" s="64"/>
      <c r="POW24" s="64"/>
      <c r="POX24" s="64"/>
      <c r="POY24" s="64"/>
      <c r="POZ24" s="64"/>
      <c r="PPA24" s="64"/>
      <c r="PPB24" s="64"/>
      <c r="PPC24" s="64"/>
      <c r="PPD24" s="64"/>
      <c r="PPE24" s="64"/>
      <c r="PPF24" s="64"/>
      <c r="PPG24" s="64"/>
      <c r="PPH24" s="64"/>
      <c r="PPI24" s="64"/>
      <c r="PPJ24" s="64"/>
      <c r="PPK24" s="64"/>
      <c r="PPL24" s="64"/>
      <c r="PPM24" s="64"/>
      <c r="PPN24" s="64"/>
      <c r="PPO24" s="64"/>
      <c r="PPP24" s="64"/>
      <c r="PPQ24" s="64"/>
      <c r="PPR24" s="64"/>
      <c r="PPS24" s="64"/>
      <c r="PPT24" s="64"/>
      <c r="PPU24" s="64"/>
      <c r="PPV24" s="64"/>
      <c r="PPW24" s="64"/>
      <c r="PPX24" s="64"/>
      <c r="PPY24" s="64"/>
      <c r="PPZ24" s="64"/>
      <c r="PQA24" s="64"/>
      <c r="PQB24" s="64"/>
      <c r="PQC24" s="64"/>
      <c r="PQD24" s="64"/>
      <c r="PQE24" s="64"/>
      <c r="PQF24" s="64"/>
      <c r="PQG24" s="64"/>
      <c r="PQH24" s="64"/>
      <c r="PQI24" s="64"/>
      <c r="PQJ24" s="64"/>
      <c r="PQK24" s="64"/>
      <c r="PQL24" s="64"/>
      <c r="PQM24" s="64"/>
      <c r="PQN24" s="64"/>
      <c r="PQO24" s="64"/>
      <c r="PQP24" s="64"/>
      <c r="PQQ24" s="64"/>
      <c r="PQR24" s="64"/>
      <c r="PQS24" s="64"/>
      <c r="PQT24" s="64"/>
      <c r="PQU24" s="64"/>
      <c r="PQV24" s="64"/>
      <c r="PQW24" s="64"/>
      <c r="PQX24" s="64"/>
      <c r="PQY24" s="64"/>
      <c r="PQZ24" s="64"/>
      <c r="PRA24" s="64"/>
      <c r="PRB24" s="64"/>
      <c r="PRC24" s="64"/>
      <c r="PRD24" s="64"/>
      <c r="PRE24" s="64"/>
      <c r="PRF24" s="64"/>
      <c r="PRG24" s="64"/>
      <c r="PRH24" s="64"/>
      <c r="PRI24" s="64"/>
      <c r="PRJ24" s="64"/>
      <c r="PRK24" s="64"/>
      <c r="PRL24" s="64"/>
      <c r="PRM24" s="64"/>
      <c r="PRN24" s="64"/>
      <c r="PRO24" s="64"/>
      <c r="PRP24" s="64"/>
      <c r="PRQ24" s="64"/>
      <c r="PRR24" s="64"/>
      <c r="PRS24" s="64"/>
      <c r="PRT24" s="64"/>
      <c r="PRU24" s="64"/>
      <c r="PRV24" s="64"/>
      <c r="PRW24" s="64"/>
      <c r="PRX24" s="64"/>
      <c r="PRY24" s="64"/>
      <c r="PRZ24" s="64"/>
      <c r="PSA24" s="64"/>
      <c r="PSB24" s="64"/>
      <c r="PSC24" s="64"/>
      <c r="PSD24" s="64"/>
      <c r="PSE24" s="64"/>
      <c r="PSF24" s="64"/>
      <c r="PSG24" s="64"/>
      <c r="PSH24" s="64"/>
      <c r="PSI24" s="64"/>
      <c r="PSJ24" s="64"/>
      <c r="PSK24" s="64"/>
      <c r="PSL24" s="64"/>
      <c r="PSM24" s="64"/>
      <c r="PSN24" s="64"/>
      <c r="PSO24" s="64"/>
      <c r="PSP24" s="64"/>
      <c r="PSQ24" s="64"/>
      <c r="PSR24" s="64"/>
      <c r="PSS24" s="64"/>
      <c r="PST24" s="64"/>
      <c r="PSU24" s="64"/>
      <c r="PSV24" s="64"/>
      <c r="PSW24" s="64"/>
      <c r="PSX24" s="64"/>
      <c r="PSY24" s="64"/>
      <c r="PSZ24" s="64"/>
      <c r="PTA24" s="64"/>
      <c r="PTB24" s="64"/>
      <c r="PTC24" s="64"/>
      <c r="PTD24" s="64"/>
      <c r="PTE24" s="64"/>
      <c r="PTF24" s="64"/>
      <c r="PTG24" s="64"/>
      <c r="PTH24" s="64"/>
      <c r="PTI24" s="64"/>
      <c r="PTJ24" s="64"/>
      <c r="PTK24" s="64"/>
      <c r="PTL24" s="64"/>
      <c r="PTM24" s="64"/>
      <c r="PTN24" s="64"/>
      <c r="PTO24" s="64"/>
      <c r="PTP24" s="64"/>
      <c r="PTQ24" s="64"/>
      <c r="PTR24" s="64"/>
      <c r="PTS24" s="64"/>
      <c r="PTT24" s="64"/>
      <c r="PTU24" s="64"/>
      <c r="PTV24" s="64"/>
      <c r="PTW24" s="64"/>
      <c r="PTX24" s="64"/>
      <c r="PTY24" s="64"/>
      <c r="PTZ24" s="64"/>
      <c r="PUA24" s="64"/>
      <c r="PUB24" s="64"/>
      <c r="PUC24" s="64"/>
      <c r="PUD24" s="64"/>
      <c r="PUE24" s="64"/>
      <c r="PUF24" s="64"/>
      <c r="PUG24" s="64"/>
      <c r="PUH24" s="64"/>
      <c r="PUI24" s="64"/>
      <c r="PUJ24" s="64"/>
      <c r="PUK24" s="64"/>
      <c r="PUL24" s="64"/>
      <c r="PUM24" s="64"/>
      <c r="PUN24" s="64"/>
      <c r="PUO24" s="64"/>
      <c r="PUP24" s="64"/>
      <c r="PUQ24" s="64"/>
      <c r="PUR24" s="64"/>
      <c r="PUS24" s="64"/>
      <c r="PUT24" s="64"/>
      <c r="PUU24" s="64"/>
      <c r="PUV24" s="64"/>
      <c r="PUW24" s="64"/>
      <c r="PUX24" s="64"/>
      <c r="PUY24" s="64"/>
      <c r="PUZ24" s="64"/>
      <c r="PVA24" s="64"/>
      <c r="PVB24" s="64"/>
      <c r="PVC24" s="64"/>
      <c r="PVD24" s="64"/>
      <c r="PVE24" s="64"/>
      <c r="PVF24" s="64"/>
      <c r="PVG24" s="64"/>
      <c r="PVH24" s="64"/>
      <c r="PVI24" s="64"/>
      <c r="PVJ24" s="64"/>
      <c r="PVK24" s="64"/>
      <c r="PVL24" s="64"/>
      <c r="PVM24" s="64"/>
      <c r="PVN24" s="64"/>
      <c r="PVO24" s="64"/>
      <c r="PVP24" s="64"/>
      <c r="PVQ24" s="64"/>
      <c r="PVR24" s="64"/>
      <c r="PVS24" s="64"/>
      <c r="PVT24" s="64"/>
      <c r="PVU24" s="64"/>
      <c r="PVV24" s="64"/>
      <c r="PVW24" s="64"/>
      <c r="PVX24" s="64"/>
      <c r="PVY24" s="64"/>
      <c r="PVZ24" s="64"/>
      <c r="PWA24" s="64"/>
      <c r="PWB24" s="64"/>
      <c r="PWC24" s="64"/>
      <c r="PWD24" s="64"/>
      <c r="PWE24" s="64"/>
      <c r="PWF24" s="64"/>
      <c r="PWG24" s="64"/>
      <c r="PWH24" s="64"/>
      <c r="PWI24" s="64"/>
      <c r="PWJ24" s="64"/>
      <c r="PWK24" s="64"/>
      <c r="PWL24" s="64"/>
      <c r="PWM24" s="64"/>
      <c r="PWN24" s="64"/>
      <c r="PWO24" s="64"/>
      <c r="PWP24" s="64"/>
      <c r="PWQ24" s="64"/>
      <c r="PWR24" s="64"/>
      <c r="PWS24" s="64"/>
      <c r="PWT24" s="64"/>
      <c r="PWU24" s="64"/>
      <c r="PWV24" s="64"/>
      <c r="PWW24" s="64"/>
      <c r="PWX24" s="64"/>
      <c r="PWY24" s="64"/>
      <c r="PWZ24" s="64"/>
      <c r="PXA24" s="64"/>
      <c r="PXB24" s="64"/>
      <c r="PXC24" s="64"/>
      <c r="PXD24" s="64"/>
      <c r="PXE24" s="64"/>
      <c r="PXF24" s="64"/>
      <c r="PXG24" s="64"/>
      <c r="PXH24" s="64"/>
      <c r="PXI24" s="64"/>
      <c r="PXJ24" s="64"/>
      <c r="PXK24" s="64"/>
      <c r="PXL24" s="64"/>
      <c r="PXM24" s="64"/>
      <c r="PXN24" s="64"/>
      <c r="PXO24" s="64"/>
      <c r="PXP24" s="64"/>
      <c r="PXQ24" s="64"/>
      <c r="PXR24" s="64"/>
      <c r="PXS24" s="64"/>
      <c r="PXT24" s="64"/>
      <c r="PXU24" s="64"/>
      <c r="PXV24" s="64"/>
      <c r="PXW24" s="64"/>
      <c r="PXX24" s="64"/>
      <c r="PXY24" s="64"/>
      <c r="PXZ24" s="64"/>
      <c r="PYA24" s="64"/>
      <c r="PYB24" s="64"/>
      <c r="PYC24" s="64"/>
      <c r="PYD24" s="64"/>
      <c r="PYE24" s="64"/>
      <c r="PYF24" s="64"/>
      <c r="PYG24" s="64"/>
      <c r="PYH24" s="64"/>
      <c r="PYI24" s="64"/>
      <c r="PYJ24" s="64"/>
      <c r="PYK24" s="64"/>
      <c r="PYL24" s="64"/>
      <c r="PYM24" s="64"/>
      <c r="PYN24" s="64"/>
      <c r="PYO24" s="64"/>
      <c r="PYP24" s="64"/>
      <c r="PYQ24" s="64"/>
      <c r="PYR24" s="64"/>
      <c r="PYS24" s="64"/>
      <c r="PYT24" s="64"/>
      <c r="PYU24" s="64"/>
      <c r="PYV24" s="64"/>
      <c r="PYW24" s="64"/>
      <c r="PYX24" s="64"/>
      <c r="PYY24" s="64"/>
      <c r="PYZ24" s="64"/>
      <c r="PZA24" s="64"/>
      <c r="PZB24" s="64"/>
      <c r="PZC24" s="64"/>
      <c r="PZD24" s="64"/>
      <c r="PZE24" s="64"/>
      <c r="PZF24" s="64"/>
      <c r="PZG24" s="64"/>
      <c r="PZH24" s="64"/>
      <c r="PZI24" s="64"/>
      <c r="PZJ24" s="64"/>
      <c r="PZK24" s="64"/>
      <c r="PZL24" s="64"/>
      <c r="PZM24" s="64"/>
      <c r="PZN24" s="64"/>
      <c r="PZO24" s="64"/>
      <c r="PZP24" s="64"/>
      <c r="PZQ24" s="64"/>
      <c r="PZR24" s="64"/>
      <c r="PZS24" s="64"/>
      <c r="PZT24" s="64"/>
      <c r="PZU24" s="64"/>
      <c r="PZV24" s="64"/>
      <c r="PZW24" s="64"/>
      <c r="PZX24" s="64"/>
      <c r="PZY24" s="64"/>
      <c r="PZZ24" s="64"/>
      <c r="QAA24" s="64"/>
      <c r="QAB24" s="64"/>
      <c r="QAC24" s="64"/>
      <c r="QAD24" s="64"/>
      <c r="QAE24" s="64"/>
      <c r="QAF24" s="64"/>
      <c r="QAG24" s="64"/>
      <c r="QAH24" s="64"/>
      <c r="QAI24" s="64"/>
      <c r="QAJ24" s="64"/>
      <c r="QAK24" s="64"/>
      <c r="QAL24" s="64"/>
      <c r="QAM24" s="64"/>
      <c r="QAN24" s="64"/>
      <c r="QAO24" s="64"/>
      <c r="QAP24" s="64"/>
      <c r="QAQ24" s="64"/>
      <c r="QAR24" s="64"/>
      <c r="QAS24" s="64"/>
      <c r="QAT24" s="64"/>
      <c r="QAU24" s="64"/>
      <c r="QAV24" s="64"/>
      <c r="QAW24" s="64"/>
      <c r="QAX24" s="64"/>
      <c r="QAY24" s="64"/>
      <c r="QAZ24" s="64"/>
      <c r="QBA24" s="64"/>
      <c r="QBB24" s="64"/>
      <c r="QBC24" s="64"/>
      <c r="QBD24" s="64"/>
      <c r="QBE24" s="64"/>
      <c r="QBF24" s="64"/>
      <c r="QBG24" s="64"/>
      <c r="QBH24" s="64"/>
      <c r="QBI24" s="64"/>
      <c r="QBJ24" s="64"/>
      <c r="QBK24" s="64"/>
      <c r="QBL24" s="64"/>
      <c r="QBM24" s="64"/>
      <c r="QBN24" s="64"/>
      <c r="QBO24" s="64"/>
      <c r="QBP24" s="64"/>
      <c r="QBQ24" s="64"/>
      <c r="QBR24" s="64"/>
      <c r="QBS24" s="64"/>
      <c r="QBT24" s="64"/>
      <c r="QBU24" s="64"/>
      <c r="QBV24" s="64"/>
      <c r="QBW24" s="64"/>
      <c r="QBX24" s="64"/>
      <c r="QBY24" s="64"/>
      <c r="QBZ24" s="64"/>
      <c r="QCA24" s="64"/>
      <c r="QCB24" s="64"/>
      <c r="QCC24" s="64"/>
      <c r="QCD24" s="64"/>
      <c r="QCE24" s="64"/>
      <c r="QCF24" s="64"/>
      <c r="QCG24" s="64"/>
      <c r="QCH24" s="64"/>
      <c r="QCI24" s="64"/>
      <c r="QCJ24" s="64"/>
      <c r="QCK24" s="64"/>
      <c r="QCL24" s="64"/>
      <c r="QCM24" s="64"/>
      <c r="QCN24" s="64"/>
      <c r="QCO24" s="64"/>
      <c r="QCP24" s="64"/>
      <c r="QCQ24" s="64"/>
      <c r="QCR24" s="64"/>
      <c r="QCS24" s="64"/>
      <c r="QCT24" s="64"/>
      <c r="QCU24" s="64"/>
      <c r="QCV24" s="64"/>
      <c r="QCW24" s="64"/>
      <c r="QCX24" s="64"/>
      <c r="QCY24" s="64"/>
      <c r="QCZ24" s="64"/>
      <c r="QDA24" s="64"/>
      <c r="QDB24" s="64"/>
      <c r="QDC24" s="64"/>
      <c r="QDD24" s="64"/>
      <c r="QDE24" s="64"/>
      <c r="QDF24" s="64"/>
      <c r="QDG24" s="64"/>
      <c r="QDH24" s="64"/>
      <c r="QDI24" s="64"/>
      <c r="QDJ24" s="64"/>
      <c r="QDK24" s="64"/>
      <c r="QDL24" s="64"/>
      <c r="QDM24" s="64"/>
      <c r="QDN24" s="64"/>
      <c r="QDO24" s="64"/>
      <c r="QDP24" s="64"/>
      <c r="QDQ24" s="64"/>
      <c r="QDR24" s="64"/>
      <c r="QDS24" s="64"/>
      <c r="QDT24" s="64"/>
      <c r="QDU24" s="64"/>
      <c r="QDV24" s="64"/>
      <c r="QDW24" s="64"/>
      <c r="QDX24" s="64"/>
      <c r="QDY24" s="64"/>
      <c r="QDZ24" s="64"/>
      <c r="QEA24" s="64"/>
      <c r="QEB24" s="64"/>
      <c r="QEC24" s="64"/>
      <c r="QED24" s="64"/>
      <c r="QEE24" s="64"/>
      <c r="QEF24" s="64"/>
      <c r="QEG24" s="64"/>
      <c r="QEH24" s="64"/>
      <c r="QEI24" s="64"/>
      <c r="QEJ24" s="64"/>
      <c r="QEK24" s="64"/>
      <c r="QEL24" s="64"/>
      <c r="QEM24" s="64"/>
      <c r="QEN24" s="64"/>
      <c r="QEO24" s="64"/>
      <c r="QEP24" s="64"/>
      <c r="QEQ24" s="64"/>
      <c r="QER24" s="64"/>
      <c r="QES24" s="64"/>
      <c r="QET24" s="64"/>
      <c r="QEU24" s="64"/>
      <c r="QEV24" s="64"/>
      <c r="QEW24" s="64"/>
      <c r="QEX24" s="64"/>
      <c r="QEY24" s="64"/>
      <c r="QEZ24" s="64"/>
      <c r="QFA24" s="64"/>
      <c r="QFB24" s="64"/>
      <c r="QFC24" s="64"/>
      <c r="QFD24" s="64"/>
      <c r="QFE24" s="64"/>
      <c r="QFF24" s="64"/>
      <c r="QFG24" s="64"/>
      <c r="QFH24" s="64"/>
      <c r="QFI24" s="64"/>
      <c r="QFJ24" s="64"/>
      <c r="QFK24" s="64"/>
      <c r="QFL24" s="64"/>
      <c r="QFM24" s="64"/>
      <c r="QFN24" s="64"/>
      <c r="QFO24" s="64"/>
      <c r="QFP24" s="64"/>
      <c r="QFQ24" s="64"/>
      <c r="QFR24" s="64"/>
      <c r="QFS24" s="64"/>
      <c r="QFT24" s="64"/>
      <c r="QFU24" s="64"/>
      <c r="QFV24" s="64"/>
      <c r="QFW24" s="64"/>
      <c r="QFX24" s="64"/>
      <c r="QFY24" s="64"/>
      <c r="QFZ24" s="64"/>
      <c r="QGA24" s="64"/>
      <c r="QGB24" s="64"/>
      <c r="QGC24" s="64"/>
      <c r="QGD24" s="64"/>
      <c r="QGE24" s="64"/>
      <c r="QGF24" s="64"/>
      <c r="QGG24" s="64"/>
      <c r="QGH24" s="64"/>
      <c r="QGI24" s="64"/>
      <c r="QGJ24" s="64"/>
      <c r="QGK24" s="64"/>
      <c r="QGL24" s="64"/>
      <c r="QGM24" s="64"/>
      <c r="QGN24" s="64"/>
      <c r="QGO24" s="64"/>
      <c r="QGP24" s="64"/>
      <c r="QGQ24" s="64"/>
      <c r="QGR24" s="64"/>
      <c r="QGS24" s="64"/>
      <c r="QGT24" s="64"/>
      <c r="QGU24" s="64"/>
      <c r="QGV24" s="64"/>
      <c r="QGW24" s="64"/>
      <c r="QGX24" s="64"/>
      <c r="QGY24" s="64"/>
      <c r="QGZ24" s="64"/>
      <c r="QHA24" s="64"/>
      <c r="QHB24" s="64"/>
      <c r="QHC24" s="64"/>
      <c r="QHD24" s="64"/>
      <c r="QHE24" s="64"/>
      <c r="QHF24" s="64"/>
      <c r="QHG24" s="64"/>
      <c r="QHH24" s="64"/>
      <c r="QHI24" s="64"/>
      <c r="QHJ24" s="64"/>
      <c r="QHK24" s="64"/>
      <c r="QHL24" s="64"/>
      <c r="QHM24" s="64"/>
      <c r="QHN24" s="64"/>
      <c r="QHO24" s="64"/>
      <c r="QHP24" s="64"/>
      <c r="QHQ24" s="64"/>
      <c r="QHR24" s="64"/>
      <c r="QHS24" s="64"/>
      <c r="QHT24" s="64"/>
      <c r="QHU24" s="64"/>
      <c r="QHV24" s="64"/>
      <c r="QHW24" s="64"/>
      <c r="QHX24" s="64"/>
      <c r="QHY24" s="64"/>
      <c r="QHZ24" s="64"/>
      <c r="QIA24" s="64"/>
      <c r="QIB24" s="64"/>
      <c r="QIC24" s="64"/>
      <c r="QID24" s="64"/>
      <c r="QIE24" s="64"/>
      <c r="QIF24" s="64"/>
      <c r="QIG24" s="64"/>
      <c r="QIH24" s="64"/>
      <c r="QII24" s="64"/>
      <c r="QIJ24" s="64"/>
      <c r="QIK24" s="64"/>
      <c r="QIL24" s="64"/>
      <c r="QIM24" s="64"/>
      <c r="QIN24" s="64"/>
      <c r="QIO24" s="64"/>
      <c r="QIP24" s="64"/>
      <c r="QIQ24" s="64"/>
      <c r="QIR24" s="64"/>
      <c r="QIS24" s="64"/>
      <c r="QIT24" s="64"/>
      <c r="QIU24" s="64"/>
      <c r="QIV24" s="64"/>
      <c r="QIW24" s="64"/>
      <c r="QIX24" s="64"/>
      <c r="QIY24" s="64"/>
      <c r="QIZ24" s="64"/>
      <c r="QJA24" s="64"/>
      <c r="QJB24" s="64"/>
      <c r="QJC24" s="64"/>
      <c r="QJD24" s="64"/>
      <c r="QJE24" s="64"/>
      <c r="QJF24" s="64"/>
      <c r="QJG24" s="64"/>
      <c r="QJH24" s="64"/>
      <c r="QJI24" s="64"/>
      <c r="QJJ24" s="64"/>
      <c r="QJK24" s="64"/>
      <c r="QJL24" s="64"/>
      <c r="QJM24" s="64"/>
      <c r="QJN24" s="64"/>
      <c r="QJO24" s="64"/>
      <c r="QJP24" s="64"/>
      <c r="QJQ24" s="64"/>
      <c r="QJR24" s="64"/>
      <c r="QJS24" s="64"/>
      <c r="QJT24" s="64"/>
      <c r="QJU24" s="64"/>
      <c r="QJV24" s="64"/>
      <c r="QJW24" s="64"/>
      <c r="QJX24" s="64"/>
      <c r="QJY24" s="64"/>
      <c r="QJZ24" s="64"/>
      <c r="QKA24" s="64"/>
      <c r="QKB24" s="64"/>
      <c r="QKC24" s="64"/>
      <c r="QKD24" s="64"/>
      <c r="QKE24" s="64"/>
      <c r="QKF24" s="64"/>
      <c r="QKG24" s="64"/>
      <c r="QKH24" s="64"/>
      <c r="QKI24" s="64"/>
      <c r="QKJ24" s="64"/>
      <c r="QKK24" s="64"/>
      <c r="QKL24" s="64"/>
      <c r="QKM24" s="64"/>
      <c r="QKN24" s="64"/>
      <c r="QKO24" s="64"/>
      <c r="QKP24" s="64"/>
      <c r="QKQ24" s="64"/>
      <c r="QKR24" s="64"/>
      <c r="QKS24" s="64"/>
      <c r="QKT24" s="64"/>
      <c r="QKU24" s="64"/>
      <c r="QKV24" s="64"/>
      <c r="QKW24" s="64"/>
      <c r="QKX24" s="64"/>
      <c r="QKY24" s="64"/>
      <c r="QKZ24" s="64"/>
      <c r="QLA24" s="64"/>
      <c r="QLB24" s="64"/>
      <c r="QLC24" s="64"/>
      <c r="QLD24" s="64"/>
      <c r="QLE24" s="64"/>
      <c r="QLF24" s="64"/>
      <c r="QLG24" s="64"/>
      <c r="QLH24" s="64"/>
      <c r="QLI24" s="64"/>
      <c r="QLJ24" s="64"/>
      <c r="QLK24" s="64"/>
      <c r="QLL24" s="64"/>
      <c r="QLM24" s="64"/>
      <c r="QLN24" s="64"/>
      <c r="QLO24" s="64"/>
      <c r="QLP24" s="64"/>
      <c r="QLQ24" s="64"/>
      <c r="QLR24" s="64"/>
      <c r="QLS24" s="64"/>
      <c r="QLT24" s="64"/>
      <c r="QLU24" s="64"/>
      <c r="QLV24" s="64"/>
      <c r="QLW24" s="64"/>
      <c r="QLX24" s="64"/>
      <c r="QLY24" s="64"/>
      <c r="QLZ24" s="64"/>
      <c r="QMA24" s="64"/>
      <c r="QMB24" s="64"/>
      <c r="QMC24" s="64"/>
      <c r="QMD24" s="64"/>
      <c r="QME24" s="64"/>
      <c r="QMF24" s="64"/>
      <c r="QMG24" s="64"/>
      <c r="QMH24" s="64"/>
      <c r="QMI24" s="64"/>
      <c r="QMJ24" s="64"/>
      <c r="QMK24" s="64"/>
      <c r="QML24" s="64"/>
      <c r="QMM24" s="64"/>
      <c r="QMN24" s="64"/>
      <c r="QMO24" s="64"/>
      <c r="QMP24" s="64"/>
      <c r="QMQ24" s="64"/>
      <c r="QMR24" s="64"/>
      <c r="QMS24" s="64"/>
      <c r="QMT24" s="64"/>
      <c r="QMU24" s="64"/>
      <c r="QMV24" s="64"/>
      <c r="QMW24" s="64"/>
      <c r="QMX24" s="64"/>
      <c r="QMY24" s="64"/>
      <c r="QMZ24" s="64"/>
      <c r="QNA24" s="64"/>
      <c r="QNB24" s="64"/>
      <c r="QNC24" s="64"/>
      <c r="QND24" s="64"/>
      <c r="QNE24" s="64"/>
      <c r="QNF24" s="64"/>
      <c r="QNG24" s="64"/>
      <c r="QNH24" s="64"/>
      <c r="QNI24" s="64"/>
      <c r="QNJ24" s="64"/>
      <c r="QNK24" s="64"/>
      <c r="QNL24" s="64"/>
      <c r="QNM24" s="64"/>
      <c r="QNN24" s="64"/>
      <c r="QNO24" s="64"/>
      <c r="QNP24" s="64"/>
      <c r="QNQ24" s="64"/>
      <c r="QNR24" s="64"/>
      <c r="QNS24" s="64"/>
      <c r="QNT24" s="64"/>
      <c r="QNU24" s="64"/>
      <c r="QNV24" s="64"/>
      <c r="QNW24" s="64"/>
      <c r="QNX24" s="64"/>
      <c r="QNY24" s="64"/>
      <c r="QNZ24" s="64"/>
      <c r="QOA24" s="64"/>
      <c r="QOB24" s="64"/>
      <c r="QOC24" s="64"/>
      <c r="QOD24" s="64"/>
      <c r="QOE24" s="64"/>
      <c r="QOF24" s="64"/>
      <c r="QOG24" s="64"/>
      <c r="QOH24" s="64"/>
      <c r="QOI24" s="64"/>
      <c r="QOJ24" s="64"/>
      <c r="QOK24" s="64"/>
      <c r="QOL24" s="64"/>
      <c r="QOM24" s="64"/>
      <c r="QON24" s="64"/>
      <c r="QOO24" s="64"/>
      <c r="QOP24" s="64"/>
      <c r="QOQ24" s="64"/>
      <c r="QOR24" s="64"/>
      <c r="QOS24" s="64"/>
      <c r="QOT24" s="64"/>
      <c r="QOU24" s="64"/>
      <c r="QOV24" s="64"/>
      <c r="QOW24" s="64"/>
      <c r="QOX24" s="64"/>
      <c r="QOY24" s="64"/>
      <c r="QOZ24" s="64"/>
      <c r="QPA24" s="64"/>
      <c r="QPB24" s="64"/>
      <c r="QPC24" s="64"/>
      <c r="QPD24" s="64"/>
      <c r="QPE24" s="64"/>
      <c r="QPF24" s="64"/>
      <c r="QPG24" s="64"/>
      <c r="QPH24" s="64"/>
      <c r="QPI24" s="64"/>
      <c r="QPJ24" s="64"/>
      <c r="QPK24" s="64"/>
      <c r="QPL24" s="64"/>
      <c r="QPM24" s="64"/>
      <c r="QPN24" s="64"/>
      <c r="QPO24" s="64"/>
      <c r="QPP24" s="64"/>
      <c r="QPQ24" s="64"/>
      <c r="QPR24" s="64"/>
      <c r="QPS24" s="64"/>
      <c r="QPT24" s="64"/>
      <c r="QPU24" s="64"/>
      <c r="QPV24" s="64"/>
      <c r="QPW24" s="64"/>
      <c r="QPX24" s="64"/>
      <c r="QPY24" s="64"/>
      <c r="QPZ24" s="64"/>
      <c r="QQA24" s="64"/>
      <c r="QQB24" s="64"/>
      <c r="QQC24" s="64"/>
      <c r="QQD24" s="64"/>
      <c r="QQE24" s="64"/>
      <c r="QQF24" s="64"/>
      <c r="QQG24" s="64"/>
      <c r="QQH24" s="64"/>
      <c r="QQI24" s="64"/>
      <c r="QQJ24" s="64"/>
      <c r="QQK24" s="64"/>
      <c r="QQL24" s="64"/>
      <c r="QQM24" s="64"/>
      <c r="QQN24" s="64"/>
      <c r="QQO24" s="64"/>
      <c r="QQP24" s="64"/>
      <c r="QQQ24" s="64"/>
      <c r="QQR24" s="64"/>
      <c r="QQS24" s="64"/>
      <c r="QQT24" s="64"/>
      <c r="QQU24" s="64"/>
      <c r="QQV24" s="64"/>
      <c r="QQW24" s="64"/>
      <c r="QQX24" s="64"/>
      <c r="QQY24" s="64"/>
      <c r="QQZ24" s="64"/>
      <c r="QRA24" s="64"/>
      <c r="QRB24" s="64"/>
      <c r="QRC24" s="64"/>
      <c r="QRD24" s="64"/>
      <c r="QRE24" s="64"/>
      <c r="QRF24" s="64"/>
      <c r="QRG24" s="64"/>
      <c r="QRH24" s="64"/>
      <c r="QRI24" s="64"/>
      <c r="QRJ24" s="64"/>
      <c r="QRK24" s="64"/>
      <c r="QRL24" s="64"/>
      <c r="QRM24" s="64"/>
      <c r="QRN24" s="64"/>
      <c r="QRO24" s="64"/>
      <c r="QRP24" s="64"/>
      <c r="QRQ24" s="64"/>
      <c r="QRR24" s="64"/>
      <c r="QRS24" s="64"/>
      <c r="QRT24" s="64"/>
      <c r="QRU24" s="64"/>
      <c r="QRV24" s="64"/>
      <c r="QRW24" s="64"/>
      <c r="QRX24" s="64"/>
      <c r="QRY24" s="64"/>
      <c r="QRZ24" s="64"/>
      <c r="QSA24" s="64"/>
      <c r="QSB24" s="64"/>
      <c r="QSC24" s="64"/>
      <c r="QSD24" s="64"/>
      <c r="QSE24" s="64"/>
      <c r="QSF24" s="64"/>
      <c r="QSG24" s="64"/>
      <c r="QSH24" s="64"/>
      <c r="QSI24" s="64"/>
      <c r="QSJ24" s="64"/>
      <c r="QSK24" s="64"/>
      <c r="QSL24" s="64"/>
      <c r="QSM24" s="64"/>
      <c r="QSN24" s="64"/>
      <c r="QSO24" s="64"/>
      <c r="QSP24" s="64"/>
      <c r="QSQ24" s="64"/>
      <c r="QSR24" s="64"/>
      <c r="QSS24" s="64"/>
      <c r="QST24" s="64"/>
      <c r="QSU24" s="64"/>
      <c r="QSV24" s="64"/>
      <c r="QSW24" s="64"/>
      <c r="QSX24" s="64"/>
      <c r="QSY24" s="64"/>
      <c r="QSZ24" s="64"/>
      <c r="QTA24" s="64"/>
      <c r="QTB24" s="64"/>
      <c r="QTC24" s="64"/>
      <c r="QTD24" s="64"/>
      <c r="QTE24" s="64"/>
      <c r="QTF24" s="64"/>
      <c r="QTG24" s="64"/>
      <c r="QTH24" s="64"/>
      <c r="QTI24" s="64"/>
      <c r="QTJ24" s="64"/>
      <c r="QTK24" s="64"/>
      <c r="QTL24" s="64"/>
      <c r="QTM24" s="64"/>
      <c r="QTN24" s="64"/>
      <c r="QTO24" s="64"/>
      <c r="QTP24" s="64"/>
      <c r="QTQ24" s="64"/>
      <c r="QTR24" s="64"/>
      <c r="QTS24" s="64"/>
      <c r="QTT24" s="64"/>
      <c r="QTU24" s="64"/>
      <c r="QTV24" s="64"/>
      <c r="QTW24" s="64"/>
      <c r="QTX24" s="64"/>
      <c r="QTY24" s="64"/>
      <c r="QTZ24" s="64"/>
      <c r="QUA24" s="64"/>
      <c r="QUB24" s="64"/>
      <c r="QUC24" s="64"/>
      <c r="QUD24" s="64"/>
      <c r="QUE24" s="64"/>
      <c r="QUF24" s="64"/>
      <c r="QUG24" s="64"/>
      <c r="QUH24" s="64"/>
      <c r="QUI24" s="64"/>
      <c r="QUJ24" s="64"/>
      <c r="QUK24" s="64"/>
      <c r="QUL24" s="64"/>
      <c r="QUM24" s="64"/>
      <c r="QUN24" s="64"/>
      <c r="QUO24" s="64"/>
      <c r="QUP24" s="64"/>
      <c r="QUQ24" s="64"/>
      <c r="QUR24" s="64"/>
      <c r="QUS24" s="64"/>
      <c r="QUT24" s="64"/>
      <c r="QUU24" s="64"/>
      <c r="QUV24" s="64"/>
      <c r="QUW24" s="64"/>
      <c r="QUX24" s="64"/>
      <c r="QUY24" s="64"/>
      <c r="QUZ24" s="64"/>
      <c r="QVA24" s="64"/>
      <c r="QVB24" s="64"/>
      <c r="QVC24" s="64"/>
      <c r="QVD24" s="64"/>
      <c r="QVE24" s="64"/>
      <c r="QVF24" s="64"/>
      <c r="QVG24" s="64"/>
      <c r="QVH24" s="64"/>
      <c r="QVI24" s="64"/>
      <c r="QVJ24" s="64"/>
      <c r="QVK24" s="64"/>
      <c r="QVL24" s="64"/>
      <c r="QVM24" s="64"/>
      <c r="QVN24" s="64"/>
      <c r="QVO24" s="64"/>
      <c r="QVP24" s="64"/>
      <c r="QVQ24" s="64"/>
      <c r="QVR24" s="64"/>
      <c r="QVS24" s="64"/>
      <c r="QVT24" s="64"/>
      <c r="QVU24" s="64"/>
      <c r="QVV24" s="64"/>
      <c r="QVW24" s="64"/>
      <c r="QVX24" s="64"/>
      <c r="QVY24" s="64"/>
      <c r="QVZ24" s="64"/>
      <c r="QWA24" s="64"/>
      <c r="QWB24" s="64"/>
      <c r="QWC24" s="64"/>
      <c r="QWD24" s="64"/>
      <c r="QWE24" s="64"/>
      <c r="QWF24" s="64"/>
      <c r="QWG24" s="64"/>
      <c r="QWH24" s="64"/>
      <c r="QWI24" s="64"/>
      <c r="QWJ24" s="64"/>
      <c r="QWK24" s="64"/>
      <c r="QWL24" s="64"/>
      <c r="QWM24" s="64"/>
      <c r="QWN24" s="64"/>
      <c r="QWO24" s="64"/>
      <c r="QWP24" s="64"/>
      <c r="QWQ24" s="64"/>
      <c r="QWR24" s="64"/>
      <c r="QWS24" s="64"/>
      <c r="QWT24" s="64"/>
      <c r="QWU24" s="64"/>
      <c r="QWV24" s="64"/>
      <c r="QWW24" s="64"/>
      <c r="QWX24" s="64"/>
      <c r="QWY24" s="64"/>
      <c r="QWZ24" s="64"/>
      <c r="QXA24" s="64"/>
      <c r="QXB24" s="64"/>
      <c r="QXC24" s="64"/>
      <c r="QXD24" s="64"/>
      <c r="QXE24" s="64"/>
      <c r="QXF24" s="64"/>
      <c r="QXG24" s="64"/>
      <c r="QXH24" s="64"/>
      <c r="QXI24" s="64"/>
      <c r="QXJ24" s="64"/>
      <c r="QXK24" s="64"/>
      <c r="QXL24" s="64"/>
      <c r="QXM24" s="64"/>
      <c r="QXN24" s="64"/>
      <c r="QXO24" s="64"/>
      <c r="QXP24" s="64"/>
      <c r="QXQ24" s="64"/>
      <c r="QXR24" s="64"/>
      <c r="QXS24" s="64"/>
      <c r="QXT24" s="64"/>
      <c r="QXU24" s="64"/>
      <c r="QXV24" s="64"/>
      <c r="QXW24" s="64"/>
      <c r="QXX24" s="64"/>
      <c r="QXY24" s="64"/>
      <c r="QXZ24" s="64"/>
      <c r="QYA24" s="64"/>
      <c r="QYB24" s="64"/>
      <c r="QYC24" s="64"/>
      <c r="QYD24" s="64"/>
      <c r="QYE24" s="64"/>
      <c r="QYF24" s="64"/>
      <c r="QYG24" s="64"/>
      <c r="QYH24" s="64"/>
      <c r="QYI24" s="64"/>
      <c r="QYJ24" s="64"/>
      <c r="QYK24" s="64"/>
      <c r="QYL24" s="64"/>
      <c r="QYM24" s="64"/>
      <c r="QYN24" s="64"/>
      <c r="QYO24" s="64"/>
      <c r="QYP24" s="64"/>
      <c r="QYQ24" s="64"/>
      <c r="QYR24" s="64"/>
      <c r="QYS24" s="64"/>
      <c r="QYT24" s="64"/>
      <c r="QYU24" s="64"/>
      <c r="QYV24" s="64"/>
      <c r="QYW24" s="64"/>
      <c r="QYX24" s="64"/>
      <c r="QYY24" s="64"/>
      <c r="QYZ24" s="64"/>
      <c r="QZA24" s="64"/>
      <c r="QZB24" s="64"/>
      <c r="QZC24" s="64"/>
      <c r="QZD24" s="64"/>
      <c r="QZE24" s="64"/>
      <c r="QZF24" s="64"/>
      <c r="QZG24" s="64"/>
      <c r="QZH24" s="64"/>
      <c r="QZI24" s="64"/>
      <c r="QZJ24" s="64"/>
      <c r="QZK24" s="64"/>
      <c r="QZL24" s="64"/>
      <c r="QZM24" s="64"/>
      <c r="QZN24" s="64"/>
      <c r="QZO24" s="64"/>
      <c r="QZP24" s="64"/>
      <c r="QZQ24" s="64"/>
      <c r="QZR24" s="64"/>
      <c r="QZS24" s="64"/>
      <c r="QZT24" s="64"/>
      <c r="QZU24" s="64"/>
      <c r="QZV24" s="64"/>
      <c r="QZW24" s="64"/>
      <c r="QZX24" s="64"/>
      <c r="QZY24" s="64"/>
      <c r="QZZ24" s="64"/>
      <c r="RAA24" s="64"/>
      <c r="RAB24" s="64"/>
      <c r="RAC24" s="64"/>
      <c r="RAD24" s="64"/>
      <c r="RAE24" s="64"/>
      <c r="RAF24" s="64"/>
      <c r="RAG24" s="64"/>
      <c r="RAH24" s="64"/>
      <c r="RAI24" s="64"/>
      <c r="RAJ24" s="64"/>
      <c r="RAK24" s="64"/>
      <c r="RAL24" s="64"/>
      <c r="RAM24" s="64"/>
      <c r="RAN24" s="64"/>
      <c r="RAO24" s="64"/>
      <c r="RAP24" s="64"/>
      <c r="RAQ24" s="64"/>
      <c r="RAR24" s="64"/>
      <c r="RAS24" s="64"/>
      <c r="RAT24" s="64"/>
      <c r="RAU24" s="64"/>
      <c r="RAV24" s="64"/>
      <c r="RAW24" s="64"/>
      <c r="RAX24" s="64"/>
      <c r="RAY24" s="64"/>
      <c r="RAZ24" s="64"/>
      <c r="RBA24" s="64"/>
      <c r="RBB24" s="64"/>
      <c r="RBC24" s="64"/>
      <c r="RBD24" s="64"/>
      <c r="RBE24" s="64"/>
      <c r="RBF24" s="64"/>
      <c r="RBG24" s="64"/>
      <c r="RBH24" s="64"/>
      <c r="RBI24" s="64"/>
      <c r="RBJ24" s="64"/>
      <c r="RBK24" s="64"/>
      <c r="RBL24" s="64"/>
      <c r="RBM24" s="64"/>
      <c r="RBN24" s="64"/>
      <c r="RBO24" s="64"/>
      <c r="RBP24" s="64"/>
      <c r="RBQ24" s="64"/>
      <c r="RBR24" s="64"/>
      <c r="RBS24" s="64"/>
      <c r="RBT24" s="64"/>
      <c r="RBU24" s="64"/>
      <c r="RBV24" s="64"/>
      <c r="RBW24" s="64"/>
      <c r="RBX24" s="64"/>
      <c r="RBY24" s="64"/>
      <c r="RBZ24" s="64"/>
      <c r="RCA24" s="64"/>
      <c r="RCB24" s="64"/>
      <c r="RCC24" s="64"/>
      <c r="RCD24" s="64"/>
      <c r="RCE24" s="64"/>
      <c r="RCF24" s="64"/>
      <c r="RCG24" s="64"/>
      <c r="RCH24" s="64"/>
      <c r="RCI24" s="64"/>
      <c r="RCJ24" s="64"/>
      <c r="RCK24" s="64"/>
      <c r="RCL24" s="64"/>
      <c r="RCM24" s="64"/>
      <c r="RCN24" s="64"/>
      <c r="RCO24" s="64"/>
      <c r="RCP24" s="64"/>
      <c r="RCQ24" s="64"/>
      <c r="RCR24" s="64"/>
      <c r="RCS24" s="64"/>
      <c r="RCT24" s="64"/>
      <c r="RCU24" s="64"/>
      <c r="RCV24" s="64"/>
      <c r="RCW24" s="64"/>
      <c r="RCX24" s="64"/>
      <c r="RCY24" s="64"/>
      <c r="RCZ24" s="64"/>
      <c r="RDA24" s="64"/>
      <c r="RDB24" s="64"/>
      <c r="RDC24" s="64"/>
      <c r="RDD24" s="64"/>
      <c r="RDE24" s="64"/>
      <c r="RDF24" s="64"/>
      <c r="RDG24" s="64"/>
      <c r="RDH24" s="64"/>
      <c r="RDI24" s="64"/>
      <c r="RDJ24" s="64"/>
      <c r="RDK24" s="64"/>
      <c r="RDL24" s="64"/>
      <c r="RDM24" s="64"/>
      <c r="RDN24" s="64"/>
      <c r="RDO24" s="64"/>
      <c r="RDP24" s="64"/>
      <c r="RDQ24" s="64"/>
      <c r="RDR24" s="64"/>
      <c r="RDS24" s="64"/>
      <c r="RDT24" s="64"/>
      <c r="RDU24" s="64"/>
      <c r="RDV24" s="64"/>
      <c r="RDW24" s="64"/>
      <c r="RDX24" s="64"/>
      <c r="RDY24" s="64"/>
      <c r="RDZ24" s="64"/>
      <c r="REA24" s="64"/>
      <c r="REB24" s="64"/>
      <c r="REC24" s="64"/>
      <c r="RED24" s="64"/>
      <c r="REE24" s="64"/>
      <c r="REF24" s="64"/>
      <c r="REG24" s="64"/>
      <c r="REH24" s="64"/>
      <c r="REI24" s="64"/>
      <c r="REJ24" s="64"/>
      <c r="REK24" s="64"/>
      <c r="REL24" s="64"/>
      <c r="REM24" s="64"/>
      <c r="REN24" s="64"/>
      <c r="REO24" s="64"/>
      <c r="REP24" s="64"/>
      <c r="REQ24" s="64"/>
      <c r="RER24" s="64"/>
      <c r="RES24" s="64"/>
      <c r="RET24" s="64"/>
      <c r="REU24" s="64"/>
      <c r="REV24" s="64"/>
      <c r="REW24" s="64"/>
      <c r="REX24" s="64"/>
      <c r="REY24" s="64"/>
      <c r="REZ24" s="64"/>
      <c r="RFA24" s="64"/>
      <c r="RFB24" s="64"/>
      <c r="RFC24" s="64"/>
      <c r="RFD24" s="64"/>
      <c r="RFE24" s="64"/>
      <c r="RFF24" s="64"/>
      <c r="RFG24" s="64"/>
      <c r="RFH24" s="64"/>
      <c r="RFI24" s="64"/>
      <c r="RFJ24" s="64"/>
      <c r="RFK24" s="64"/>
      <c r="RFL24" s="64"/>
      <c r="RFM24" s="64"/>
      <c r="RFN24" s="64"/>
      <c r="RFO24" s="64"/>
      <c r="RFP24" s="64"/>
      <c r="RFQ24" s="64"/>
      <c r="RFR24" s="64"/>
      <c r="RFS24" s="64"/>
      <c r="RFT24" s="64"/>
      <c r="RFU24" s="64"/>
      <c r="RFV24" s="64"/>
      <c r="RFW24" s="64"/>
      <c r="RFX24" s="64"/>
      <c r="RFY24" s="64"/>
      <c r="RFZ24" s="64"/>
      <c r="RGA24" s="64"/>
      <c r="RGB24" s="64"/>
      <c r="RGC24" s="64"/>
      <c r="RGD24" s="64"/>
      <c r="RGE24" s="64"/>
      <c r="RGF24" s="64"/>
      <c r="RGG24" s="64"/>
      <c r="RGH24" s="64"/>
      <c r="RGI24" s="64"/>
      <c r="RGJ24" s="64"/>
      <c r="RGK24" s="64"/>
      <c r="RGL24" s="64"/>
      <c r="RGM24" s="64"/>
      <c r="RGN24" s="64"/>
      <c r="RGO24" s="64"/>
      <c r="RGP24" s="64"/>
      <c r="RGQ24" s="64"/>
      <c r="RGR24" s="64"/>
      <c r="RGS24" s="64"/>
      <c r="RGT24" s="64"/>
      <c r="RGU24" s="64"/>
      <c r="RGV24" s="64"/>
      <c r="RGW24" s="64"/>
      <c r="RGX24" s="64"/>
      <c r="RGY24" s="64"/>
      <c r="RGZ24" s="64"/>
      <c r="RHA24" s="64"/>
      <c r="RHB24" s="64"/>
      <c r="RHC24" s="64"/>
      <c r="RHD24" s="64"/>
      <c r="RHE24" s="64"/>
      <c r="RHF24" s="64"/>
      <c r="RHG24" s="64"/>
      <c r="RHH24" s="64"/>
      <c r="RHI24" s="64"/>
      <c r="RHJ24" s="64"/>
      <c r="RHK24" s="64"/>
      <c r="RHL24" s="64"/>
      <c r="RHM24" s="64"/>
      <c r="RHN24" s="64"/>
      <c r="RHO24" s="64"/>
      <c r="RHP24" s="64"/>
      <c r="RHQ24" s="64"/>
      <c r="RHR24" s="64"/>
      <c r="RHS24" s="64"/>
      <c r="RHT24" s="64"/>
      <c r="RHU24" s="64"/>
      <c r="RHV24" s="64"/>
      <c r="RHW24" s="64"/>
      <c r="RHX24" s="64"/>
      <c r="RHY24" s="64"/>
      <c r="RHZ24" s="64"/>
      <c r="RIA24" s="64"/>
      <c r="RIB24" s="64"/>
      <c r="RIC24" s="64"/>
      <c r="RID24" s="64"/>
      <c r="RIE24" s="64"/>
      <c r="RIF24" s="64"/>
      <c r="RIG24" s="64"/>
      <c r="RIH24" s="64"/>
      <c r="RII24" s="64"/>
      <c r="RIJ24" s="64"/>
      <c r="RIK24" s="64"/>
      <c r="RIL24" s="64"/>
      <c r="RIM24" s="64"/>
      <c r="RIN24" s="64"/>
      <c r="RIO24" s="64"/>
      <c r="RIP24" s="64"/>
      <c r="RIQ24" s="64"/>
      <c r="RIR24" s="64"/>
      <c r="RIS24" s="64"/>
      <c r="RIT24" s="64"/>
      <c r="RIU24" s="64"/>
      <c r="RIV24" s="64"/>
      <c r="RIW24" s="64"/>
      <c r="RIX24" s="64"/>
      <c r="RIY24" s="64"/>
      <c r="RIZ24" s="64"/>
      <c r="RJA24" s="64"/>
      <c r="RJB24" s="64"/>
      <c r="RJC24" s="64"/>
      <c r="RJD24" s="64"/>
      <c r="RJE24" s="64"/>
      <c r="RJF24" s="64"/>
      <c r="RJG24" s="64"/>
      <c r="RJH24" s="64"/>
      <c r="RJI24" s="64"/>
      <c r="RJJ24" s="64"/>
      <c r="RJK24" s="64"/>
      <c r="RJL24" s="64"/>
      <c r="RJM24" s="64"/>
      <c r="RJN24" s="64"/>
      <c r="RJO24" s="64"/>
      <c r="RJP24" s="64"/>
      <c r="RJQ24" s="64"/>
      <c r="RJR24" s="64"/>
      <c r="RJS24" s="64"/>
      <c r="RJT24" s="64"/>
      <c r="RJU24" s="64"/>
      <c r="RJV24" s="64"/>
      <c r="RJW24" s="64"/>
      <c r="RJX24" s="64"/>
      <c r="RJY24" s="64"/>
      <c r="RJZ24" s="64"/>
      <c r="RKA24" s="64"/>
      <c r="RKB24" s="64"/>
      <c r="RKC24" s="64"/>
      <c r="RKD24" s="64"/>
      <c r="RKE24" s="64"/>
      <c r="RKF24" s="64"/>
      <c r="RKG24" s="64"/>
      <c r="RKH24" s="64"/>
      <c r="RKI24" s="64"/>
      <c r="RKJ24" s="64"/>
      <c r="RKK24" s="64"/>
      <c r="RKL24" s="64"/>
      <c r="RKM24" s="64"/>
      <c r="RKN24" s="64"/>
      <c r="RKO24" s="64"/>
      <c r="RKP24" s="64"/>
      <c r="RKQ24" s="64"/>
      <c r="RKR24" s="64"/>
      <c r="RKS24" s="64"/>
      <c r="RKT24" s="64"/>
      <c r="RKU24" s="64"/>
      <c r="RKV24" s="64"/>
      <c r="RKW24" s="64"/>
      <c r="RKX24" s="64"/>
      <c r="RKY24" s="64"/>
      <c r="RKZ24" s="64"/>
      <c r="RLA24" s="64"/>
      <c r="RLB24" s="64"/>
      <c r="RLC24" s="64"/>
      <c r="RLD24" s="64"/>
      <c r="RLE24" s="64"/>
      <c r="RLF24" s="64"/>
      <c r="RLG24" s="64"/>
      <c r="RLH24" s="64"/>
      <c r="RLI24" s="64"/>
      <c r="RLJ24" s="64"/>
      <c r="RLK24" s="64"/>
      <c r="RLL24" s="64"/>
      <c r="RLM24" s="64"/>
      <c r="RLN24" s="64"/>
      <c r="RLO24" s="64"/>
      <c r="RLP24" s="64"/>
      <c r="RLQ24" s="64"/>
      <c r="RLR24" s="64"/>
      <c r="RLS24" s="64"/>
      <c r="RLT24" s="64"/>
      <c r="RLU24" s="64"/>
      <c r="RLV24" s="64"/>
      <c r="RLW24" s="64"/>
      <c r="RLX24" s="64"/>
      <c r="RLY24" s="64"/>
      <c r="RLZ24" s="64"/>
      <c r="RMA24" s="64"/>
      <c r="RMB24" s="64"/>
      <c r="RMC24" s="64"/>
      <c r="RMD24" s="64"/>
      <c r="RME24" s="64"/>
      <c r="RMF24" s="64"/>
      <c r="RMG24" s="64"/>
      <c r="RMH24" s="64"/>
      <c r="RMI24" s="64"/>
      <c r="RMJ24" s="64"/>
      <c r="RMK24" s="64"/>
      <c r="RML24" s="64"/>
      <c r="RMM24" s="64"/>
      <c r="RMN24" s="64"/>
      <c r="RMO24" s="64"/>
      <c r="RMP24" s="64"/>
      <c r="RMQ24" s="64"/>
      <c r="RMR24" s="64"/>
      <c r="RMS24" s="64"/>
      <c r="RMT24" s="64"/>
      <c r="RMU24" s="64"/>
      <c r="RMV24" s="64"/>
      <c r="RMW24" s="64"/>
      <c r="RMX24" s="64"/>
      <c r="RMY24" s="64"/>
      <c r="RMZ24" s="64"/>
      <c r="RNA24" s="64"/>
      <c r="RNB24" s="64"/>
      <c r="RNC24" s="64"/>
      <c r="RND24" s="64"/>
      <c r="RNE24" s="64"/>
      <c r="RNF24" s="64"/>
      <c r="RNG24" s="64"/>
      <c r="RNH24" s="64"/>
      <c r="RNI24" s="64"/>
      <c r="RNJ24" s="64"/>
      <c r="RNK24" s="64"/>
      <c r="RNL24" s="64"/>
      <c r="RNM24" s="64"/>
      <c r="RNN24" s="64"/>
      <c r="RNO24" s="64"/>
      <c r="RNP24" s="64"/>
      <c r="RNQ24" s="64"/>
      <c r="RNR24" s="64"/>
      <c r="RNS24" s="64"/>
      <c r="RNT24" s="64"/>
      <c r="RNU24" s="64"/>
      <c r="RNV24" s="64"/>
      <c r="RNW24" s="64"/>
      <c r="RNX24" s="64"/>
      <c r="RNY24" s="64"/>
      <c r="RNZ24" s="64"/>
      <c r="ROA24" s="64"/>
      <c r="ROB24" s="64"/>
      <c r="ROC24" s="64"/>
      <c r="ROD24" s="64"/>
      <c r="ROE24" s="64"/>
      <c r="ROF24" s="64"/>
      <c r="ROG24" s="64"/>
      <c r="ROH24" s="64"/>
      <c r="ROI24" s="64"/>
      <c r="ROJ24" s="64"/>
      <c r="ROK24" s="64"/>
      <c r="ROL24" s="64"/>
      <c r="ROM24" s="64"/>
      <c r="RON24" s="64"/>
      <c r="ROO24" s="64"/>
      <c r="ROP24" s="64"/>
      <c r="ROQ24" s="64"/>
      <c r="ROR24" s="64"/>
      <c r="ROS24" s="64"/>
      <c r="ROT24" s="64"/>
      <c r="ROU24" s="64"/>
      <c r="ROV24" s="64"/>
      <c r="ROW24" s="64"/>
      <c r="ROX24" s="64"/>
      <c r="ROY24" s="64"/>
      <c r="ROZ24" s="64"/>
      <c r="RPA24" s="64"/>
      <c r="RPB24" s="64"/>
      <c r="RPC24" s="64"/>
      <c r="RPD24" s="64"/>
      <c r="RPE24" s="64"/>
      <c r="RPF24" s="64"/>
      <c r="RPG24" s="64"/>
      <c r="RPH24" s="64"/>
      <c r="RPI24" s="64"/>
      <c r="RPJ24" s="64"/>
      <c r="RPK24" s="64"/>
      <c r="RPL24" s="64"/>
      <c r="RPM24" s="64"/>
      <c r="RPN24" s="64"/>
      <c r="RPO24" s="64"/>
      <c r="RPP24" s="64"/>
      <c r="RPQ24" s="64"/>
      <c r="RPR24" s="64"/>
      <c r="RPS24" s="64"/>
      <c r="RPT24" s="64"/>
      <c r="RPU24" s="64"/>
      <c r="RPV24" s="64"/>
      <c r="RPW24" s="64"/>
      <c r="RPX24" s="64"/>
      <c r="RPY24" s="64"/>
      <c r="RPZ24" s="64"/>
      <c r="RQA24" s="64"/>
      <c r="RQB24" s="64"/>
      <c r="RQC24" s="64"/>
      <c r="RQD24" s="64"/>
      <c r="RQE24" s="64"/>
      <c r="RQF24" s="64"/>
      <c r="RQG24" s="64"/>
      <c r="RQH24" s="64"/>
      <c r="RQI24" s="64"/>
      <c r="RQJ24" s="64"/>
      <c r="RQK24" s="64"/>
      <c r="RQL24" s="64"/>
      <c r="RQM24" s="64"/>
      <c r="RQN24" s="64"/>
      <c r="RQO24" s="64"/>
      <c r="RQP24" s="64"/>
      <c r="RQQ24" s="64"/>
      <c r="RQR24" s="64"/>
      <c r="RQS24" s="64"/>
      <c r="RQT24" s="64"/>
      <c r="RQU24" s="64"/>
      <c r="RQV24" s="64"/>
      <c r="RQW24" s="64"/>
      <c r="RQX24" s="64"/>
      <c r="RQY24" s="64"/>
      <c r="RQZ24" s="64"/>
      <c r="RRA24" s="64"/>
      <c r="RRB24" s="64"/>
      <c r="RRC24" s="64"/>
      <c r="RRD24" s="64"/>
      <c r="RRE24" s="64"/>
      <c r="RRF24" s="64"/>
      <c r="RRG24" s="64"/>
      <c r="RRH24" s="64"/>
      <c r="RRI24" s="64"/>
      <c r="RRJ24" s="64"/>
      <c r="RRK24" s="64"/>
      <c r="RRL24" s="64"/>
      <c r="RRM24" s="64"/>
      <c r="RRN24" s="64"/>
      <c r="RRO24" s="64"/>
      <c r="RRP24" s="64"/>
      <c r="RRQ24" s="64"/>
      <c r="RRR24" s="64"/>
      <c r="RRS24" s="64"/>
      <c r="RRT24" s="64"/>
      <c r="RRU24" s="64"/>
      <c r="RRV24" s="64"/>
      <c r="RRW24" s="64"/>
      <c r="RRX24" s="64"/>
      <c r="RRY24" s="64"/>
      <c r="RRZ24" s="64"/>
      <c r="RSA24" s="64"/>
      <c r="RSB24" s="64"/>
      <c r="RSC24" s="64"/>
      <c r="RSD24" s="64"/>
      <c r="RSE24" s="64"/>
      <c r="RSF24" s="64"/>
      <c r="RSG24" s="64"/>
      <c r="RSH24" s="64"/>
      <c r="RSI24" s="64"/>
      <c r="RSJ24" s="64"/>
      <c r="RSK24" s="64"/>
      <c r="RSL24" s="64"/>
      <c r="RSM24" s="64"/>
      <c r="RSN24" s="64"/>
      <c r="RSO24" s="64"/>
      <c r="RSP24" s="64"/>
      <c r="RSQ24" s="64"/>
      <c r="RSR24" s="64"/>
      <c r="RSS24" s="64"/>
      <c r="RST24" s="64"/>
      <c r="RSU24" s="64"/>
      <c r="RSV24" s="64"/>
      <c r="RSW24" s="64"/>
      <c r="RSX24" s="64"/>
      <c r="RSY24" s="64"/>
      <c r="RSZ24" s="64"/>
      <c r="RTA24" s="64"/>
      <c r="RTB24" s="64"/>
      <c r="RTC24" s="64"/>
      <c r="RTD24" s="64"/>
      <c r="RTE24" s="64"/>
      <c r="RTF24" s="64"/>
      <c r="RTG24" s="64"/>
      <c r="RTH24" s="64"/>
      <c r="RTI24" s="64"/>
      <c r="RTJ24" s="64"/>
      <c r="RTK24" s="64"/>
      <c r="RTL24" s="64"/>
      <c r="RTM24" s="64"/>
      <c r="RTN24" s="64"/>
      <c r="RTO24" s="64"/>
      <c r="RTP24" s="64"/>
      <c r="RTQ24" s="64"/>
      <c r="RTR24" s="64"/>
      <c r="RTS24" s="64"/>
      <c r="RTT24" s="64"/>
      <c r="RTU24" s="64"/>
      <c r="RTV24" s="64"/>
      <c r="RTW24" s="64"/>
      <c r="RTX24" s="64"/>
      <c r="RTY24" s="64"/>
      <c r="RTZ24" s="64"/>
      <c r="RUA24" s="64"/>
      <c r="RUB24" s="64"/>
      <c r="RUC24" s="64"/>
      <c r="RUD24" s="64"/>
      <c r="RUE24" s="64"/>
      <c r="RUF24" s="64"/>
      <c r="RUG24" s="64"/>
      <c r="RUH24" s="64"/>
      <c r="RUI24" s="64"/>
      <c r="RUJ24" s="64"/>
      <c r="RUK24" s="64"/>
      <c r="RUL24" s="64"/>
      <c r="RUM24" s="64"/>
      <c r="RUN24" s="64"/>
      <c r="RUO24" s="64"/>
      <c r="RUP24" s="64"/>
      <c r="RUQ24" s="64"/>
      <c r="RUR24" s="64"/>
      <c r="RUS24" s="64"/>
      <c r="RUT24" s="64"/>
      <c r="RUU24" s="64"/>
      <c r="RUV24" s="64"/>
      <c r="RUW24" s="64"/>
      <c r="RUX24" s="64"/>
      <c r="RUY24" s="64"/>
      <c r="RUZ24" s="64"/>
      <c r="RVA24" s="64"/>
      <c r="RVB24" s="64"/>
      <c r="RVC24" s="64"/>
      <c r="RVD24" s="64"/>
      <c r="RVE24" s="64"/>
      <c r="RVF24" s="64"/>
      <c r="RVG24" s="64"/>
      <c r="RVH24" s="64"/>
      <c r="RVI24" s="64"/>
      <c r="RVJ24" s="64"/>
      <c r="RVK24" s="64"/>
      <c r="RVL24" s="64"/>
      <c r="RVM24" s="64"/>
      <c r="RVN24" s="64"/>
      <c r="RVO24" s="64"/>
      <c r="RVP24" s="64"/>
      <c r="RVQ24" s="64"/>
      <c r="RVR24" s="64"/>
      <c r="RVS24" s="64"/>
      <c r="RVT24" s="64"/>
      <c r="RVU24" s="64"/>
      <c r="RVV24" s="64"/>
      <c r="RVW24" s="64"/>
      <c r="RVX24" s="64"/>
      <c r="RVY24" s="64"/>
      <c r="RVZ24" s="64"/>
      <c r="RWA24" s="64"/>
      <c r="RWB24" s="64"/>
      <c r="RWC24" s="64"/>
      <c r="RWD24" s="64"/>
      <c r="RWE24" s="64"/>
      <c r="RWF24" s="64"/>
      <c r="RWG24" s="64"/>
      <c r="RWH24" s="64"/>
      <c r="RWI24" s="64"/>
      <c r="RWJ24" s="64"/>
      <c r="RWK24" s="64"/>
      <c r="RWL24" s="64"/>
      <c r="RWM24" s="64"/>
      <c r="RWN24" s="64"/>
      <c r="RWO24" s="64"/>
      <c r="RWP24" s="64"/>
      <c r="RWQ24" s="64"/>
      <c r="RWR24" s="64"/>
      <c r="RWS24" s="64"/>
      <c r="RWT24" s="64"/>
      <c r="RWU24" s="64"/>
      <c r="RWV24" s="64"/>
      <c r="RWW24" s="64"/>
      <c r="RWX24" s="64"/>
      <c r="RWY24" s="64"/>
      <c r="RWZ24" s="64"/>
      <c r="RXA24" s="64"/>
      <c r="RXB24" s="64"/>
      <c r="RXC24" s="64"/>
      <c r="RXD24" s="64"/>
      <c r="RXE24" s="64"/>
      <c r="RXF24" s="64"/>
      <c r="RXG24" s="64"/>
      <c r="RXH24" s="64"/>
      <c r="RXI24" s="64"/>
      <c r="RXJ24" s="64"/>
      <c r="RXK24" s="64"/>
      <c r="RXL24" s="64"/>
      <c r="RXM24" s="64"/>
      <c r="RXN24" s="64"/>
      <c r="RXO24" s="64"/>
      <c r="RXP24" s="64"/>
      <c r="RXQ24" s="64"/>
      <c r="RXR24" s="64"/>
      <c r="RXS24" s="64"/>
      <c r="RXT24" s="64"/>
      <c r="RXU24" s="64"/>
      <c r="RXV24" s="64"/>
      <c r="RXW24" s="64"/>
      <c r="RXX24" s="64"/>
      <c r="RXY24" s="64"/>
      <c r="RXZ24" s="64"/>
      <c r="RYA24" s="64"/>
      <c r="RYB24" s="64"/>
      <c r="RYC24" s="64"/>
      <c r="RYD24" s="64"/>
      <c r="RYE24" s="64"/>
      <c r="RYF24" s="64"/>
      <c r="RYG24" s="64"/>
      <c r="RYH24" s="64"/>
      <c r="RYI24" s="64"/>
      <c r="RYJ24" s="64"/>
      <c r="RYK24" s="64"/>
      <c r="RYL24" s="64"/>
      <c r="RYM24" s="64"/>
      <c r="RYN24" s="64"/>
      <c r="RYO24" s="64"/>
      <c r="RYP24" s="64"/>
      <c r="RYQ24" s="64"/>
      <c r="RYR24" s="64"/>
      <c r="RYS24" s="64"/>
      <c r="RYT24" s="64"/>
      <c r="RYU24" s="64"/>
      <c r="RYV24" s="64"/>
      <c r="RYW24" s="64"/>
      <c r="RYX24" s="64"/>
      <c r="RYY24" s="64"/>
      <c r="RYZ24" s="64"/>
      <c r="RZA24" s="64"/>
      <c r="RZB24" s="64"/>
      <c r="RZC24" s="64"/>
      <c r="RZD24" s="64"/>
      <c r="RZE24" s="64"/>
      <c r="RZF24" s="64"/>
      <c r="RZG24" s="64"/>
      <c r="RZH24" s="64"/>
      <c r="RZI24" s="64"/>
      <c r="RZJ24" s="64"/>
      <c r="RZK24" s="64"/>
      <c r="RZL24" s="64"/>
      <c r="RZM24" s="64"/>
      <c r="RZN24" s="64"/>
      <c r="RZO24" s="64"/>
      <c r="RZP24" s="64"/>
      <c r="RZQ24" s="64"/>
      <c r="RZR24" s="64"/>
      <c r="RZS24" s="64"/>
      <c r="RZT24" s="64"/>
      <c r="RZU24" s="64"/>
      <c r="RZV24" s="64"/>
      <c r="RZW24" s="64"/>
      <c r="RZX24" s="64"/>
      <c r="RZY24" s="64"/>
      <c r="RZZ24" s="64"/>
      <c r="SAA24" s="64"/>
      <c r="SAB24" s="64"/>
      <c r="SAC24" s="64"/>
      <c r="SAD24" s="64"/>
      <c r="SAE24" s="64"/>
      <c r="SAF24" s="64"/>
      <c r="SAG24" s="64"/>
      <c r="SAH24" s="64"/>
      <c r="SAI24" s="64"/>
      <c r="SAJ24" s="64"/>
      <c r="SAK24" s="64"/>
      <c r="SAL24" s="64"/>
      <c r="SAM24" s="64"/>
      <c r="SAN24" s="64"/>
      <c r="SAO24" s="64"/>
      <c r="SAP24" s="64"/>
      <c r="SAQ24" s="64"/>
      <c r="SAR24" s="64"/>
      <c r="SAS24" s="64"/>
      <c r="SAT24" s="64"/>
      <c r="SAU24" s="64"/>
      <c r="SAV24" s="64"/>
      <c r="SAW24" s="64"/>
      <c r="SAX24" s="64"/>
      <c r="SAY24" s="64"/>
      <c r="SAZ24" s="64"/>
      <c r="SBA24" s="64"/>
      <c r="SBB24" s="64"/>
      <c r="SBC24" s="64"/>
      <c r="SBD24" s="64"/>
      <c r="SBE24" s="64"/>
      <c r="SBF24" s="64"/>
      <c r="SBG24" s="64"/>
      <c r="SBH24" s="64"/>
      <c r="SBI24" s="64"/>
      <c r="SBJ24" s="64"/>
      <c r="SBK24" s="64"/>
      <c r="SBL24" s="64"/>
      <c r="SBM24" s="64"/>
      <c r="SBN24" s="64"/>
      <c r="SBO24" s="64"/>
      <c r="SBP24" s="64"/>
      <c r="SBQ24" s="64"/>
      <c r="SBR24" s="64"/>
      <c r="SBS24" s="64"/>
      <c r="SBT24" s="64"/>
      <c r="SBU24" s="64"/>
      <c r="SBV24" s="64"/>
      <c r="SBW24" s="64"/>
      <c r="SBX24" s="64"/>
      <c r="SBY24" s="64"/>
      <c r="SBZ24" s="64"/>
      <c r="SCA24" s="64"/>
      <c r="SCB24" s="64"/>
      <c r="SCC24" s="64"/>
      <c r="SCD24" s="64"/>
      <c r="SCE24" s="64"/>
      <c r="SCF24" s="64"/>
      <c r="SCG24" s="64"/>
      <c r="SCH24" s="64"/>
      <c r="SCI24" s="64"/>
      <c r="SCJ24" s="64"/>
      <c r="SCK24" s="64"/>
      <c r="SCL24" s="64"/>
      <c r="SCM24" s="64"/>
      <c r="SCN24" s="64"/>
      <c r="SCO24" s="64"/>
      <c r="SCP24" s="64"/>
      <c r="SCQ24" s="64"/>
      <c r="SCR24" s="64"/>
      <c r="SCS24" s="64"/>
      <c r="SCT24" s="64"/>
      <c r="SCU24" s="64"/>
      <c r="SCV24" s="64"/>
      <c r="SCW24" s="64"/>
      <c r="SCX24" s="64"/>
      <c r="SCY24" s="64"/>
      <c r="SCZ24" s="64"/>
      <c r="SDA24" s="64"/>
      <c r="SDB24" s="64"/>
      <c r="SDC24" s="64"/>
      <c r="SDD24" s="64"/>
      <c r="SDE24" s="64"/>
      <c r="SDF24" s="64"/>
      <c r="SDG24" s="64"/>
      <c r="SDH24" s="64"/>
      <c r="SDI24" s="64"/>
      <c r="SDJ24" s="64"/>
      <c r="SDK24" s="64"/>
      <c r="SDL24" s="64"/>
      <c r="SDM24" s="64"/>
      <c r="SDN24" s="64"/>
      <c r="SDO24" s="64"/>
      <c r="SDP24" s="64"/>
      <c r="SDQ24" s="64"/>
      <c r="SDR24" s="64"/>
      <c r="SDS24" s="64"/>
      <c r="SDT24" s="64"/>
      <c r="SDU24" s="64"/>
      <c r="SDV24" s="64"/>
      <c r="SDW24" s="64"/>
      <c r="SDX24" s="64"/>
      <c r="SDY24" s="64"/>
      <c r="SDZ24" s="64"/>
      <c r="SEA24" s="64"/>
      <c r="SEB24" s="64"/>
      <c r="SEC24" s="64"/>
      <c r="SED24" s="64"/>
      <c r="SEE24" s="64"/>
      <c r="SEF24" s="64"/>
      <c r="SEG24" s="64"/>
      <c r="SEH24" s="64"/>
      <c r="SEI24" s="64"/>
      <c r="SEJ24" s="64"/>
      <c r="SEK24" s="64"/>
      <c r="SEL24" s="64"/>
      <c r="SEM24" s="64"/>
      <c r="SEN24" s="64"/>
      <c r="SEO24" s="64"/>
      <c r="SEP24" s="64"/>
      <c r="SEQ24" s="64"/>
      <c r="SER24" s="64"/>
      <c r="SES24" s="64"/>
      <c r="SET24" s="64"/>
      <c r="SEU24" s="64"/>
      <c r="SEV24" s="64"/>
      <c r="SEW24" s="64"/>
      <c r="SEX24" s="64"/>
      <c r="SEY24" s="64"/>
      <c r="SEZ24" s="64"/>
      <c r="SFA24" s="64"/>
      <c r="SFB24" s="64"/>
      <c r="SFC24" s="64"/>
      <c r="SFD24" s="64"/>
      <c r="SFE24" s="64"/>
      <c r="SFF24" s="64"/>
      <c r="SFG24" s="64"/>
      <c r="SFH24" s="64"/>
      <c r="SFI24" s="64"/>
      <c r="SFJ24" s="64"/>
      <c r="SFK24" s="64"/>
      <c r="SFL24" s="64"/>
      <c r="SFM24" s="64"/>
      <c r="SFN24" s="64"/>
      <c r="SFO24" s="64"/>
      <c r="SFP24" s="64"/>
      <c r="SFQ24" s="64"/>
      <c r="SFR24" s="64"/>
      <c r="SFS24" s="64"/>
      <c r="SFT24" s="64"/>
      <c r="SFU24" s="64"/>
      <c r="SFV24" s="64"/>
      <c r="SFW24" s="64"/>
      <c r="SFX24" s="64"/>
      <c r="SFY24" s="64"/>
      <c r="SFZ24" s="64"/>
      <c r="SGA24" s="64"/>
      <c r="SGB24" s="64"/>
      <c r="SGC24" s="64"/>
      <c r="SGD24" s="64"/>
      <c r="SGE24" s="64"/>
      <c r="SGF24" s="64"/>
      <c r="SGG24" s="64"/>
      <c r="SGH24" s="64"/>
      <c r="SGI24" s="64"/>
      <c r="SGJ24" s="64"/>
      <c r="SGK24" s="64"/>
      <c r="SGL24" s="64"/>
      <c r="SGM24" s="64"/>
      <c r="SGN24" s="64"/>
      <c r="SGO24" s="64"/>
      <c r="SGP24" s="64"/>
      <c r="SGQ24" s="64"/>
      <c r="SGR24" s="64"/>
      <c r="SGS24" s="64"/>
      <c r="SGT24" s="64"/>
      <c r="SGU24" s="64"/>
      <c r="SGV24" s="64"/>
      <c r="SGW24" s="64"/>
      <c r="SGX24" s="64"/>
      <c r="SGY24" s="64"/>
      <c r="SGZ24" s="64"/>
      <c r="SHA24" s="64"/>
      <c r="SHB24" s="64"/>
      <c r="SHC24" s="64"/>
      <c r="SHD24" s="64"/>
      <c r="SHE24" s="64"/>
      <c r="SHF24" s="64"/>
      <c r="SHG24" s="64"/>
      <c r="SHH24" s="64"/>
      <c r="SHI24" s="64"/>
      <c r="SHJ24" s="64"/>
      <c r="SHK24" s="64"/>
      <c r="SHL24" s="64"/>
      <c r="SHM24" s="64"/>
      <c r="SHN24" s="64"/>
      <c r="SHO24" s="64"/>
      <c r="SHP24" s="64"/>
      <c r="SHQ24" s="64"/>
      <c r="SHR24" s="64"/>
      <c r="SHS24" s="64"/>
      <c r="SHT24" s="64"/>
      <c r="SHU24" s="64"/>
      <c r="SHV24" s="64"/>
      <c r="SHW24" s="64"/>
      <c r="SHX24" s="64"/>
      <c r="SHY24" s="64"/>
      <c r="SHZ24" s="64"/>
      <c r="SIA24" s="64"/>
      <c r="SIB24" s="64"/>
      <c r="SIC24" s="64"/>
      <c r="SID24" s="64"/>
      <c r="SIE24" s="64"/>
      <c r="SIF24" s="64"/>
      <c r="SIG24" s="64"/>
      <c r="SIH24" s="64"/>
      <c r="SII24" s="64"/>
      <c r="SIJ24" s="64"/>
      <c r="SIK24" s="64"/>
      <c r="SIL24" s="64"/>
      <c r="SIM24" s="64"/>
      <c r="SIN24" s="64"/>
      <c r="SIO24" s="64"/>
      <c r="SIP24" s="64"/>
      <c r="SIQ24" s="64"/>
      <c r="SIR24" s="64"/>
      <c r="SIS24" s="64"/>
      <c r="SIT24" s="64"/>
      <c r="SIU24" s="64"/>
      <c r="SIV24" s="64"/>
      <c r="SIW24" s="64"/>
      <c r="SIX24" s="64"/>
      <c r="SIY24" s="64"/>
      <c r="SIZ24" s="64"/>
      <c r="SJA24" s="64"/>
      <c r="SJB24" s="64"/>
      <c r="SJC24" s="64"/>
      <c r="SJD24" s="64"/>
      <c r="SJE24" s="64"/>
      <c r="SJF24" s="64"/>
      <c r="SJG24" s="64"/>
      <c r="SJH24" s="64"/>
      <c r="SJI24" s="64"/>
      <c r="SJJ24" s="64"/>
      <c r="SJK24" s="64"/>
      <c r="SJL24" s="64"/>
      <c r="SJM24" s="64"/>
      <c r="SJN24" s="64"/>
      <c r="SJO24" s="64"/>
      <c r="SJP24" s="64"/>
      <c r="SJQ24" s="64"/>
      <c r="SJR24" s="64"/>
      <c r="SJS24" s="64"/>
      <c r="SJT24" s="64"/>
      <c r="SJU24" s="64"/>
      <c r="SJV24" s="64"/>
      <c r="SJW24" s="64"/>
      <c r="SJX24" s="64"/>
      <c r="SJY24" s="64"/>
      <c r="SJZ24" s="64"/>
      <c r="SKA24" s="64"/>
      <c r="SKB24" s="64"/>
      <c r="SKC24" s="64"/>
      <c r="SKD24" s="64"/>
      <c r="SKE24" s="64"/>
      <c r="SKF24" s="64"/>
      <c r="SKG24" s="64"/>
      <c r="SKH24" s="64"/>
      <c r="SKI24" s="64"/>
      <c r="SKJ24" s="64"/>
      <c r="SKK24" s="64"/>
      <c r="SKL24" s="64"/>
      <c r="SKM24" s="64"/>
      <c r="SKN24" s="64"/>
      <c r="SKO24" s="64"/>
      <c r="SKP24" s="64"/>
      <c r="SKQ24" s="64"/>
      <c r="SKR24" s="64"/>
      <c r="SKS24" s="64"/>
      <c r="SKT24" s="64"/>
      <c r="SKU24" s="64"/>
      <c r="SKV24" s="64"/>
      <c r="SKW24" s="64"/>
      <c r="SKX24" s="64"/>
      <c r="SKY24" s="64"/>
      <c r="SKZ24" s="64"/>
      <c r="SLA24" s="64"/>
      <c r="SLB24" s="64"/>
      <c r="SLC24" s="64"/>
      <c r="SLD24" s="64"/>
      <c r="SLE24" s="64"/>
      <c r="SLF24" s="64"/>
      <c r="SLG24" s="64"/>
      <c r="SLH24" s="64"/>
      <c r="SLI24" s="64"/>
      <c r="SLJ24" s="64"/>
      <c r="SLK24" s="64"/>
      <c r="SLL24" s="64"/>
      <c r="SLM24" s="64"/>
      <c r="SLN24" s="64"/>
      <c r="SLO24" s="64"/>
      <c r="SLP24" s="64"/>
      <c r="SLQ24" s="64"/>
      <c r="SLR24" s="64"/>
      <c r="SLS24" s="64"/>
      <c r="SLT24" s="64"/>
      <c r="SLU24" s="64"/>
      <c r="SLV24" s="64"/>
      <c r="SLW24" s="64"/>
      <c r="SLX24" s="64"/>
      <c r="SLY24" s="64"/>
      <c r="SLZ24" s="64"/>
      <c r="SMA24" s="64"/>
      <c r="SMB24" s="64"/>
      <c r="SMC24" s="64"/>
      <c r="SMD24" s="64"/>
      <c r="SME24" s="64"/>
      <c r="SMF24" s="64"/>
      <c r="SMG24" s="64"/>
      <c r="SMH24" s="64"/>
      <c r="SMI24" s="64"/>
      <c r="SMJ24" s="64"/>
      <c r="SMK24" s="64"/>
      <c r="SML24" s="64"/>
      <c r="SMM24" s="64"/>
      <c r="SMN24" s="64"/>
      <c r="SMO24" s="64"/>
      <c r="SMP24" s="64"/>
      <c r="SMQ24" s="64"/>
      <c r="SMR24" s="64"/>
      <c r="SMS24" s="64"/>
      <c r="SMT24" s="64"/>
      <c r="SMU24" s="64"/>
      <c r="SMV24" s="64"/>
      <c r="SMW24" s="64"/>
      <c r="SMX24" s="64"/>
      <c r="SMY24" s="64"/>
      <c r="SMZ24" s="64"/>
      <c r="SNA24" s="64"/>
      <c r="SNB24" s="64"/>
      <c r="SNC24" s="64"/>
      <c r="SND24" s="64"/>
      <c r="SNE24" s="64"/>
      <c r="SNF24" s="64"/>
      <c r="SNG24" s="64"/>
      <c r="SNH24" s="64"/>
      <c r="SNI24" s="64"/>
      <c r="SNJ24" s="64"/>
      <c r="SNK24" s="64"/>
      <c r="SNL24" s="64"/>
      <c r="SNM24" s="64"/>
      <c r="SNN24" s="64"/>
      <c r="SNO24" s="64"/>
      <c r="SNP24" s="64"/>
      <c r="SNQ24" s="64"/>
      <c r="SNR24" s="64"/>
      <c r="SNS24" s="64"/>
      <c r="SNT24" s="64"/>
      <c r="SNU24" s="64"/>
      <c r="SNV24" s="64"/>
      <c r="SNW24" s="64"/>
      <c r="SNX24" s="64"/>
      <c r="SNY24" s="64"/>
      <c r="SNZ24" s="64"/>
      <c r="SOA24" s="64"/>
      <c r="SOB24" s="64"/>
      <c r="SOC24" s="64"/>
      <c r="SOD24" s="64"/>
      <c r="SOE24" s="64"/>
      <c r="SOF24" s="64"/>
      <c r="SOG24" s="64"/>
      <c r="SOH24" s="64"/>
      <c r="SOI24" s="64"/>
      <c r="SOJ24" s="64"/>
      <c r="SOK24" s="64"/>
      <c r="SOL24" s="64"/>
      <c r="SOM24" s="64"/>
      <c r="SON24" s="64"/>
      <c r="SOO24" s="64"/>
      <c r="SOP24" s="64"/>
      <c r="SOQ24" s="64"/>
      <c r="SOR24" s="64"/>
      <c r="SOS24" s="64"/>
      <c r="SOT24" s="64"/>
      <c r="SOU24" s="64"/>
      <c r="SOV24" s="64"/>
      <c r="SOW24" s="64"/>
      <c r="SOX24" s="64"/>
      <c r="SOY24" s="64"/>
      <c r="SOZ24" s="64"/>
      <c r="SPA24" s="64"/>
      <c r="SPB24" s="64"/>
      <c r="SPC24" s="64"/>
      <c r="SPD24" s="64"/>
      <c r="SPE24" s="64"/>
      <c r="SPF24" s="64"/>
      <c r="SPG24" s="64"/>
      <c r="SPH24" s="64"/>
      <c r="SPI24" s="64"/>
      <c r="SPJ24" s="64"/>
      <c r="SPK24" s="64"/>
      <c r="SPL24" s="64"/>
      <c r="SPM24" s="64"/>
      <c r="SPN24" s="64"/>
      <c r="SPO24" s="64"/>
      <c r="SPP24" s="64"/>
      <c r="SPQ24" s="64"/>
      <c r="SPR24" s="64"/>
      <c r="SPS24" s="64"/>
      <c r="SPT24" s="64"/>
      <c r="SPU24" s="64"/>
      <c r="SPV24" s="64"/>
      <c r="SPW24" s="64"/>
      <c r="SPX24" s="64"/>
      <c r="SPY24" s="64"/>
      <c r="SPZ24" s="64"/>
      <c r="SQA24" s="64"/>
      <c r="SQB24" s="64"/>
      <c r="SQC24" s="64"/>
      <c r="SQD24" s="64"/>
      <c r="SQE24" s="64"/>
      <c r="SQF24" s="64"/>
      <c r="SQG24" s="64"/>
      <c r="SQH24" s="64"/>
      <c r="SQI24" s="64"/>
      <c r="SQJ24" s="64"/>
      <c r="SQK24" s="64"/>
      <c r="SQL24" s="64"/>
      <c r="SQM24" s="64"/>
      <c r="SQN24" s="64"/>
      <c r="SQO24" s="64"/>
      <c r="SQP24" s="64"/>
      <c r="SQQ24" s="64"/>
      <c r="SQR24" s="64"/>
      <c r="SQS24" s="64"/>
      <c r="SQT24" s="64"/>
      <c r="SQU24" s="64"/>
      <c r="SQV24" s="64"/>
      <c r="SQW24" s="64"/>
      <c r="SQX24" s="64"/>
      <c r="SQY24" s="64"/>
      <c r="SQZ24" s="64"/>
      <c r="SRA24" s="64"/>
      <c r="SRB24" s="64"/>
      <c r="SRC24" s="64"/>
      <c r="SRD24" s="64"/>
      <c r="SRE24" s="64"/>
      <c r="SRF24" s="64"/>
      <c r="SRG24" s="64"/>
      <c r="SRH24" s="64"/>
      <c r="SRI24" s="64"/>
      <c r="SRJ24" s="64"/>
      <c r="SRK24" s="64"/>
      <c r="SRL24" s="64"/>
      <c r="SRM24" s="64"/>
      <c r="SRN24" s="64"/>
      <c r="SRO24" s="64"/>
      <c r="SRP24" s="64"/>
      <c r="SRQ24" s="64"/>
      <c r="SRR24" s="64"/>
      <c r="SRS24" s="64"/>
      <c r="SRT24" s="64"/>
      <c r="SRU24" s="64"/>
      <c r="SRV24" s="64"/>
      <c r="SRW24" s="64"/>
      <c r="SRX24" s="64"/>
      <c r="SRY24" s="64"/>
      <c r="SRZ24" s="64"/>
      <c r="SSA24" s="64"/>
      <c r="SSB24" s="64"/>
      <c r="SSC24" s="64"/>
      <c r="SSD24" s="64"/>
      <c r="SSE24" s="64"/>
      <c r="SSF24" s="64"/>
      <c r="SSG24" s="64"/>
      <c r="SSH24" s="64"/>
      <c r="SSI24" s="64"/>
      <c r="SSJ24" s="64"/>
      <c r="SSK24" s="64"/>
      <c r="SSL24" s="64"/>
      <c r="SSM24" s="64"/>
      <c r="SSN24" s="64"/>
      <c r="SSO24" s="64"/>
      <c r="SSP24" s="64"/>
      <c r="SSQ24" s="64"/>
      <c r="SSR24" s="64"/>
      <c r="SSS24" s="64"/>
      <c r="SST24" s="64"/>
      <c r="SSU24" s="64"/>
      <c r="SSV24" s="64"/>
      <c r="SSW24" s="64"/>
      <c r="SSX24" s="64"/>
      <c r="SSY24" s="64"/>
      <c r="SSZ24" s="64"/>
      <c r="STA24" s="64"/>
      <c r="STB24" s="64"/>
      <c r="STC24" s="64"/>
      <c r="STD24" s="64"/>
      <c r="STE24" s="64"/>
      <c r="STF24" s="64"/>
      <c r="STG24" s="64"/>
      <c r="STH24" s="64"/>
      <c r="STI24" s="64"/>
      <c r="STJ24" s="64"/>
      <c r="STK24" s="64"/>
      <c r="STL24" s="64"/>
      <c r="STM24" s="64"/>
      <c r="STN24" s="64"/>
      <c r="STO24" s="64"/>
      <c r="STP24" s="64"/>
      <c r="STQ24" s="64"/>
      <c r="STR24" s="64"/>
      <c r="STS24" s="64"/>
      <c r="STT24" s="64"/>
      <c r="STU24" s="64"/>
      <c r="STV24" s="64"/>
      <c r="STW24" s="64"/>
      <c r="STX24" s="64"/>
      <c r="STY24" s="64"/>
      <c r="STZ24" s="64"/>
      <c r="SUA24" s="64"/>
      <c r="SUB24" s="64"/>
      <c r="SUC24" s="64"/>
      <c r="SUD24" s="64"/>
      <c r="SUE24" s="64"/>
      <c r="SUF24" s="64"/>
      <c r="SUG24" s="64"/>
      <c r="SUH24" s="64"/>
      <c r="SUI24" s="64"/>
      <c r="SUJ24" s="64"/>
      <c r="SUK24" s="64"/>
      <c r="SUL24" s="64"/>
      <c r="SUM24" s="64"/>
      <c r="SUN24" s="64"/>
      <c r="SUO24" s="64"/>
      <c r="SUP24" s="64"/>
      <c r="SUQ24" s="64"/>
      <c r="SUR24" s="64"/>
      <c r="SUS24" s="64"/>
      <c r="SUT24" s="64"/>
      <c r="SUU24" s="64"/>
      <c r="SUV24" s="64"/>
      <c r="SUW24" s="64"/>
      <c r="SUX24" s="64"/>
      <c r="SUY24" s="64"/>
      <c r="SUZ24" s="64"/>
      <c r="SVA24" s="64"/>
      <c r="SVB24" s="64"/>
      <c r="SVC24" s="64"/>
      <c r="SVD24" s="64"/>
      <c r="SVE24" s="64"/>
      <c r="SVF24" s="64"/>
      <c r="SVG24" s="64"/>
      <c r="SVH24" s="64"/>
      <c r="SVI24" s="64"/>
      <c r="SVJ24" s="64"/>
      <c r="SVK24" s="64"/>
      <c r="SVL24" s="64"/>
      <c r="SVM24" s="64"/>
      <c r="SVN24" s="64"/>
      <c r="SVO24" s="64"/>
      <c r="SVP24" s="64"/>
      <c r="SVQ24" s="64"/>
      <c r="SVR24" s="64"/>
      <c r="SVS24" s="64"/>
      <c r="SVT24" s="64"/>
      <c r="SVU24" s="64"/>
      <c r="SVV24" s="64"/>
      <c r="SVW24" s="64"/>
      <c r="SVX24" s="64"/>
      <c r="SVY24" s="64"/>
      <c r="SVZ24" s="64"/>
      <c r="SWA24" s="64"/>
      <c r="SWB24" s="64"/>
      <c r="SWC24" s="64"/>
      <c r="SWD24" s="64"/>
      <c r="SWE24" s="64"/>
      <c r="SWF24" s="64"/>
      <c r="SWG24" s="64"/>
      <c r="SWH24" s="64"/>
      <c r="SWI24" s="64"/>
      <c r="SWJ24" s="64"/>
      <c r="SWK24" s="64"/>
      <c r="SWL24" s="64"/>
      <c r="SWM24" s="64"/>
      <c r="SWN24" s="64"/>
      <c r="SWO24" s="64"/>
      <c r="SWP24" s="64"/>
      <c r="SWQ24" s="64"/>
      <c r="SWR24" s="64"/>
      <c r="SWS24" s="64"/>
      <c r="SWT24" s="64"/>
      <c r="SWU24" s="64"/>
      <c r="SWV24" s="64"/>
      <c r="SWW24" s="64"/>
      <c r="SWX24" s="64"/>
      <c r="SWY24" s="64"/>
      <c r="SWZ24" s="64"/>
      <c r="SXA24" s="64"/>
      <c r="SXB24" s="64"/>
      <c r="SXC24" s="64"/>
      <c r="SXD24" s="64"/>
      <c r="SXE24" s="64"/>
      <c r="SXF24" s="64"/>
      <c r="SXG24" s="64"/>
      <c r="SXH24" s="64"/>
      <c r="SXI24" s="64"/>
      <c r="SXJ24" s="64"/>
      <c r="SXK24" s="64"/>
      <c r="SXL24" s="64"/>
      <c r="SXM24" s="64"/>
      <c r="SXN24" s="64"/>
      <c r="SXO24" s="64"/>
      <c r="SXP24" s="64"/>
      <c r="SXQ24" s="64"/>
      <c r="SXR24" s="64"/>
      <c r="SXS24" s="64"/>
      <c r="SXT24" s="64"/>
      <c r="SXU24" s="64"/>
      <c r="SXV24" s="64"/>
      <c r="SXW24" s="64"/>
      <c r="SXX24" s="64"/>
      <c r="SXY24" s="64"/>
      <c r="SXZ24" s="64"/>
      <c r="SYA24" s="64"/>
      <c r="SYB24" s="64"/>
      <c r="SYC24" s="64"/>
      <c r="SYD24" s="64"/>
      <c r="SYE24" s="64"/>
      <c r="SYF24" s="64"/>
      <c r="SYG24" s="64"/>
      <c r="SYH24" s="64"/>
      <c r="SYI24" s="64"/>
      <c r="SYJ24" s="64"/>
      <c r="SYK24" s="64"/>
      <c r="SYL24" s="64"/>
      <c r="SYM24" s="64"/>
      <c r="SYN24" s="64"/>
      <c r="SYO24" s="64"/>
      <c r="SYP24" s="64"/>
      <c r="SYQ24" s="64"/>
      <c r="SYR24" s="64"/>
      <c r="SYS24" s="64"/>
      <c r="SYT24" s="64"/>
      <c r="SYU24" s="64"/>
      <c r="SYV24" s="64"/>
      <c r="SYW24" s="64"/>
      <c r="SYX24" s="64"/>
      <c r="SYY24" s="64"/>
      <c r="SYZ24" s="64"/>
      <c r="SZA24" s="64"/>
      <c r="SZB24" s="64"/>
      <c r="SZC24" s="64"/>
      <c r="SZD24" s="64"/>
      <c r="SZE24" s="64"/>
      <c r="SZF24" s="64"/>
      <c r="SZG24" s="64"/>
      <c r="SZH24" s="64"/>
      <c r="SZI24" s="64"/>
      <c r="SZJ24" s="64"/>
      <c r="SZK24" s="64"/>
      <c r="SZL24" s="64"/>
      <c r="SZM24" s="64"/>
      <c r="SZN24" s="64"/>
      <c r="SZO24" s="64"/>
      <c r="SZP24" s="64"/>
      <c r="SZQ24" s="64"/>
      <c r="SZR24" s="64"/>
      <c r="SZS24" s="64"/>
      <c r="SZT24" s="64"/>
      <c r="SZU24" s="64"/>
      <c r="SZV24" s="64"/>
      <c r="SZW24" s="64"/>
      <c r="SZX24" s="64"/>
      <c r="SZY24" s="64"/>
      <c r="SZZ24" s="64"/>
      <c r="TAA24" s="64"/>
      <c r="TAB24" s="64"/>
      <c r="TAC24" s="64"/>
      <c r="TAD24" s="64"/>
      <c r="TAE24" s="64"/>
      <c r="TAF24" s="64"/>
      <c r="TAG24" s="64"/>
      <c r="TAH24" s="64"/>
      <c r="TAI24" s="64"/>
      <c r="TAJ24" s="64"/>
      <c r="TAK24" s="64"/>
      <c r="TAL24" s="64"/>
      <c r="TAM24" s="64"/>
      <c r="TAN24" s="64"/>
      <c r="TAO24" s="64"/>
      <c r="TAP24" s="64"/>
      <c r="TAQ24" s="64"/>
      <c r="TAR24" s="64"/>
      <c r="TAS24" s="64"/>
      <c r="TAT24" s="64"/>
      <c r="TAU24" s="64"/>
      <c r="TAV24" s="64"/>
      <c r="TAW24" s="64"/>
      <c r="TAX24" s="64"/>
      <c r="TAY24" s="64"/>
      <c r="TAZ24" s="64"/>
      <c r="TBA24" s="64"/>
      <c r="TBB24" s="64"/>
      <c r="TBC24" s="64"/>
      <c r="TBD24" s="64"/>
      <c r="TBE24" s="64"/>
      <c r="TBF24" s="64"/>
      <c r="TBG24" s="64"/>
      <c r="TBH24" s="64"/>
      <c r="TBI24" s="64"/>
      <c r="TBJ24" s="64"/>
      <c r="TBK24" s="64"/>
      <c r="TBL24" s="64"/>
      <c r="TBM24" s="64"/>
      <c r="TBN24" s="64"/>
      <c r="TBO24" s="64"/>
      <c r="TBP24" s="64"/>
      <c r="TBQ24" s="64"/>
      <c r="TBR24" s="64"/>
      <c r="TBS24" s="64"/>
      <c r="TBT24" s="64"/>
      <c r="TBU24" s="64"/>
      <c r="TBV24" s="64"/>
      <c r="TBW24" s="64"/>
      <c r="TBX24" s="64"/>
      <c r="TBY24" s="64"/>
      <c r="TBZ24" s="64"/>
      <c r="TCA24" s="64"/>
      <c r="TCB24" s="64"/>
      <c r="TCC24" s="64"/>
      <c r="TCD24" s="64"/>
      <c r="TCE24" s="64"/>
      <c r="TCF24" s="64"/>
      <c r="TCG24" s="64"/>
      <c r="TCH24" s="64"/>
      <c r="TCI24" s="64"/>
      <c r="TCJ24" s="64"/>
      <c r="TCK24" s="64"/>
      <c r="TCL24" s="64"/>
      <c r="TCM24" s="64"/>
      <c r="TCN24" s="64"/>
      <c r="TCO24" s="64"/>
      <c r="TCP24" s="64"/>
      <c r="TCQ24" s="64"/>
      <c r="TCR24" s="64"/>
      <c r="TCS24" s="64"/>
      <c r="TCT24" s="64"/>
      <c r="TCU24" s="64"/>
      <c r="TCV24" s="64"/>
      <c r="TCW24" s="64"/>
      <c r="TCX24" s="64"/>
      <c r="TCY24" s="64"/>
      <c r="TCZ24" s="64"/>
      <c r="TDA24" s="64"/>
      <c r="TDB24" s="64"/>
      <c r="TDC24" s="64"/>
      <c r="TDD24" s="64"/>
      <c r="TDE24" s="64"/>
      <c r="TDF24" s="64"/>
      <c r="TDG24" s="64"/>
      <c r="TDH24" s="64"/>
      <c r="TDI24" s="64"/>
      <c r="TDJ24" s="64"/>
      <c r="TDK24" s="64"/>
      <c r="TDL24" s="64"/>
      <c r="TDM24" s="64"/>
      <c r="TDN24" s="64"/>
      <c r="TDO24" s="64"/>
      <c r="TDP24" s="64"/>
      <c r="TDQ24" s="64"/>
      <c r="TDR24" s="64"/>
      <c r="TDS24" s="64"/>
      <c r="TDT24" s="64"/>
      <c r="TDU24" s="64"/>
      <c r="TDV24" s="64"/>
      <c r="TDW24" s="64"/>
      <c r="TDX24" s="64"/>
      <c r="TDY24" s="64"/>
      <c r="TDZ24" s="64"/>
      <c r="TEA24" s="64"/>
      <c r="TEB24" s="64"/>
      <c r="TEC24" s="64"/>
      <c r="TED24" s="64"/>
      <c r="TEE24" s="64"/>
      <c r="TEF24" s="64"/>
      <c r="TEG24" s="64"/>
      <c r="TEH24" s="64"/>
      <c r="TEI24" s="64"/>
      <c r="TEJ24" s="64"/>
      <c r="TEK24" s="64"/>
      <c r="TEL24" s="64"/>
      <c r="TEM24" s="64"/>
      <c r="TEN24" s="64"/>
      <c r="TEO24" s="64"/>
      <c r="TEP24" s="64"/>
      <c r="TEQ24" s="64"/>
      <c r="TER24" s="64"/>
      <c r="TES24" s="64"/>
      <c r="TET24" s="64"/>
      <c r="TEU24" s="64"/>
      <c r="TEV24" s="64"/>
      <c r="TEW24" s="64"/>
      <c r="TEX24" s="64"/>
      <c r="TEY24" s="64"/>
      <c r="TEZ24" s="64"/>
      <c r="TFA24" s="64"/>
      <c r="TFB24" s="64"/>
      <c r="TFC24" s="64"/>
      <c r="TFD24" s="64"/>
      <c r="TFE24" s="64"/>
      <c r="TFF24" s="64"/>
      <c r="TFG24" s="64"/>
      <c r="TFH24" s="64"/>
      <c r="TFI24" s="64"/>
      <c r="TFJ24" s="64"/>
      <c r="TFK24" s="64"/>
      <c r="TFL24" s="64"/>
      <c r="TFM24" s="64"/>
      <c r="TFN24" s="64"/>
      <c r="TFO24" s="64"/>
      <c r="TFP24" s="64"/>
      <c r="TFQ24" s="64"/>
      <c r="TFR24" s="64"/>
      <c r="TFS24" s="64"/>
      <c r="TFT24" s="64"/>
      <c r="TFU24" s="64"/>
      <c r="TFV24" s="64"/>
      <c r="TFW24" s="64"/>
      <c r="TFX24" s="64"/>
      <c r="TFY24" s="64"/>
      <c r="TFZ24" s="64"/>
      <c r="TGA24" s="64"/>
      <c r="TGB24" s="64"/>
      <c r="TGC24" s="64"/>
      <c r="TGD24" s="64"/>
      <c r="TGE24" s="64"/>
      <c r="TGF24" s="64"/>
      <c r="TGG24" s="64"/>
      <c r="TGH24" s="64"/>
      <c r="TGI24" s="64"/>
      <c r="TGJ24" s="64"/>
      <c r="TGK24" s="64"/>
      <c r="TGL24" s="64"/>
      <c r="TGM24" s="64"/>
      <c r="TGN24" s="64"/>
      <c r="TGO24" s="64"/>
      <c r="TGP24" s="64"/>
      <c r="TGQ24" s="64"/>
      <c r="TGR24" s="64"/>
      <c r="TGS24" s="64"/>
      <c r="TGT24" s="64"/>
      <c r="TGU24" s="64"/>
      <c r="TGV24" s="64"/>
      <c r="TGW24" s="64"/>
      <c r="TGX24" s="64"/>
      <c r="TGY24" s="64"/>
      <c r="TGZ24" s="64"/>
      <c r="THA24" s="64"/>
      <c r="THB24" s="64"/>
      <c r="THC24" s="64"/>
      <c r="THD24" s="64"/>
      <c r="THE24" s="64"/>
      <c r="THF24" s="64"/>
      <c r="THG24" s="64"/>
      <c r="THH24" s="64"/>
      <c r="THI24" s="64"/>
      <c r="THJ24" s="64"/>
      <c r="THK24" s="64"/>
      <c r="THL24" s="64"/>
      <c r="THM24" s="64"/>
      <c r="THN24" s="64"/>
      <c r="THO24" s="64"/>
      <c r="THP24" s="64"/>
      <c r="THQ24" s="64"/>
      <c r="THR24" s="64"/>
      <c r="THS24" s="64"/>
      <c r="THT24" s="64"/>
      <c r="THU24" s="64"/>
      <c r="THV24" s="64"/>
      <c r="THW24" s="64"/>
      <c r="THX24" s="64"/>
      <c r="THY24" s="64"/>
      <c r="THZ24" s="64"/>
      <c r="TIA24" s="64"/>
      <c r="TIB24" s="64"/>
      <c r="TIC24" s="64"/>
      <c r="TID24" s="64"/>
      <c r="TIE24" s="64"/>
      <c r="TIF24" s="64"/>
      <c r="TIG24" s="64"/>
      <c r="TIH24" s="64"/>
      <c r="TII24" s="64"/>
      <c r="TIJ24" s="64"/>
      <c r="TIK24" s="64"/>
      <c r="TIL24" s="64"/>
      <c r="TIM24" s="64"/>
      <c r="TIN24" s="64"/>
      <c r="TIO24" s="64"/>
      <c r="TIP24" s="64"/>
      <c r="TIQ24" s="64"/>
      <c r="TIR24" s="64"/>
      <c r="TIS24" s="64"/>
      <c r="TIT24" s="64"/>
      <c r="TIU24" s="64"/>
      <c r="TIV24" s="64"/>
      <c r="TIW24" s="64"/>
      <c r="TIX24" s="64"/>
      <c r="TIY24" s="64"/>
      <c r="TIZ24" s="64"/>
      <c r="TJA24" s="64"/>
      <c r="TJB24" s="64"/>
      <c r="TJC24" s="64"/>
      <c r="TJD24" s="64"/>
      <c r="TJE24" s="64"/>
      <c r="TJF24" s="64"/>
      <c r="TJG24" s="64"/>
      <c r="TJH24" s="64"/>
      <c r="TJI24" s="64"/>
      <c r="TJJ24" s="64"/>
      <c r="TJK24" s="64"/>
      <c r="TJL24" s="64"/>
      <c r="TJM24" s="64"/>
      <c r="TJN24" s="64"/>
      <c r="TJO24" s="64"/>
      <c r="TJP24" s="64"/>
      <c r="TJQ24" s="64"/>
      <c r="TJR24" s="64"/>
      <c r="TJS24" s="64"/>
      <c r="TJT24" s="64"/>
      <c r="TJU24" s="64"/>
      <c r="TJV24" s="64"/>
      <c r="TJW24" s="64"/>
      <c r="TJX24" s="64"/>
      <c r="TJY24" s="64"/>
      <c r="TJZ24" s="64"/>
      <c r="TKA24" s="64"/>
      <c r="TKB24" s="64"/>
      <c r="TKC24" s="64"/>
      <c r="TKD24" s="64"/>
      <c r="TKE24" s="64"/>
      <c r="TKF24" s="64"/>
      <c r="TKG24" s="64"/>
      <c r="TKH24" s="64"/>
      <c r="TKI24" s="64"/>
      <c r="TKJ24" s="64"/>
      <c r="TKK24" s="64"/>
      <c r="TKL24" s="64"/>
      <c r="TKM24" s="64"/>
      <c r="TKN24" s="64"/>
      <c r="TKO24" s="64"/>
      <c r="TKP24" s="64"/>
      <c r="TKQ24" s="64"/>
      <c r="TKR24" s="64"/>
      <c r="TKS24" s="64"/>
      <c r="TKT24" s="64"/>
      <c r="TKU24" s="64"/>
      <c r="TKV24" s="64"/>
      <c r="TKW24" s="64"/>
      <c r="TKX24" s="64"/>
      <c r="TKY24" s="64"/>
      <c r="TKZ24" s="64"/>
      <c r="TLA24" s="64"/>
      <c r="TLB24" s="64"/>
      <c r="TLC24" s="64"/>
      <c r="TLD24" s="64"/>
      <c r="TLE24" s="64"/>
      <c r="TLF24" s="64"/>
      <c r="TLG24" s="64"/>
      <c r="TLH24" s="64"/>
      <c r="TLI24" s="64"/>
      <c r="TLJ24" s="64"/>
      <c r="TLK24" s="64"/>
      <c r="TLL24" s="64"/>
      <c r="TLM24" s="64"/>
      <c r="TLN24" s="64"/>
      <c r="TLO24" s="64"/>
      <c r="TLP24" s="64"/>
      <c r="TLQ24" s="64"/>
      <c r="TLR24" s="64"/>
      <c r="TLS24" s="64"/>
      <c r="TLT24" s="64"/>
      <c r="TLU24" s="64"/>
      <c r="TLV24" s="64"/>
      <c r="TLW24" s="64"/>
      <c r="TLX24" s="64"/>
      <c r="TLY24" s="64"/>
      <c r="TLZ24" s="64"/>
      <c r="TMA24" s="64"/>
      <c r="TMB24" s="64"/>
      <c r="TMC24" s="64"/>
      <c r="TMD24" s="64"/>
      <c r="TME24" s="64"/>
      <c r="TMF24" s="64"/>
      <c r="TMG24" s="64"/>
      <c r="TMH24" s="64"/>
      <c r="TMI24" s="64"/>
      <c r="TMJ24" s="64"/>
      <c r="TMK24" s="64"/>
      <c r="TML24" s="64"/>
      <c r="TMM24" s="64"/>
      <c r="TMN24" s="64"/>
      <c r="TMO24" s="64"/>
      <c r="TMP24" s="64"/>
      <c r="TMQ24" s="64"/>
      <c r="TMR24" s="64"/>
      <c r="TMS24" s="64"/>
      <c r="TMT24" s="64"/>
      <c r="TMU24" s="64"/>
      <c r="TMV24" s="64"/>
      <c r="TMW24" s="64"/>
      <c r="TMX24" s="64"/>
      <c r="TMY24" s="64"/>
      <c r="TMZ24" s="64"/>
      <c r="TNA24" s="64"/>
      <c r="TNB24" s="64"/>
      <c r="TNC24" s="64"/>
      <c r="TND24" s="64"/>
      <c r="TNE24" s="64"/>
      <c r="TNF24" s="64"/>
      <c r="TNG24" s="64"/>
      <c r="TNH24" s="64"/>
      <c r="TNI24" s="64"/>
      <c r="TNJ24" s="64"/>
      <c r="TNK24" s="64"/>
      <c r="TNL24" s="64"/>
      <c r="TNM24" s="64"/>
      <c r="TNN24" s="64"/>
      <c r="TNO24" s="64"/>
      <c r="TNP24" s="64"/>
      <c r="TNQ24" s="64"/>
      <c r="TNR24" s="64"/>
      <c r="TNS24" s="64"/>
      <c r="TNT24" s="64"/>
      <c r="TNU24" s="64"/>
      <c r="TNV24" s="64"/>
      <c r="TNW24" s="64"/>
      <c r="TNX24" s="64"/>
      <c r="TNY24" s="64"/>
      <c r="TNZ24" s="64"/>
      <c r="TOA24" s="64"/>
      <c r="TOB24" s="64"/>
      <c r="TOC24" s="64"/>
      <c r="TOD24" s="64"/>
      <c r="TOE24" s="64"/>
      <c r="TOF24" s="64"/>
      <c r="TOG24" s="64"/>
      <c r="TOH24" s="64"/>
      <c r="TOI24" s="64"/>
      <c r="TOJ24" s="64"/>
      <c r="TOK24" s="64"/>
      <c r="TOL24" s="64"/>
      <c r="TOM24" s="64"/>
      <c r="TON24" s="64"/>
      <c r="TOO24" s="64"/>
      <c r="TOP24" s="64"/>
      <c r="TOQ24" s="64"/>
      <c r="TOR24" s="64"/>
      <c r="TOS24" s="64"/>
      <c r="TOT24" s="64"/>
      <c r="TOU24" s="64"/>
      <c r="TOV24" s="64"/>
      <c r="TOW24" s="64"/>
      <c r="TOX24" s="64"/>
      <c r="TOY24" s="64"/>
      <c r="TOZ24" s="64"/>
      <c r="TPA24" s="64"/>
      <c r="TPB24" s="64"/>
      <c r="TPC24" s="64"/>
      <c r="TPD24" s="64"/>
      <c r="TPE24" s="64"/>
      <c r="TPF24" s="64"/>
      <c r="TPG24" s="64"/>
      <c r="TPH24" s="64"/>
      <c r="TPI24" s="64"/>
      <c r="TPJ24" s="64"/>
      <c r="TPK24" s="64"/>
      <c r="TPL24" s="64"/>
      <c r="TPM24" s="64"/>
      <c r="TPN24" s="64"/>
      <c r="TPO24" s="64"/>
      <c r="TPP24" s="64"/>
      <c r="TPQ24" s="64"/>
      <c r="TPR24" s="64"/>
      <c r="TPS24" s="64"/>
      <c r="TPT24" s="64"/>
      <c r="TPU24" s="64"/>
      <c r="TPV24" s="64"/>
      <c r="TPW24" s="64"/>
      <c r="TPX24" s="64"/>
      <c r="TPY24" s="64"/>
      <c r="TPZ24" s="64"/>
      <c r="TQA24" s="64"/>
      <c r="TQB24" s="64"/>
      <c r="TQC24" s="64"/>
      <c r="TQD24" s="64"/>
      <c r="TQE24" s="64"/>
      <c r="TQF24" s="64"/>
      <c r="TQG24" s="64"/>
      <c r="TQH24" s="64"/>
      <c r="TQI24" s="64"/>
      <c r="TQJ24" s="64"/>
      <c r="TQK24" s="64"/>
      <c r="TQL24" s="64"/>
      <c r="TQM24" s="64"/>
      <c r="TQN24" s="64"/>
      <c r="TQO24" s="64"/>
      <c r="TQP24" s="64"/>
      <c r="TQQ24" s="64"/>
      <c r="TQR24" s="64"/>
      <c r="TQS24" s="64"/>
      <c r="TQT24" s="64"/>
      <c r="TQU24" s="64"/>
      <c r="TQV24" s="64"/>
      <c r="TQW24" s="64"/>
      <c r="TQX24" s="64"/>
      <c r="TQY24" s="64"/>
      <c r="TQZ24" s="64"/>
      <c r="TRA24" s="64"/>
      <c r="TRB24" s="64"/>
      <c r="TRC24" s="64"/>
      <c r="TRD24" s="64"/>
      <c r="TRE24" s="64"/>
      <c r="TRF24" s="64"/>
      <c r="TRG24" s="64"/>
      <c r="TRH24" s="64"/>
      <c r="TRI24" s="64"/>
      <c r="TRJ24" s="64"/>
      <c r="TRK24" s="64"/>
      <c r="TRL24" s="64"/>
      <c r="TRM24" s="64"/>
      <c r="TRN24" s="64"/>
      <c r="TRO24" s="64"/>
      <c r="TRP24" s="64"/>
      <c r="TRQ24" s="64"/>
      <c r="TRR24" s="64"/>
      <c r="TRS24" s="64"/>
      <c r="TRT24" s="64"/>
      <c r="TRU24" s="64"/>
      <c r="TRV24" s="64"/>
      <c r="TRW24" s="64"/>
      <c r="TRX24" s="64"/>
      <c r="TRY24" s="64"/>
      <c r="TRZ24" s="64"/>
      <c r="TSA24" s="64"/>
      <c r="TSB24" s="64"/>
      <c r="TSC24" s="64"/>
      <c r="TSD24" s="64"/>
      <c r="TSE24" s="64"/>
      <c r="TSF24" s="64"/>
      <c r="TSG24" s="64"/>
      <c r="TSH24" s="64"/>
      <c r="TSI24" s="64"/>
      <c r="TSJ24" s="64"/>
      <c r="TSK24" s="64"/>
      <c r="TSL24" s="64"/>
      <c r="TSM24" s="64"/>
      <c r="TSN24" s="64"/>
      <c r="TSO24" s="64"/>
      <c r="TSP24" s="64"/>
      <c r="TSQ24" s="64"/>
      <c r="TSR24" s="64"/>
      <c r="TSS24" s="64"/>
      <c r="TST24" s="64"/>
      <c r="TSU24" s="64"/>
      <c r="TSV24" s="64"/>
      <c r="TSW24" s="64"/>
      <c r="TSX24" s="64"/>
      <c r="TSY24" s="64"/>
      <c r="TSZ24" s="64"/>
      <c r="TTA24" s="64"/>
      <c r="TTB24" s="64"/>
      <c r="TTC24" s="64"/>
      <c r="TTD24" s="64"/>
      <c r="TTE24" s="64"/>
      <c r="TTF24" s="64"/>
      <c r="TTG24" s="64"/>
      <c r="TTH24" s="64"/>
      <c r="TTI24" s="64"/>
      <c r="TTJ24" s="64"/>
      <c r="TTK24" s="64"/>
      <c r="TTL24" s="64"/>
      <c r="TTM24" s="64"/>
      <c r="TTN24" s="64"/>
      <c r="TTO24" s="64"/>
      <c r="TTP24" s="64"/>
      <c r="TTQ24" s="64"/>
      <c r="TTR24" s="64"/>
      <c r="TTS24" s="64"/>
      <c r="TTT24" s="64"/>
      <c r="TTU24" s="64"/>
      <c r="TTV24" s="64"/>
      <c r="TTW24" s="64"/>
      <c r="TTX24" s="64"/>
      <c r="TTY24" s="64"/>
      <c r="TTZ24" s="64"/>
      <c r="TUA24" s="64"/>
      <c r="TUB24" s="64"/>
      <c r="TUC24" s="64"/>
      <c r="TUD24" s="64"/>
      <c r="TUE24" s="64"/>
      <c r="TUF24" s="64"/>
      <c r="TUG24" s="64"/>
      <c r="TUH24" s="64"/>
      <c r="TUI24" s="64"/>
      <c r="TUJ24" s="64"/>
      <c r="TUK24" s="64"/>
      <c r="TUL24" s="64"/>
      <c r="TUM24" s="64"/>
      <c r="TUN24" s="64"/>
      <c r="TUO24" s="64"/>
      <c r="TUP24" s="64"/>
      <c r="TUQ24" s="64"/>
      <c r="TUR24" s="64"/>
      <c r="TUS24" s="64"/>
      <c r="TUT24" s="64"/>
      <c r="TUU24" s="64"/>
      <c r="TUV24" s="64"/>
      <c r="TUW24" s="64"/>
      <c r="TUX24" s="64"/>
      <c r="TUY24" s="64"/>
      <c r="TUZ24" s="64"/>
      <c r="TVA24" s="64"/>
      <c r="TVB24" s="64"/>
      <c r="TVC24" s="64"/>
      <c r="TVD24" s="64"/>
      <c r="TVE24" s="64"/>
      <c r="TVF24" s="64"/>
      <c r="TVG24" s="64"/>
      <c r="TVH24" s="64"/>
      <c r="TVI24" s="64"/>
      <c r="TVJ24" s="64"/>
      <c r="TVK24" s="64"/>
      <c r="TVL24" s="64"/>
      <c r="TVM24" s="64"/>
      <c r="TVN24" s="64"/>
      <c r="TVO24" s="64"/>
      <c r="TVP24" s="64"/>
      <c r="TVQ24" s="64"/>
      <c r="TVR24" s="64"/>
      <c r="TVS24" s="64"/>
      <c r="TVT24" s="64"/>
      <c r="TVU24" s="64"/>
      <c r="TVV24" s="64"/>
      <c r="TVW24" s="64"/>
      <c r="TVX24" s="64"/>
      <c r="TVY24" s="64"/>
      <c r="TVZ24" s="64"/>
      <c r="TWA24" s="64"/>
      <c r="TWB24" s="64"/>
      <c r="TWC24" s="64"/>
      <c r="TWD24" s="64"/>
      <c r="TWE24" s="64"/>
      <c r="TWF24" s="64"/>
      <c r="TWG24" s="64"/>
      <c r="TWH24" s="64"/>
      <c r="TWI24" s="64"/>
      <c r="TWJ24" s="64"/>
      <c r="TWK24" s="64"/>
      <c r="TWL24" s="64"/>
      <c r="TWM24" s="64"/>
      <c r="TWN24" s="64"/>
      <c r="TWO24" s="64"/>
      <c r="TWP24" s="64"/>
      <c r="TWQ24" s="64"/>
      <c r="TWR24" s="64"/>
      <c r="TWS24" s="64"/>
      <c r="TWT24" s="64"/>
      <c r="TWU24" s="64"/>
      <c r="TWV24" s="64"/>
      <c r="TWW24" s="64"/>
      <c r="TWX24" s="64"/>
      <c r="TWY24" s="64"/>
      <c r="TWZ24" s="64"/>
      <c r="TXA24" s="64"/>
      <c r="TXB24" s="64"/>
      <c r="TXC24" s="64"/>
      <c r="TXD24" s="64"/>
      <c r="TXE24" s="64"/>
      <c r="TXF24" s="64"/>
      <c r="TXG24" s="64"/>
      <c r="TXH24" s="64"/>
      <c r="TXI24" s="64"/>
      <c r="TXJ24" s="64"/>
      <c r="TXK24" s="64"/>
      <c r="TXL24" s="64"/>
      <c r="TXM24" s="64"/>
      <c r="TXN24" s="64"/>
      <c r="TXO24" s="64"/>
      <c r="TXP24" s="64"/>
      <c r="TXQ24" s="64"/>
      <c r="TXR24" s="64"/>
      <c r="TXS24" s="64"/>
      <c r="TXT24" s="64"/>
      <c r="TXU24" s="64"/>
      <c r="TXV24" s="64"/>
      <c r="TXW24" s="64"/>
      <c r="TXX24" s="64"/>
      <c r="TXY24" s="64"/>
      <c r="TXZ24" s="64"/>
      <c r="TYA24" s="64"/>
      <c r="TYB24" s="64"/>
      <c r="TYC24" s="64"/>
      <c r="TYD24" s="64"/>
      <c r="TYE24" s="64"/>
      <c r="TYF24" s="64"/>
      <c r="TYG24" s="64"/>
      <c r="TYH24" s="64"/>
      <c r="TYI24" s="64"/>
      <c r="TYJ24" s="64"/>
      <c r="TYK24" s="64"/>
      <c r="TYL24" s="64"/>
      <c r="TYM24" s="64"/>
      <c r="TYN24" s="64"/>
      <c r="TYO24" s="64"/>
      <c r="TYP24" s="64"/>
      <c r="TYQ24" s="64"/>
      <c r="TYR24" s="64"/>
      <c r="TYS24" s="64"/>
      <c r="TYT24" s="64"/>
      <c r="TYU24" s="64"/>
      <c r="TYV24" s="64"/>
      <c r="TYW24" s="64"/>
      <c r="TYX24" s="64"/>
      <c r="TYY24" s="64"/>
      <c r="TYZ24" s="64"/>
      <c r="TZA24" s="64"/>
      <c r="TZB24" s="64"/>
      <c r="TZC24" s="64"/>
      <c r="TZD24" s="64"/>
      <c r="TZE24" s="64"/>
      <c r="TZF24" s="64"/>
      <c r="TZG24" s="64"/>
      <c r="TZH24" s="64"/>
      <c r="TZI24" s="64"/>
      <c r="TZJ24" s="64"/>
      <c r="TZK24" s="64"/>
      <c r="TZL24" s="64"/>
      <c r="TZM24" s="64"/>
      <c r="TZN24" s="64"/>
      <c r="TZO24" s="64"/>
      <c r="TZP24" s="64"/>
      <c r="TZQ24" s="64"/>
      <c r="TZR24" s="64"/>
      <c r="TZS24" s="64"/>
      <c r="TZT24" s="64"/>
      <c r="TZU24" s="64"/>
      <c r="TZV24" s="64"/>
      <c r="TZW24" s="64"/>
      <c r="TZX24" s="64"/>
      <c r="TZY24" s="64"/>
      <c r="TZZ24" s="64"/>
      <c r="UAA24" s="64"/>
      <c r="UAB24" s="64"/>
      <c r="UAC24" s="64"/>
      <c r="UAD24" s="64"/>
      <c r="UAE24" s="64"/>
      <c r="UAF24" s="64"/>
      <c r="UAG24" s="64"/>
      <c r="UAH24" s="64"/>
      <c r="UAI24" s="64"/>
      <c r="UAJ24" s="64"/>
      <c r="UAK24" s="64"/>
      <c r="UAL24" s="64"/>
      <c r="UAM24" s="64"/>
      <c r="UAN24" s="64"/>
      <c r="UAO24" s="64"/>
      <c r="UAP24" s="64"/>
      <c r="UAQ24" s="64"/>
      <c r="UAR24" s="64"/>
      <c r="UAS24" s="64"/>
      <c r="UAT24" s="64"/>
      <c r="UAU24" s="64"/>
      <c r="UAV24" s="64"/>
      <c r="UAW24" s="64"/>
      <c r="UAX24" s="64"/>
      <c r="UAY24" s="64"/>
      <c r="UAZ24" s="64"/>
      <c r="UBA24" s="64"/>
      <c r="UBB24" s="64"/>
      <c r="UBC24" s="64"/>
      <c r="UBD24" s="64"/>
      <c r="UBE24" s="64"/>
      <c r="UBF24" s="64"/>
      <c r="UBG24" s="64"/>
      <c r="UBH24" s="64"/>
      <c r="UBI24" s="64"/>
      <c r="UBJ24" s="64"/>
      <c r="UBK24" s="64"/>
      <c r="UBL24" s="64"/>
      <c r="UBM24" s="64"/>
      <c r="UBN24" s="64"/>
      <c r="UBO24" s="64"/>
      <c r="UBP24" s="64"/>
      <c r="UBQ24" s="64"/>
      <c r="UBR24" s="64"/>
      <c r="UBS24" s="64"/>
      <c r="UBT24" s="64"/>
      <c r="UBU24" s="64"/>
      <c r="UBV24" s="64"/>
      <c r="UBW24" s="64"/>
      <c r="UBX24" s="64"/>
      <c r="UBY24" s="64"/>
      <c r="UBZ24" s="64"/>
      <c r="UCA24" s="64"/>
      <c r="UCB24" s="64"/>
      <c r="UCC24" s="64"/>
      <c r="UCD24" s="64"/>
      <c r="UCE24" s="64"/>
      <c r="UCF24" s="64"/>
      <c r="UCG24" s="64"/>
      <c r="UCH24" s="64"/>
      <c r="UCI24" s="64"/>
      <c r="UCJ24" s="64"/>
      <c r="UCK24" s="64"/>
      <c r="UCL24" s="64"/>
      <c r="UCM24" s="64"/>
      <c r="UCN24" s="64"/>
      <c r="UCO24" s="64"/>
      <c r="UCP24" s="64"/>
      <c r="UCQ24" s="64"/>
      <c r="UCR24" s="64"/>
      <c r="UCS24" s="64"/>
      <c r="UCT24" s="64"/>
      <c r="UCU24" s="64"/>
      <c r="UCV24" s="64"/>
      <c r="UCW24" s="64"/>
      <c r="UCX24" s="64"/>
      <c r="UCY24" s="64"/>
      <c r="UCZ24" s="64"/>
      <c r="UDA24" s="64"/>
      <c r="UDB24" s="64"/>
      <c r="UDC24" s="64"/>
      <c r="UDD24" s="64"/>
      <c r="UDE24" s="64"/>
      <c r="UDF24" s="64"/>
      <c r="UDG24" s="64"/>
      <c r="UDH24" s="64"/>
      <c r="UDI24" s="64"/>
      <c r="UDJ24" s="64"/>
      <c r="UDK24" s="64"/>
      <c r="UDL24" s="64"/>
      <c r="UDM24" s="64"/>
      <c r="UDN24" s="64"/>
      <c r="UDO24" s="64"/>
      <c r="UDP24" s="64"/>
      <c r="UDQ24" s="64"/>
      <c r="UDR24" s="64"/>
      <c r="UDS24" s="64"/>
      <c r="UDT24" s="64"/>
      <c r="UDU24" s="64"/>
      <c r="UDV24" s="64"/>
      <c r="UDW24" s="64"/>
      <c r="UDX24" s="64"/>
      <c r="UDY24" s="64"/>
      <c r="UDZ24" s="64"/>
      <c r="UEA24" s="64"/>
      <c r="UEB24" s="64"/>
      <c r="UEC24" s="64"/>
      <c r="UED24" s="64"/>
      <c r="UEE24" s="64"/>
      <c r="UEF24" s="64"/>
      <c r="UEG24" s="64"/>
      <c r="UEH24" s="64"/>
      <c r="UEI24" s="64"/>
      <c r="UEJ24" s="64"/>
      <c r="UEK24" s="64"/>
      <c r="UEL24" s="64"/>
      <c r="UEM24" s="64"/>
      <c r="UEN24" s="64"/>
      <c r="UEO24" s="64"/>
      <c r="UEP24" s="64"/>
      <c r="UEQ24" s="64"/>
      <c r="UER24" s="64"/>
      <c r="UES24" s="64"/>
      <c r="UET24" s="64"/>
      <c r="UEU24" s="64"/>
      <c r="UEV24" s="64"/>
      <c r="UEW24" s="64"/>
      <c r="UEX24" s="64"/>
      <c r="UEY24" s="64"/>
      <c r="UEZ24" s="64"/>
      <c r="UFA24" s="64"/>
      <c r="UFB24" s="64"/>
      <c r="UFC24" s="64"/>
      <c r="UFD24" s="64"/>
      <c r="UFE24" s="64"/>
      <c r="UFF24" s="64"/>
      <c r="UFG24" s="64"/>
      <c r="UFH24" s="64"/>
      <c r="UFI24" s="64"/>
      <c r="UFJ24" s="64"/>
      <c r="UFK24" s="64"/>
      <c r="UFL24" s="64"/>
      <c r="UFM24" s="64"/>
      <c r="UFN24" s="64"/>
      <c r="UFO24" s="64"/>
      <c r="UFP24" s="64"/>
      <c r="UFQ24" s="64"/>
      <c r="UFR24" s="64"/>
      <c r="UFS24" s="64"/>
      <c r="UFT24" s="64"/>
      <c r="UFU24" s="64"/>
      <c r="UFV24" s="64"/>
      <c r="UFW24" s="64"/>
      <c r="UFX24" s="64"/>
      <c r="UFY24" s="64"/>
      <c r="UFZ24" s="64"/>
      <c r="UGA24" s="64"/>
      <c r="UGB24" s="64"/>
      <c r="UGC24" s="64"/>
      <c r="UGD24" s="64"/>
      <c r="UGE24" s="64"/>
      <c r="UGF24" s="64"/>
      <c r="UGG24" s="64"/>
      <c r="UGH24" s="64"/>
      <c r="UGI24" s="64"/>
      <c r="UGJ24" s="64"/>
      <c r="UGK24" s="64"/>
      <c r="UGL24" s="64"/>
      <c r="UGM24" s="64"/>
      <c r="UGN24" s="64"/>
      <c r="UGO24" s="64"/>
      <c r="UGP24" s="64"/>
      <c r="UGQ24" s="64"/>
      <c r="UGR24" s="64"/>
      <c r="UGS24" s="64"/>
      <c r="UGT24" s="64"/>
      <c r="UGU24" s="64"/>
      <c r="UGV24" s="64"/>
      <c r="UGW24" s="64"/>
      <c r="UGX24" s="64"/>
      <c r="UGY24" s="64"/>
      <c r="UGZ24" s="64"/>
      <c r="UHA24" s="64"/>
      <c r="UHB24" s="64"/>
      <c r="UHC24" s="64"/>
      <c r="UHD24" s="64"/>
      <c r="UHE24" s="64"/>
      <c r="UHF24" s="64"/>
      <c r="UHG24" s="64"/>
      <c r="UHH24" s="64"/>
      <c r="UHI24" s="64"/>
      <c r="UHJ24" s="64"/>
      <c r="UHK24" s="64"/>
      <c r="UHL24" s="64"/>
      <c r="UHM24" s="64"/>
      <c r="UHN24" s="64"/>
      <c r="UHO24" s="64"/>
      <c r="UHP24" s="64"/>
      <c r="UHQ24" s="64"/>
      <c r="UHR24" s="64"/>
      <c r="UHS24" s="64"/>
      <c r="UHT24" s="64"/>
      <c r="UHU24" s="64"/>
      <c r="UHV24" s="64"/>
      <c r="UHW24" s="64"/>
      <c r="UHX24" s="64"/>
      <c r="UHY24" s="64"/>
      <c r="UHZ24" s="64"/>
      <c r="UIA24" s="64"/>
      <c r="UIB24" s="64"/>
      <c r="UIC24" s="64"/>
      <c r="UID24" s="64"/>
      <c r="UIE24" s="64"/>
      <c r="UIF24" s="64"/>
      <c r="UIG24" s="64"/>
      <c r="UIH24" s="64"/>
      <c r="UII24" s="64"/>
      <c r="UIJ24" s="64"/>
      <c r="UIK24" s="64"/>
      <c r="UIL24" s="64"/>
      <c r="UIM24" s="64"/>
      <c r="UIN24" s="64"/>
      <c r="UIO24" s="64"/>
      <c r="UIP24" s="64"/>
      <c r="UIQ24" s="64"/>
      <c r="UIR24" s="64"/>
      <c r="UIS24" s="64"/>
      <c r="UIT24" s="64"/>
      <c r="UIU24" s="64"/>
      <c r="UIV24" s="64"/>
      <c r="UIW24" s="64"/>
      <c r="UIX24" s="64"/>
      <c r="UIY24" s="64"/>
      <c r="UIZ24" s="64"/>
      <c r="UJA24" s="64"/>
      <c r="UJB24" s="64"/>
      <c r="UJC24" s="64"/>
      <c r="UJD24" s="64"/>
      <c r="UJE24" s="64"/>
      <c r="UJF24" s="64"/>
      <c r="UJG24" s="64"/>
      <c r="UJH24" s="64"/>
      <c r="UJI24" s="64"/>
      <c r="UJJ24" s="64"/>
      <c r="UJK24" s="64"/>
      <c r="UJL24" s="64"/>
      <c r="UJM24" s="64"/>
      <c r="UJN24" s="64"/>
      <c r="UJO24" s="64"/>
      <c r="UJP24" s="64"/>
      <c r="UJQ24" s="64"/>
      <c r="UJR24" s="64"/>
      <c r="UJS24" s="64"/>
      <c r="UJT24" s="64"/>
      <c r="UJU24" s="64"/>
      <c r="UJV24" s="64"/>
      <c r="UJW24" s="64"/>
      <c r="UJX24" s="64"/>
      <c r="UJY24" s="64"/>
      <c r="UJZ24" s="64"/>
      <c r="UKA24" s="64"/>
      <c r="UKB24" s="64"/>
      <c r="UKC24" s="64"/>
      <c r="UKD24" s="64"/>
      <c r="UKE24" s="64"/>
      <c r="UKF24" s="64"/>
      <c r="UKG24" s="64"/>
      <c r="UKH24" s="64"/>
      <c r="UKI24" s="64"/>
      <c r="UKJ24" s="64"/>
      <c r="UKK24" s="64"/>
      <c r="UKL24" s="64"/>
      <c r="UKM24" s="64"/>
      <c r="UKN24" s="64"/>
      <c r="UKO24" s="64"/>
      <c r="UKP24" s="64"/>
      <c r="UKQ24" s="64"/>
      <c r="UKR24" s="64"/>
      <c r="UKS24" s="64"/>
      <c r="UKT24" s="64"/>
      <c r="UKU24" s="64"/>
      <c r="UKV24" s="64"/>
      <c r="UKW24" s="64"/>
      <c r="UKX24" s="64"/>
      <c r="UKY24" s="64"/>
      <c r="UKZ24" s="64"/>
      <c r="ULA24" s="64"/>
      <c r="ULB24" s="64"/>
      <c r="ULC24" s="64"/>
      <c r="ULD24" s="64"/>
      <c r="ULE24" s="64"/>
      <c r="ULF24" s="64"/>
      <c r="ULG24" s="64"/>
      <c r="ULH24" s="64"/>
      <c r="ULI24" s="64"/>
      <c r="ULJ24" s="64"/>
      <c r="ULK24" s="64"/>
      <c r="ULL24" s="64"/>
      <c r="ULM24" s="64"/>
      <c r="ULN24" s="64"/>
      <c r="ULO24" s="64"/>
      <c r="ULP24" s="64"/>
      <c r="ULQ24" s="64"/>
      <c r="ULR24" s="64"/>
      <c r="ULS24" s="64"/>
      <c r="ULT24" s="64"/>
      <c r="ULU24" s="64"/>
      <c r="ULV24" s="64"/>
      <c r="ULW24" s="64"/>
      <c r="ULX24" s="64"/>
      <c r="ULY24" s="64"/>
      <c r="ULZ24" s="64"/>
      <c r="UMA24" s="64"/>
      <c r="UMB24" s="64"/>
      <c r="UMC24" s="64"/>
      <c r="UMD24" s="64"/>
      <c r="UME24" s="64"/>
      <c r="UMF24" s="64"/>
      <c r="UMG24" s="64"/>
      <c r="UMH24" s="64"/>
      <c r="UMI24" s="64"/>
      <c r="UMJ24" s="64"/>
      <c r="UMK24" s="64"/>
      <c r="UML24" s="64"/>
      <c r="UMM24" s="64"/>
      <c r="UMN24" s="64"/>
      <c r="UMO24" s="64"/>
      <c r="UMP24" s="64"/>
      <c r="UMQ24" s="64"/>
      <c r="UMR24" s="64"/>
      <c r="UMS24" s="64"/>
      <c r="UMT24" s="64"/>
      <c r="UMU24" s="64"/>
      <c r="UMV24" s="64"/>
      <c r="UMW24" s="64"/>
      <c r="UMX24" s="64"/>
      <c r="UMY24" s="64"/>
      <c r="UMZ24" s="64"/>
      <c r="UNA24" s="64"/>
      <c r="UNB24" s="64"/>
      <c r="UNC24" s="64"/>
      <c r="UND24" s="64"/>
      <c r="UNE24" s="64"/>
      <c r="UNF24" s="64"/>
      <c r="UNG24" s="64"/>
      <c r="UNH24" s="64"/>
      <c r="UNI24" s="64"/>
      <c r="UNJ24" s="64"/>
      <c r="UNK24" s="64"/>
      <c r="UNL24" s="64"/>
      <c r="UNM24" s="64"/>
      <c r="UNN24" s="64"/>
      <c r="UNO24" s="64"/>
      <c r="UNP24" s="64"/>
      <c r="UNQ24" s="64"/>
      <c r="UNR24" s="64"/>
      <c r="UNS24" s="64"/>
      <c r="UNT24" s="64"/>
      <c r="UNU24" s="64"/>
      <c r="UNV24" s="64"/>
      <c r="UNW24" s="64"/>
      <c r="UNX24" s="64"/>
      <c r="UNY24" s="64"/>
      <c r="UNZ24" s="64"/>
      <c r="UOA24" s="64"/>
      <c r="UOB24" s="64"/>
      <c r="UOC24" s="64"/>
      <c r="UOD24" s="64"/>
      <c r="UOE24" s="64"/>
      <c r="UOF24" s="64"/>
      <c r="UOG24" s="64"/>
      <c r="UOH24" s="64"/>
      <c r="UOI24" s="64"/>
      <c r="UOJ24" s="64"/>
      <c r="UOK24" s="64"/>
      <c r="UOL24" s="64"/>
      <c r="UOM24" s="64"/>
      <c r="UON24" s="64"/>
      <c r="UOO24" s="64"/>
      <c r="UOP24" s="64"/>
      <c r="UOQ24" s="64"/>
      <c r="UOR24" s="64"/>
      <c r="UOS24" s="64"/>
      <c r="UOT24" s="64"/>
      <c r="UOU24" s="64"/>
      <c r="UOV24" s="64"/>
      <c r="UOW24" s="64"/>
      <c r="UOX24" s="64"/>
      <c r="UOY24" s="64"/>
      <c r="UOZ24" s="64"/>
      <c r="UPA24" s="64"/>
      <c r="UPB24" s="64"/>
      <c r="UPC24" s="64"/>
      <c r="UPD24" s="64"/>
      <c r="UPE24" s="64"/>
      <c r="UPF24" s="64"/>
      <c r="UPG24" s="64"/>
      <c r="UPH24" s="64"/>
      <c r="UPI24" s="64"/>
      <c r="UPJ24" s="64"/>
      <c r="UPK24" s="64"/>
      <c r="UPL24" s="64"/>
      <c r="UPM24" s="64"/>
      <c r="UPN24" s="64"/>
      <c r="UPO24" s="64"/>
      <c r="UPP24" s="64"/>
      <c r="UPQ24" s="64"/>
      <c r="UPR24" s="64"/>
      <c r="UPS24" s="64"/>
      <c r="UPT24" s="64"/>
      <c r="UPU24" s="64"/>
      <c r="UPV24" s="64"/>
      <c r="UPW24" s="64"/>
      <c r="UPX24" s="64"/>
      <c r="UPY24" s="64"/>
      <c r="UPZ24" s="64"/>
      <c r="UQA24" s="64"/>
      <c r="UQB24" s="64"/>
      <c r="UQC24" s="64"/>
      <c r="UQD24" s="64"/>
      <c r="UQE24" s="64"/>
      <c r="UQF24" s="64"/>
      <c r="UQG24" s="64"/>
      <c r="UQH24" s="64"/>
      <c r="UQI24" s="64"/>
      <c r="UQJ24" s="64"/>
      <c r="UQK24" s="64"/>
      <c r="UQL24" s="64"/>
      <c r="UQM24" s="64"/>
      <c r="UQN24" s="64"/>
      <c r="UQO24" s="64"/>
      <c r="UQP24" s="64"/>
      <c r="UQQ24" s="64"/>
      <c r="UQR24" s="64"/>
      <c r="UQS24" s="64"/>
      <c r="UQT24" s="64"/>
      <c r="UQU24" s="64"/>
      <c r="UQV24" s="64"/>
      <c r="UQW24" s="64"/>
      <c r="UQX24" s="64"/>
      <c r="UQY24" s="64"/>
      <c r="UQZ24" s="64"/>
      <c r="URA24" s="64"/>
      <c r="URB24" s="64"/>
      <c r="URC24" s="64"/>
      <c r="URD24" s="64"/>
      <c r="URE24" s="64"/>
      <c r="URF24" s="64"/>
      <c r="URG24" s="64"/>
      <c r="URH24" s="64"/>
      <c r="URI24" s="64"/>
      <c r="URJ24" s="64"/>
      <c r="URK24" s="64"/>
      <c r="URL24" s="64"/>
      <c r="URM24" s="64"/>
      <c r="URN24" s="64"/>
      <c r="URO24" s="64"/>
      <c r="URP24" s="64"/>
      <c r="URQ24" s="64"/>
      <c r="URR24" s="64"/>
      <c r="URS24" s="64"/>
      <c r="URT24" s="64"/>
      <c r="URU24" s="64"/>
      <c r="URV24" s="64"/>
      <c r="URW24" s="64"/>
      <c r="URX24" s="64"/>
      <c r="URY24" s="64"/>
      <c r="URZ24" s="64"/>
      <c r="USA24" s="64"/>
      <c r="USB24" s="64"/>
      <c r="USC24" s="64"/>
      <c r="USD24" s="64"/>
      <c r="USE24" s="64"/>
      <c r="USF24" s="64"/>
      <c r="USG24" s="64"/>
      <c r="USH24" s="64"/>
      <c r="USI24" s="64"/>
      <c r="USJ24" s="64"/>
      <c r="USK24" s="64"/>
      <c r="USL24" s="64"/>
      <c r="USM24" s="64"/>
      <c r="USN24" s="64"/>
      <c r="USO24" s="64"/>
      <c r="USP24" s="64"/>
      <c r="USQ24" s="64"/>
      <c r="USR24" s="64"/>
      <c r="USS24" s="64"/>
      <c r="UST24" s="64"/>
      <c r="USU24" s="64"/>
      <c r="USV24" s="64"/>
      <c r="USW24" s="64"/>
      <c r="USX24" s="64"/>
      <c r="USY24" s="64"/>
      <c r="USZ24" s="64"/>
      <c r="UTA24" s="64"/>
      <c r="UTB24" s="64"/>
      <c r="UTC24" s="64"/>
      <c r="UTD24" s="64"/>
      <c r="UTE24" s="64"/>
      <c r="UTF24" s="64"/>
      <c r="UTG24" s="64"/>
      <c r="UTH24" s="64"/>
      <c r="UTI24" s="64"/>
      <c r="UTJ24" s="64"/>
      <c r="UTK24" s="64"/>
      <c r="UTL24" s="64"/>
      <c r="UTM24" s="64"/>
      <c r="UTN24" s="64"/>
      <c r="UTO24" s="64"/>
      <c r="UTP24" s="64"/>
      <c r="UTQ24" s="64"/>
      <c r="UTR24" s="64"/>
      <c r="UTS24" s="64"/>
      <c r="UTT24" s="64"/>
      <c r="UTU24" s="64"/>
      <c r="UTV24" s="64"/>
      <c r="UTW24" s="64"/>
      <c r="UTX24" s="64"/>
      <c r="UTY24" s="64"/>
      <c r="UTZ24" s="64"/>
      <c r="UUA24" s="64"/>
      <c r="UUB24" s="64"/>
      <c r="UUC24" s="64"/>
      <c r="UUD24" s="64"/>
      <c r="UUE24" s="64"/>
      <c r="UUF24" s="64"/>
      <c r="UUG24" s="64"/>
      <c r="UUH24" s="64"/>
      <c r="UUI24" s="64"/>
      <c r="UUJ24" s="64"/>
      <c r="UUK24" s="64"/>
      <c r="UUL24" s="64"/>
      <c r="UUM24" s="64"/>
      <c r="UUN24" s="64"/>
      <c r="UUO24" s="64"/>
      <c r="UUP24" s="64"/>
      <c r="UUQ24" s="64"/>
      <c r="UUR24" s="64"/>
      <c r="UUS24" s="64"/>
      <c r="UUT24" s="64"/>
      <c r="UUU24" s="64"/>
      <c r="UUV24" s="64"/>
      <c r="UUW24" s="64"/>
      <c r="UUX24" s="64"/>
      <c r="UUY24" s="64"/>
      <c r="UUZ24" s="64"/>
      <c r="UVA24" s="64"/>
      <c r="UVB24" s="64"/>
      <c r="UVC24" s="64"/>
      <c r="UVD24" s="64"/>
      <c r="UVE24" s="64"/>
      <c r="UVF24" s="64"/>
      <c r="UVG24" s="64"/>
      <c r="UVH24" s="64"/>
      <c r="UVI24" s="64"/>
      <c r="UVJ24" s="64"/>
      <c r="UVK24" s="64"/>
      <c r="UVL24" s="64"/>
      <c r="UVM24" s="64"/>
      <c r="UVN24" s="64"/>
      <c r="UVO24" s="64"/>
      <c r="UVP24" s="64"/>
      <c r="UVQ24" s="64"/>
      <c r="UVR24" s="64"/>
      <c r="UVS24" s="64"/>
      <c r="UVT24" s="64"/>
      <c r="UVU24" s="64"/>
      <c r="UVV24" s="64"/>
      <c r="UVW24" s="64"/>
      <c r="UVX24" s="64"/>
      <c r="UVY24" s="64"/>
      <c r="UVZ24" s="64"/>
      <c r="UWA24" s="64"/>
      <c r="UWB24" s="64"/>
      <c r="UWC24" s="64"/>
      <c r="UWD24" s="64"/>
      <c r="UWE24" s="64"/>
      <c r="UWF24" s="64"/>
      <c r="UWG24" s="64"/>
      <c r="UWH24" s="64"/>
      <c r="UWI24" s="64"/>
      <c r="UWJ24" s="64"/>
      <c r="UWK24" s="64"/>
      <c r="UWL24" s="64"/>
      <c r="UWM24" s="64"/>
      <c r="UWN24" s="64"/>
      <c r="UWO24" s="64"/>
      <c r="UWP24" s="64"/>
      <c r="UWQ24" s="64"/>
      <c r="UWR24" s="64"/>
      <c r="UWS24" s="64"/>
      <c r="UWT24" s="64"/>
      <c r="UWU24" s="64"/>
      <c r="UWV24" s="64"/>
      <c r="UWW24" s="64"/>
      <c r="UWX24" s="64"/>
      <c r="UWY24" s="64"/>
      <c r="UWZ24" s="64"/>
      <c r="UXA24" s="64"/>
      <c r="UXB24" s="64"/>
      <c r="UXC24" s="64"/>
      <c r="UXD24" s="64"/>
      <c r="UXE24" s="64"/>
      <c r="UXF24" s="64"/>
      <c r="UXG24" s="64"/>
      <c r="UXH24" s="64"/>
      <c r="UXI24" s="64"/>
      <c r="UXJ24" s="64"/>
      <c r="UXK24" s="64"/>
      <c r="UXL24" s="64"/>
      <c r="UXM24" s="64"/>
      <c r="UXN24" s="64"/>
      <c r="UXO24" s="64"/>
      <c r="UXP24" s="64"/>
      <c r="UXQ24" s="64"/>
      <c r="UXR24" s="64"/>
      <c r="UXS24" s="64"/>
      <c r="UXT24" s="64"/>
      <c r="UXU24" s="64"/>
      <c r="UXV24" s="64"/>
      <c r="UXW24" s="64"/>
      <c r="UXX24" s="64"/>
      <c r="UXY24" s="64"/>
      <c r="UXZ24" s="64"/>
      <c r="UYA24" s="64"/>
      <c r="UYB24" s="64"/>
      <c r="UYC24" s="64"/>
      <c r="UYD24" s="64"/>
      <c r="UYE24" s="64"/>
      <c r="UYF24" s="64"/>
      <c r="UYG24" s="64"/>
      <c r="UYH24" s="64"/>
      <c r="UYI24" s="64"/>
      <c r="UYJ24" s="64"/>
      <c r="UYK24" s="64"/>
      <c r="UYL24" s="64"/>
      <c r="UYM24" s="64"/>
      <c r="UYN24" s="64"/>
      <c r="UYO24" s="64"/>
      <c r="UYP24" s="64"/>
      <c r="UYQ24" s="64"/>
      <c r="UYR24" s="64"/>
      <c r="UYS24" s="64"/>
      <c r="UYT24" s="64"/>
      <c r="UYU24" s="64"/>
      <c r="UYV24" s="64"/>
      <c r="UYW24" s="64"/>
      <c r="UYX24" s="64"/>
      <c r="UYY24" s="64"/>
      <c r="UYZ24" s="64"/>
      <c r="UZA24" s="64"/>
      <c r="UZB24" s="64"/>
      <c r="UZC24" s="64"/>
      <c r="UZD24" s="64"/>
      <c r="UZE24" s="64"/>
      <c r="UZF24" s="64"/>
      <c r="UZG24" s="64"/>
      <c r="UZH24" s="64"/>
      <c r="UZI24" s="64"/>
      <c r="UZJ24" s="64"/>
      <c r="UZK24" s="64"/>
      <c r="UZL24" s="64"/>
      <c r="UZM24" s="64"/>
      <c r="UZN24" s="64"/>
      <c r="UZO24" s="64"/>
      <c r="UZP24" s="64"/>
      <c r="UZQ24" s="64"/>
      <c r="UZR24" s="64"/>
      <c r="UZS24" s="64"/>
      <c r="UZT24" s="64"/>
      <c r="UZU24" s="64"/>
      <c r="UZV24" s="64"/>
      <c r="UZW24" s="64"/>
      <c r="UZX24" s="64"/>
      <c r="UZY24" s="64"/>
      <c r="UZZ24" s="64"/>
      <c r="VAA24" s="64"/>
      <c r="VAB24" s="64"/>
      <c r="VAC24" s="64"/>
      <c r="VAD24" s="64"/>
      <c r="VAE24" s="64"/>
      <c r="VAF24" s="64"/>
      <c r="VAG24" s="64"/>
      <c r="VAH24" s="64"/>
      <c r="VAI24" s="64"/>
      <c r="VAJ24" s="64"/>
      <c r="VAK24" s="64"/>
      <c r="VAL24" s="64"/>
      <c r="VAM24" s="64"/>
      <c r="VAN24" s="64"/>
      <c r="VAO24" s="64"/>
      <c r="VAP24" s="64"/>
      <c r="VAQ24" s="64"/>
      <c r="VAR24" s="64"/>
      <c r="VAS24" s="64"/>
      <c r="VAT24" s="64"/>
      <c r="VAU24" s="64"/>
      <c r="VAV24" s="64"/>
      <c r="VAW24" s="64"/>
      <c r="VAX24" s="64"/>
      <c r="VAY24" s="64"/>
      <c r="VAZ24" s="64"/>
      <c r="VBA24" s="64"/>
      <c r="VBB24" s="64"/>
      <c r="VBC24" s="64"/>
      <c r="VBD24" s="64"/>
      <c r="VBE24" s="64"/>
      <c r="VBF24" s="64"/>
      <c r="VBG24" s="64"/>
      <c r="VBH24" s="64"/>
      <c r="VBI24" s="64"/>
      <c r="VBJ24" s="64"/>
      <c r="VBK24" s="64"/>
      <c r="VBL24" s="64"/>
      <c r="VBM24" s="64"/>
      <c r="VBN24" s="64"/>
      <c r="VBO24" s="64"/>
      <c r="VBP24" s="64"/>
      <c r="VBQ24" s="64"/>
      <c r="VBR24" s="64"/>
      <c r="VBS24" s="64"/>
      <c r="VBT24" s="64"/>
      <c r="VBU24" s="64"/>
      <c r="VBV24" s="64"/>
      <c r="VBW24" s="64"/>
      <c r="VBX24" s="64"/>
      <c r="VBY24" s="64"/>
      <c r="VBZ24" s="64"/>
      <c r="VCA24" s="64"/>
      <c r="VCB24" s="64"/>
      <c r="VCC24" s="64"/>
      <c r="VCD24" s="64"/>
      <c r="VCE24" s="64"/>
      <c r="VCF24" s="64"/>
      <c r="VCG24" s="64"/>
      <c r="VCH24" s="64"/>
      <c r="VCI24" s="64"/>
      <c r="VCJ24" s="64"/>
      <c r="VCK24" s="64"/>
      <c r="VCL24" s="64"/>
      <c r="VCM24" s="64"/>
      <c r="VCN24" s="64"/>
      <c r="VCO24" s="64"/>
      <c r="VCP24" s="64"/>
      <c r="VCQ24" s="64"/>
      <c r="VCR24" s="64"/>
      <c r="VCS24" s="64"/>
      <c r="VCT24" s="64"/>
      <c r="VCU24" s="64"/>
      <c r="VCV24" s="64"/>
      <c r="VCW24" s="64"/>
      <c r="VCX24" s="64"/>
      <c r="VCY24" s="64"/>
      <c r="VCZ24" s="64"/>
      <c r="VDA24" s="64"/>
      <c r="VDB24" s="64"/>
      <c r="VDC24" s="64"/>
      <c r="VDD24" s="64"/>
      <c r="VDE24" s="64"/>
      <c r="VDF24" s="64"/>
      <c r="VDG24" s="64"/>
      <c r="VDH24" s="64"/>
      <c r="VDI24" s="64"/>
      <c r="VDJ24" s="64"/>
      <c r="VDK24" s="64"/>
      <c r="VDL24" s="64"/>
      <c r="VDM24" s="64"/>
      <c r="VDN24" s="64"/>
      <c r="VDO24" s="64"/>
      <c r="VDP24" s="64"/>
      <c r="VDQ24" s="64"/>
      <c r="VDR24" s="64"/>
      <c r="VDS24" s="64"/>
      <c r="VDT24" s="64"/>
      <c r="VDU24" s="64"/>
      <c r="VDV24" s="64"/>
      <c r="VDW24" s="64"/>
      <c r="VDX24" s="64"/>
      <c r="VDY24" s="64"/>
      <c r="VDZ24" s="64"/>
      <c r="VEA24" s="64"/>
      <c r="VEB24" s="64"/>
      <c r="VEC24" s="64"/>
      <c r="VED24" s="64"/>
      <c r="VEE24" s="64"/>
      <c r="VEF24" s="64"/>
      <c r="VEG24" s="64"/>
      <c r="VEH24" s="64"/>
      <c r="VEI24" s="64"/>
      <c r="VEJ24" s="64"/>
      <c r="VEK24" s="64"/>
      <c r="VEL24" s="64"/>
      <c r="VEM24" s="64"/>
      <c r="VEN24" s="64"/>
      <c r="VEO24" s="64"/>
      <c r="VEP24" s="64"/>
      <c r="VEQ24" s="64"/>
      <c r="VER24" s="64"/>
      <c r="VES24" s="64"/>
      <c r="VET24" s="64"/>
      <c r="VEU24" s="64"/>
      <c r="VEV24" s="64"/>
      <c r="VEW24" s="64"/>
      <c r="VEX24" s="64"/>
      <c r="VEY24" s="64"/>
      <c r="VEZ24" s="64"/>
      <c r="VFA24" s="64"/>
      <c r="VFB24" s="64"/>
      <c r="VFC24" s="64"/>
      <c r="VFD24" s="64"/>
      <c r="VFE24" s="64"/>
      <c r="VFF24" s="64"/>
      <c r="VFG24" s="64"/>
      <c r="VFH24" s="64"/>
      <c r="VFI24" s="64"/>
      <c r="VFJ24" s="64"/>
      <c r="VFK24" s="64"/>
      <c r="VFL24" s="64"/>
      <c r="VFM24" s="64"/>
      <c r="VFN24" s="64"/>
      <c r="VFO24" s="64"/>
      <c r="VFP24" s="64"/>
      <c r="VFQ24" s="64"/>
      <c r="VFR24" s="64"/>
      <c r="VFS24" s="64"/>
      <c r="VFT24" s="64"/>
      <c r="VFU24" s="64"/>
      <c r="VFV24" s="64"/>
      <c r="VFW24" s="64"/>
      <c r="VFX24" s="64"/>
      <c r="VFY24" s="64"/>
      <c r="VFZ24" s="64"/>
      <c r="VGA24" s="64"/>
      <c r="VGB24" s="64"/>
      <c r="VGC24" s="64"/>
      <c r="VGD24" s="64"/>
      <c r="VGE24" s="64"/>
      <c r="VGF24" s="64"/>
      <c r="VGG24" s="64"/>
      <c r="VGH24" s="64"/>
      <c r="VGI24" s="64"/>
      <c r="VGJ24" s="64"/>
      <c r="VGK24" s="64"/>
      <c r="VGL24" s="64"/>
      <c r="VGM24" s="64"/>
      <c r="VGN24" s="64"/>
      <c r="VGO24" s="64"/>
      <c r="VGP24" s="64"/>
      <c r="VGQ24" s="64"/>
      <c r="VGR24" s="64"/>
      <c r="VGS24" s="64"/>
      <c r="VGT24" s="64"/>
      <c r="VGU24" s="64"/>
      <c r="VGV24" s="64"/>
      <c r="VGW24" s="64"/>
      <c r="VGX24" s="64"/>
      <c r="VGY24" s="64"/>
      <c r="VGZ24" s="64"/>
      <c r="VHA24" s="64"/>
      <c r="VHB24" s="64"/>
      <c r="VHC24" s="64"/>
      <c r="VHD24" s="64"/>
      <c r="VHE24" s="64"/>
      <c r="VHF24" s="64"/>
      <c r="VHG24" s="64"/>
      <c r="VHH24" s="64"/>
      <c r="VHI24" s="64"/>
      <c r="VHJ24" s="64"/>
      <c r="VHK24" s="64"/>
      <c r="VHL24" s="64"/>
      <c r="VHM24" s="64"/>
      <c r="VHN24" s="64"/>
      <c r="VHO24" s="64"/>
      <c r="VHP24" s="64"/>
      <c r="VHQ24" s="64"/>
      <c r="VHR24" s="64"/>
      <c r="VHS24" s="64"/>
      <c r="VHT24" s="64"/>
      <c r="VHU24" s="64"/>
      <c r="VHV24" s="64"/>
      <c r="VHW24" s="64"/>
      <c r="VHX24" s="64"/>
      <c r="VHY24" s="64"/>
      <c r="VHZ24" s="64"/>
      <c r="VIA24" s="64"/>
      <c r="VIB24" s="64"/>
      <c r="VIC24" s="64"/>
      <c r="VID24" s="64"/>
      <c r="VIE24" s="64"/>
      <c r="VIF24" s="64"/>
      <c r="VIG24" s="64"/>
      <c r="VIH24" s="64"/>
      <c r="VII24" s="64"/>
      <c r="VIJ24" s="64"/>
      <c r="VIK24" s="64"/>
      <c r="VIL24" s="64"/>
      <c r="VIM24" s="64"/>
      <c r="VIN24" s="64"/>
      <c r="VIO24" s="64"/>
      <c r="VIP24" s="64"/>
      <c r="VIQ24" s="64"/>
      <c r="VIR24" s="64"/>
      <c r="VIS24" s="64"/>
      <c r="VIT24" s="64"/>
      <c r="VIU24" s="64"/>
      <c r="VIV24" s="64"/>
      <c r="VIW24" s="64"/>
      <c r="VIX24" s="64"/>
      <c r="VIY24" s="64"/>
      <c r="VIZ24" s="64"/>
      <c r="VJA24" s="64"/>
      <c r="VJB24" s="64"/>
      <c r="VJC24" s="64"/>
      <c r="VJD24" s="64"/>
      <c r="VJE24" s="64"/>
      <c r="VJF24" s="64"/>
      <c r="VJG24" s="64"/>
      <c r="VJH24" s="64"/>
      <c r="VJI24" s="64"/>
      <c r="VJJ24" s="64"/>
      <c r="VJK24" s="64"/>
      <c r="VJL24" s="64"/>
      <c r="VJM24" s="64"/>
      <c r="VJN24" s="64"/>
      <c r="VJO24" s="64"/>
      <c r="VJP24" s="64"/>
      <c r="VJQ24" s="64"/>
      <c r="VJR24" s="64"/>
      <c r="VJS24" s="64"/>
      <c r="VJT24" s="64"/>
      <c r="VJU24" s="64"/>
      <c r="VJV24" s="64"/>
      <c r="VJW24" s="64"/>
      <c r="VJX24" s="64"/>
      <c r="VJY24" s="64"/>
      <c r="VJZ24" s="64"/>
      <c r="VKA24" s="64"/>
      <c r="VKB24" s="64"/>
      <c r="VKC24" s="64"/>
      <c r="VKD24" s="64"/>
      <c r="VKE24" s="64"/>
      <c r="VKF24" s="64"/>
      <c r="VKG24" s="64"/>
      <c r="VKH24" s="64"/>
      <c r="VKI24" s="64"/>
      <c r="VKJ24" s="64"/>
      <c r="VKK24" s="64"/>
      <c r="VKL24" s="64"/>
      <c r="VKM24" s="64"/>
      <c r="VKN24" s="64"/>
      <c r="VKO24" s="64"/>
      <c r="VKP24" s="64"/>
      <c r="VKQ24" s="64"/>
      <c r="VKR24" s="64"/>
      <c r="VKS24" s="64"/>
      <c r="VKT24" s="64"/>
      <c r="VKU24" s="64"/>
      <c r="VKV24" s="64"/>
      <c r="VKW24" s="64"/>
      <c r="VKX24" s="64"/>
      <c r="VKY24" s="64"/>
      <c r="VKZ24" s="64"/>
      <c r="VLA24" s="64"/>
      <c r="VLB24" s="64"/>
      <c r="VLC24" s="64"/>
      <c r="VLD24" s="64"/>
      <c r="VLE24" s="64"/>
      <c r="VLF24" s="64"/>
      <c r="VLG24" s="64"/>
      <c r="VLH24" s="64"/>
      <c r="VLI24" s="64"/>
      <c r="VLJ24" s="64"/>
      <c r="VLK24" s="64"/>
      <c r="VLL24" s="64"/>
      <c r="VLM24" s="64"/>
      <c r="VLN24" s="64"/>
      <c r="VLO24" s="64"/>
      <c r="VLP24" s="64"/>
      <c r="VLQ24" s="64"/>
      <c r="VLR24" s="64"/>
      <c r="VLS24" s="64"/>
      <c r="VLT24" s="64"/>
      <c r="VLU24" s="64"/>
      <c r="VLV24" s="64"/>
      <c r="VLW24" s="64"/>
      <c r="VLX24" s="64"/>
      <c r="VLY24" s="64"/>
      <c r="VLZ24" s="64"/>
      <c r="VMA24" s="64"/>
      <c r="VMB24" s="64"/>
      <c r="VMC24" s="64"/>
      <c r="VMD24" s="64"/>
      <c r="VME24" s="64"/>
      <c r="VMF24" s="64"/>
      <c r="VMG24" s="64"/>
      <c r="VMH24" s="64"/>
      <c r="VMI24" s="64"/>
      <c r="VMJ24" s="64"/>
      <c r="VMK24" s="64"/>
      <c r="VML24" s="64"/>
      <c r="VMM24" s="64"/>
      <c r="VMN24" s="64"/>
      <c r="VMO24" s="64"/>
      <c r="VMP24" s="64"/>
      <c r="VMQ24" s="64"/>
      <c r="VMR24" s="64"/>
      <c r="VMS24" s="64"/>
      <c r="VMT24" s="64"/>
      <c r="VMU24" s="64"/>
      <c r="VMV24" s="64"/>
      <c r="VMW24" s="64"/>
      <c r="VMX24" s="64"/>
      <c r="VMY24" s="64"/>
      <c r="VMZ24" s="64"/>
      <c r="VNA24" s="64"/>
      <c r="VNB24" s="64"/>
      <c r="VNC24" s="64"/>
      <c r="VND24" s="64"/>
      <c r="VNE24" s="64"/>
      <c r="VNF24" s="64"/>
      <c r="VNG24" s="64"/>
      <c r="VNH24" s="64"/>
      <c r="VNI24" s="64"/>
      <c r="VNJ24" s="64"/>
      <c r="VNK24" s="64"/>
      <c r="VNL24" s="64"/>
      <c r="VNM24" s="64"/>
      <c r="VNN24" s="64"/>
      <c r="VNO24" s="64"/>
      <c r="VNP24" s="64"/>
      <c r="VNQ24" s="64"/>
      <c r="VNR24" s="64"/>
      <c r="VNS24" s="64"/>
      <c r="VNT24" s="64"/>
      <c r="VNU24" s="64"/>
      <c r="VNV24" s="64"/>
      <c r="VNW24" s="64"/>
      <c r="VNX24" s="64"/>
      <c r="VNY24" s="64"/>
      <c r="VNZ24" s="64"/>
      <c r="VOA24" s="64"/>
      <c r="VOB24" s="64"/>
      <c r="VOC24" s="64"/>
      <c r="VOD24" s="64"/>
      <c r="VOE24" s="64"/>
      <c r="VOF24" s="64"/>
      <c r="VOG24" s="64"/>
      <c r="VOH24" s="64"/>
      <c r="VOI24" s="64"/>
      <c r="VOJ24" s="64"/>
      <c r="VOK24" s="64"/>
      <c r="VOL24" s="64"/>
      <c r="VOM24" s="64"/>
      <c r="VON24" s="64"/>
      <c r="VOO24" s="64"/>
      <c r="VOP24" s="64"/>
      <c r="VOQ24" s="64"/>
      <c r="VOR24" s="64"/>
      <c r="VOS24" s="64"/>
      <c r="VOT24" s="64"/>
      <c r="VOU24" s="64"/>
      <c r="VOV24" s="64"/>
      <c r="VOW24" s="64"/>
      <c r="VOX24" s="64"/>
      <c r="VOY24" s="64"/>
      <c r="VOZ24" s="64"/>
      <c r="VPA24" s="64"/>
      <c r="VPB24" s="64"/>
      <c r="VPC24" s="64"/>
      <c r="VPD24" s="64"/>
      <c r="VPE24" s="64"/>
      <c r="VPF24" s="64"/>
      <c r="VPG24" s="64"/>
      <c r="VPH24" s="64"/>
      <c r="VPI24" s="64"/>
      <c r="VPJ24" s="64"/>
      <c r="VPK24" s="64"/>
      <c r="VPL24" s="64"/>
      <c r="VPM24" s="64"/>
      <c r="VPN24" s="64"/>
      <c r="VPO24" s="64"/>
      <c r="VPP24" s="64"/>
      <c r="VPQ24" s="64"/>
      <c r="VPR24" s="64"/>
      <c r="VPS24" s="64"/>
      <c r="VPT24" s="64"/>
      <c r="VPU24" s="64"/>
      <c r="VPV24" s="64"/>
      <c r="VPW24" s="64"/>
      <c r="VPX24" s="64"/>
      <c r="VPY24" s="64"/>
      <c r="VPZ24" s="64"/>
      <c r="VQA24" s="64"/>
      <c r="VQB24" s="64"/>
      <c r="VQC24" s="64"/>
      <c r="VQD24" s="64"/>
      <c r="VQE24" s="64"/>
      <c r="VQF24" s="64"/>
      <c r="VQG24" s="64"/>
      <c r="VQH24" s="64"/>
      <c r="VQI24" s="64"/>
      <c r="VQJ24" s="64"/>
      <c r="VQK24" s="64"/>
      <c r="VQL24" s="64"/>
      <c r="VQM24" s="64"/>
      <c r="VQN24" s="64"/>
      <c r="VQO24" s="64"/>
      <c r="VQP24" s="64"/>
      <c r="VQQ24" s="64"/>
      <c r="VQR24" s="64"/>
      <c r="VQS24" s="64"/>
      <c r="VQT24" s="64"/>
      <c r="VQU24" s="64"/>
      <c r="VQV24" s="64"/>
      <c r="VQW24" s="64"/>
      <c r="VQX24" s="64"/>
      <c r="VQY24" s="64"/>
      <c r="VQZ24" s="64"/>
      <c r="VRA24" s="64"/>
      <c r="VRB24" s="64"/>
      <c r="VRC24" s="64"/>
      <c r="VRD24" s="64"/>
      <c r="VRE24" s="64"/>
      <c r="VRF24" s="64"/>
      <c r="VRG24" s="64"/>
      <c r="VRH24" s="64"/>
      <c r="VRI24" s="64"/>
      <c r="VRJ24" s="64"/>
      <c r="VRK24" s="64"/>
      <c r="VRL24" s="64"/>
      <c r="VRM24" s="64"/>
      <c r="VRN24" s="64"/>
      <c r="VRO24" s="64"/>
      <c r="VRP24" s="64"/>
      <c r="VRQ24" s="64"/>
      <c r="VRR24" s="64"/>
      <c r="VRS24" s="64"/>
      <c r="VRT24" s="64"/>
      <c r="VRU24" s="64"/>
      <c r="VRV24" s="64"/>
      <c r="VRW24" s="64"/>
      <c r="VRX24" s="64"/>
      <c r="VRY24" s="64"/>
      <c r="VRZ24" s="64"/>
      <c r="VSA24" s="64"/>
      <c r="VSB24" s="64"/>
      <c r="VSC24" s="64"/>
      <c r="VSD24" s="64"/>
      <c r="VSE24" s="64"/>
      <c r="VSF24" s="64"/>
      <c r="VSG24" s="64"/>
      <c r="VSH24" s="64"/>
      <c r="VSI24" s="64"/>
      <c r="VSJ24" s="64"/>
      <c r="VSK24" s="64"/>
      <c r="VSL24" s="64"/>
      <c r="VSM24" s="64"/>
      <c r="VSN24" s="64"/>
      <c r="VSO24" s="64"/>
      <c r="VSP24" s="64"/>
      <c r="VSQ24" s="64"/>
      <c r="VSR24" s="64"/>
      <c r="VSS24" s="64"/>
      <c r="VST24" s="64"/>
      <c r="VSU24" s="64"/>
      <c r="VSV24" s="64"/>
      <c r="VSW24" s="64"/>
      <c r="VSX24" s="64"/>
      <c r="VSY24" s="64"/>
      <c r="VSZ24" s="64"/>
      <c r="VTA24" s="64"/>
      <c r="VTB24" s="64"/>
      <c r="VTC24" s="64"/>
      <c r="VTD24" s="64"/>
      <c r="VTE24" s="64"/>
      <c r="VTF24" s="64"/>
      <c r="VTG24" s="64"/>
      <c r="VTH24" s="64"/>
      <c r="VTI24" s="64"/>
      <c r="VTJ24" s="64"/>
      <c r="VTK24" s="64"/>
      <c r="VTL24" s="64"/>
      <c r="VTM24" s="64"/>
      <c r="VTN24" s="64"/>
      <c r="VTO24" s="64"/>
      <c r="VTP24" s="64"/>
      <c r="VTQ24" s="64"/>
      <c r="VTR24" s="64"/>
      <c r="VTS24" s="64"/>
      <c r="VTT24" s="64"/>
      <c r="VTU24" s="64"/>
      <c r="VTV24" s="64"/>
      <c r="VTW24" s="64"/>
      <c r="VTX24" s="64"/>
      <c r="VTY24" s="64"/>
      <c r="VTZ24" s="64"/>
      <c r="VUA24" s="64"/>
      <c r="VUB24" s="64"/>
      <c r="VUC24" s="64"/>
      <c r="VUD24" s="64"/>
      <c r="VUE24" s="64"/>
      <c r="VUF24" s="64"/>
      <c r="VUG24" s="64"/>
      <c r="VUH24" s="64"/>
      <c r="VUI24" s="64"/>
      <c r="VUJ24" s="64"/>
      <c r="VUK24" s="64"/>
      <c r="VUL24" s="64"/>
      <c r="VUM24" s="64"/>
      <c r="VUN24" s="64"/>
      <c r="VUO24" s="64"/>
      <c r="VUP24" s="64"/>
      <c r="VUQ24" s="64"/>
      <c r="VUR24" s="64"/>
      <c r="VUS24" s="64"/>
      <c r="VUT24" s="64"/>
      <c r="VUU24" s="64"/>
      <c r="VUV24" s="64"/>
      <c r="VUW24" s="64"/>
      <c r="VUX24" s="64"/>
      <c r="VUY24" s="64"/>
      <c r="VUZ24" s="64"/>
      <c r="VVA24" s="64"/>
      <c r="VVB24" s="64"/>
      <c r="VVC24" s="64"/>
      <c r="VVD24" s="64"/>
      <c r="VVE24" s="64"/>
      <c r="VVF24" s="64"/>
      <c r="VVG24" s="64"/>
      <c r="VVH24" s="64"/>
      <c r="VVI24" s="64"/>
      <c r="VVJ24" s="64"/>
      <c r="VVK24" s="64"/>
      <c r="VVL24" s="64"/>
      <c r="VVM24" s="64"/>
      <c r="VVN24" s="64"/>
      <c r="VVO24" s="64"/>
      <c r="VVP24" s="64"/>
      <c r="VVQ24" s="64"/>
      <c r="VVR24" s="64"/>
      <c r="VVS24" s="64"/>
      <c r="VVT24" s="64"/>
      <c r="VVU24" s="64"/>
      <c r="VVV24" s="64"/>
      <c r="VVW24" s="64"/>
      <c r="VVX24" s="64"/>
      <c r="VVY24" s="64"/>
      <c r="VVZ24" s="64"/>
      <c r="VWA24" s="64"/>
      <c r="VWB24" s="64"/>
      <c r="VWC24" s="64"/>
      <c r="VWD24" s="64"/>
      <c r="VWE24" s="64"/>
      <c r="VWF24" s="64"/>
      <c r="VWG24" s="64"/>
      <c r="VWH24" s="64"/>
      <c r="VWI24" s="64"/>
      <c r="VWJ24" s="64"/>
      <c r="VWK24" s="64"/>
      <c r="VWL24" s="64"/>
      <c r="VWM24" s="64"/>
      <c r="VWN24" s="64"/>
      <c r="VWO24" s="64"/>
      <c r="VWP24" s="64"/>
      <c r="VWQ24" s="64"/>
      <c r="VWR24" s="64"/>
      <c r="VWS24" s="64"/>
      <c r="VWT24" s="64"/>
      <c r="VWU24" s="64"/>
      <c r="VWV24" s="64"/>
      <c r="VWW24" s="64"/>
      <c r="VWX24" s="64"/>
      <c r="VWY24" s="64"/>
      <c r="VWZ24" s="64"/>
      <c r="VXA24" s="64"/>
      <c r="VXB24" s="64"/>
      <c r="VXC24" s="64"/>
      <c r="VXD24" s="64"/>
      <c r="VXE24" s="64"/>
      <c r="VXF24" s="64"/>
      <c r="VXG24" s="64"/>
      <c r="VXH24" s="64"/>
      <c r="VXI24" s="64"/>
      <c r="VXJ24" s="64"/>
      <c r="VXK24" s="64"/>
      <c r="VXL24" s="64"/>
      <c r="VXM24" s="64"/>
      <c r="VXN24" s="64"/>
      <c r="VXO24" s="64"/>
      <c r="VXP24" s="64"/>
      <c r="VXQ24" s="64"/>
      <c r="VXR24" s="64"/>
      <c r="VXS24" s="64"/>
      <c r="VXT24" s="64"/>
      <c r="VXU24" s="64"/>
      <c r="VXV24" s="64"/>
      <c r="VXW24" s="64"/>
      <c r="VXX24" s="64"/>
      <c r="VXY24" s="64"/>
      <c r="VXZ24" s="64"/>
      <c r="VYA24" s="64"/>
      <c r="VYB24" s="64"/>
      <c r="VYC24" s="64"/>
      <c r="VYD24" s="64"/>
      <c r="VYE24" s="64"/>
      <c r="VYF24" s="64"/>
      <c r="VYG24" s="64"/>
      <c r="VYH24" s="64"/>
      <c r="VYI24" s="64"/>
      <c r="VYJ24" s="64"/>
      <c r="VYK24" s="64"/>
      <c r="VYL24" s="64"/>
      <c r="VYM24" s="64"/>
      <c r="VYN24" s="64"/>
      <c r="VYO24" s="64"/>
      <c r="VYP24" s="64"/>
      <c r="VYQ24" s="64"/>
      <c r="VYR24" s="64"/>
      <c r="VYS24" s="64"/>
      <c r="VYT24" s="64"/>
      <c r="VYU24" s="64"/>
      <c r="VYV24" s="64"/>
      <c r="VYW24" s="64"/>
      <c r="VYX24" s="64"/>
      <c r="VYY24" s="64"/>
      <c r="VYZ24" s="64"/>
      <c r="VZA24" s="64"/>
      <c r="VZB24" s="64"/>
      <c r="VZC24" s="64"/>
      <c r="VZD24" s="64"/>
      <c r="VZE24" s="64"/>
      <c r="VZF24" s="64"/>
      <c r="VZG24" s="64"/>
      <c r="VZH24" s="64"/>
      <c r="VZI24" s="64"/>
      <c r="VZJ24" s="64"/>
      <c r="VZK24" s="64"/>
      <c r="VZL24" s="64"/>
      <c r="VZM24" s="64"/>
      <c r="VZN24" s="64"/>
      <c r="VZO24" s="64"/>
      <c r="VZP24" s="64"/>
      <c r="VZQ24" s="64"/>
      <c r="VZR24" s="64"/>
      <c r="VZS24" s="64"/>
      <c r="VZT24" s="64"/>
      <c r="VZU24" s="64"/>
      <c r="VZV24" s="64"/>
      <c r="VZW24" s="64"/>
      <c r="VZX24" s="64"/>
      <c r="VZY24" s="64"/>
      <c r="VZZ24" s="64"/>
      <c r="WAA24" s="64"/>
      <c r="WAB24" s="64"/>
      <c r="WAC24" s="64"/>
      <c r="WAD24" s="64"/>
      <c r="WAE24" s="64"/>
      <c r="WAF24" s="64"/>
      <c r="WAG24" s="64"/>
      <c r="WAH24" s="64"/>
      <c r="WAI24" s="64"/>
      <c r="WAJ24" s="64"/>
      <c r="WAK24" s="64"/>
      <c r="WAL24" s="64"/>
      <c r="WAM24" s="64"/>
      <c r="WAN24" s="64"/>
      <c r="WAO24" s="64"/>
      <c r="WAP24" s="64"/>
      <c r="WAQ24" s="64"/>
      <c r="WAR24" s="64"/>
      <c r="WAS24" s="64"/>
      <c r="WAT24" s="64"/>
      <c r="WAU24" s="64"/>
      <c r="WAV24" s="64"/>
      <c r="WAW24" s="64"/>
      <c r="WAX24" s="64"/>
      <c r="WAY24" s="64"/>
      <c r="WAZ24" s="64"/>
      <c r="WBA24" s="64"/>
      <c r="WBB24" s="64"/>
      <c r="WBC24" s="64"/>
      <c r="WBD24" s="64"/>
      <c r="WBE24" s="64"/>
      <c r="WBF24" s="64"/>
      <c r="WBG24" s="64"/>
      <c r="WBH24" s="64"/>
      <c r="WBI24" s="64"/>
      <c r="WBJ24" s="64"/>
      <c r="WBK24" s="64"/>
      <c r="WBL24" s="64"/>
      <c r="WBM24" s="64"/>
      <c r="WBN24" s="64"/>
      <c r="WBO24" s="64"/>
      <c r="WBP24" s="64"/>
      <c r="WBQ24" s="64"/>
      <c r="WBR24" s="64"/>
      <c r="WBS24" s="64"/>
      <c r="WBT24" s="64"/>
      <c r="WBU24" s="64"/>
      <c r="WBV24" s="64"/>
      <c r="WBW24" s="64"/>
      <c r="WBX24" s="64"/>
      <c r="WBY24" s="64"/>
      <c r="WBZ24" s="64"/>
      <c r="WCA24" s="64"/>
      <c r="WCB24" s="64"/>
      <c r="WCC24" s="64"/>
      <c r="WCD24" s="64"/>
      <c r="WCE24" s="64"/>
      <c r="WCF24" s="64"/>
      <c r="WCG24" s="64"/>
      <c r="WCH24" s="64"/>
      <c r="WCI24" s="64"/>
      <c r="WCJ24" s="64"/>
      <c r="WCK24" s="64"/>
      <c r="WCL24" s="64"/>
      <c r="WCM24" s="64"/>
      <c r="WCN24" s="64"/>
      <c r="WCO24" s="64"/>
      <c r="WCP24" s="64"/>
      <c r="WCQ24" s="64"/>
      <c r="WCR24" s="64"/>
      <c r="WCS24" s="64"/>
      <c r="WCT24" s="64"/>
      <c r="WCU24" s="64"/>
      <c r="WCV24" s="64"/>
      <c r="WCW24" s="64"/>
      <c r="WCX24" s="64"/>
      <c r="WCY24" s="64"/>
      <c r="WCZ24" s="64"/>
      <c r="WDA24" s="64"/>
      <c r="WDB24" s="64"/>
      <c r="WDC24" s="64"/>
      <c r="WDD24" s="64"/>
      <c r="WDE24" s="64"/>
      <c r="WDF24" s="64"/>
      <c r="WDG24" s="64"/>
      <c r="WDH24" s="64"/>
      <c r="WDI24" s="64"/>
      <c r="WDJ24" s="64"/>
      <c r="WDK24" s="64"/>
      <c r="WDL24" s="64"/>
      <c r="WDM24" s="64"/>
      <c r="WDN24" s="64"/>
      <c r="WDO24" s="64"/>
      <c r="WDP24" s="64"/>
      <c r="WDQ24" s="64"/>
      <c r="WDR24" s="64"/>
      <c r="WDS24" s="64"/>
      <c r="WDT24" s="64"/>
      <c r="WDU24" s="64"/>
      <c r="WDV24" s="64"/>
      <c r="WDW24" s="64"/>
      <c r="WDX24" s="64"/>
      <c r="WDY24" s="64"/>
      <c r="WDZ24" s="64"/>
      <c r="WEA24" s="64"/>
      <c r="WEB24" s="64"/>
      <c r="WEC24" s="64"/>
      <c r="WED24" s="64"/>
      <c r="WEE24" s="64"/>
      <c r="WEF24" s="64"/>
      <c r="WEG24" s="64"/>
      <c r="WEH24" s="64"/>
      <c r="WEI24" s="64"/>
      <c r="WEJ24" s="64"/>
      <c r="WEK24" s="64"/>
      <c r="WEL24" s="64"/>
      <c r="WEM24" s="64"/>
      <c r="WEN24" s="64"/>
      <c r="WEO24" s="64"/>
      <c r="WEP24" s="64"/>
      <c r="WEQ24" s="64"/>
      <c r="WER24" s="64"/>
      <c r="WES24" s="64"/>
      <c r="WET24" s="64"/>
      <c r="WEU24" s="64"/>
      <c r="WEV24" s="64"/>
      <c r="WEW24" s="64"/>
      <c r="WEX24" s="64"/>
      <c r="WEY24" s="64"/>
      <c r="WEZ24" s="64"/>
      <c r="WFA24" s="64"/>
      <c r="WFB24" s="64"/>
      <c r="WFC24" s="64"/>
      <c r="WFD24" s="64"/>
      <c r="WFE24" s="64"/>
      <c r="WFF24" s="64"/>
      <c r="WFG24" s="64"/>
      <c r="WFH24" s="64"/>
      <c r="WFI24" s="64"/>
      <c r="WFJ24" s="64"/>
      <c r="WFK24" s="64"/>
      <c r="WFL24" s="64"/>
      <c r="WFM24" s="64"/>
      <c r="WFN24" s="64"/>
      <c r="WFO24" s="64"/>
      <c r="WFP24" s="64"/>
      <c r="WFQ24" s="64"/>
      <c r="WFR24" s="64"/>
      <c r="WFS24" s="64"/>
      <c r="WFT24" s="64"/>
      <c r="WFU24" s="64"/>
      <c r="WFV24" s="64"/>
      <c r="WFW24" s="64"/>
      <c r="WFX24" s="64"/>
      <c r="WFY24" s="64"/>
      <c r="WFZ24" s="64"/>
      <c r="WGA24" s="64"/>
      <c r="WGB24" s="64"/>
      <c r="WGC24" s="64"/>
      <c r="WGD24" s="64"/>
      <c r="WGE24" s="64"/>
      <c r="WGF24" s="64"/>
      <c r="WGG24" s="64"/>
      <c r="WGH24" s="64"/>
      <c r="WGI24" s="64"/>
      <c r="WGJ24" s="64"/>
      <c r="WGK24" s="64"/>
      <c r="WGL24" s="64"/>
      <c r="WGM24" s="64"/>
      <c r="WGN24" s="64"/>
      <c r="WGO24" s="64"/>
      <c r="WGP24" s="64"/>
      <c r="WGQ24" s="64"/>
      <c r="WGR24" s="64"/>
      <c r="WGS24" s="64"/>
      <c r="WGT24" s="64"/>
      <c r="WGU24" s="64"/>
      <c r="WGV24" s="64"/>
      <c r="WGW24" s="64"/>
      <c r="WGX24" s="64"/>
      <c r="WGY24" s="64"/>
      <c r="WGZ24" s="64"/>
      <c r="WHA24" s="64"/>
      <c r="WHB24" s="64"/>
      <c r="WHC24" s="64"/>
      <c r="WHD24" s="64"/>
      <c r="WHE24" s="64"/>
      <c r="WHF24" s="64"/>
      <c r="WHG24" s="64"/>
      <c r="WHH24" s="64"/>
      <c r="WHI24" s="64"/>
      <c r="WHJ24" s="64"/>
      <c r="WHK24" s="64"/>
      <c r="WHL24" s="64"/>
      <c r="WHM24" s="64"/>
      <c r="WHN24" s="64"/>
      <c r="WHO24" s="64"/>
      <c r="WHP24" s="64"/>
      <c r="WHQ24" s="64"/>
      <c r="WHR24" s="64"/>
      <c r="WHS24" s="64"/>
      <c r="WHT24" s="64"/>
      <c r="WHU24" s="64"/>
      <c r="WHV24" s="64"/>
      <c r="WHW24" s="64"/>
      <c r="WHX24" s="64"/>
      <c r="WHY24" s="64"/>
      <c r="WHZ24" s="64"/>
      <c r="WIA24" s="64"/>
      <c r="WIB24" s="64"/>
      <c r="WIC24" s="64"/>
      <c r="WID24" s="64"/>
      <c r="WIE24" s="64"/>
      <c r="WIF24" s="64"/>
      <c r="WIG24" s="64"/>
      <c r="WIH24" s="64"/>
      <c r="WII24" s="64"/>
      <c r="WIJ24" s="64"/>
      <c r="WIK24" s="64"/>
      <c r="WIL24" s="64"/>
      <c r="WIM24" s="64"/>
      <c r="WIN24" s="64"/>
      <c r="WIO24" s="64"/>
      <c r="WIP24" s="64"/>
      <c r="WIQ24" s="64"/>
      <c r="WIR24" s="64"/>
      <c r="WIS24" s="64"/>
      <c r="WIT24" s="64"/>
      <c r="WIU24" s="64"/>
      <c r="WIV24" s="64"/>
      <c r="WIW24" s="64"/>
      <c r="WIX24" s="64"/>
      <c r="WIY24" s="64"/>
      <c r="WIZ24" s="64"/>
      <c r="WJA24" s="64"/>
      <c r="WJB24" s="64"/>
      <c r="WJC24" s="64"/>
      <c r="WJD24" s="64"/>
      <c r="WJE24" s="64"/>
      <c r="WJF24" s="64"/>
      <c r="WJG24" s="64"/>
      <c r="WJH24" s="64"/>
      <c r="WJI24" s="64"/>
      <c r="WJJ24" s="64"/>
      <c r="WJK24" s="64"/>
      <c r="WJL24" s="64"/>
      <c r="WJM24" s="64"/>
      <c r="WJN24" s="64"/>
      <c r="WJO24" s="64"/>
      <c r="WJP24" s="64"/>
      <c r="WJQ24" s="64"/>
      <c r="WJR24" s="64"/>
      <c r="WJS24" s="64"/>
      <c r="WJT24" s="64"/>
      <c r="WJU24" s="64"/>
      <c r="WJV24" s="64"/>
      <c r="WJW24" s="64"/>
      <c r="WJX24" s="64"/>
      <c r="WJY24" s="64"/>
      <c r="WJZ24" s="64"/>
      <c r="WKA24" s="64"/>
      <c r="WKB24" s="64"/>
      <c r="WKC24" s="64"/>
      <c r="WKD24" s="64"/>
      <c r="WKE24" s="64"/>
      <c r="WKF24" s="64"/>
      <c r="WKG24" s="64"/>
      <c r="WKH24" s="64"/>
      <c r="WKI24" s="64"/>
      <c r="WKJ24" s="64"/>
      <c r="WKK24" s="64"/>
      <c r="WKL24" s="64"/>
      <c r="WKM24" s="64"/>
      <c r="WKN24" s="64"/>
      <c r="WKO24" s="64"/>
      <c r="WKP24" s="64"/>
      <c r="WKQ24" s="64"/>
      <c r="WKR24" s="64"/>
      <c r="WKS24" s="64"/>
      <c r="WKT24" s="64"/>
      <c r="WKU24" s="64"/>
      <c r="WKV24" s="64"/>
      <c r="WKW24" s="64"/>
      <c r="WKX24" s="64"/>
      <c r="WKY24" s="64"/>
      <c r="WKZ24" s="64"/>
      <c r="WLA24" s="64"/>
      <c r="WLB24" s="64"/>
      <c r="WLC24" s="64"/>
      <c r="WLD24" s="64"/>
      <c r="WLE24" s="64"/>
      <c r="WLF24" s="64"/>
      <c r="WLG24" s="64"/>
      <c r="WLH24" s="64"/>
      <c r="WLI24" s="64"/>
      <c r="WLJ24" s="64"/>
      <c r="WLK24" s="64"/>
      <c r="WLL24" s="64"/>
      <c r="WLM24" s="64"/>
      <c r="WLN24" s="64"/>
      <c r="WLO24" s="64"/>
      <c r="WLP24" s="64"/>
      <c r="WLQ24" s="64"/>
      <c r="WLR24" s="64"/>
      <c r="WLS24" s="64"/>
      <c r="WLT24" s="64"/>
      <c r="WLU24" s="64"/>
      <c r="WLV24" s="64"/>
      <c r="WLW24" s="64"/>
      <c r="WLX24" s="64"/>
      <c r="WLY24" s="64"/>
      <c r="WLZ24" s="64"/>
      <c r="WMA24" s="64"/>
      <c r="WMB24" s="64"/>
      <c r="WMC24" s="64"/>
      <c r="WMD24" s="64"/>
      <c r="WME24" s="64"/>
      <c r="WMF24" s="64"/>
      <c r="WMG24" s="64"/>
      <c r="WMH24" s="64"/>
      <c r="WMI24" s="64"/>
      <c r="WMJ24" s="64"/>
      <c r="WMK24" s="64"/>
      <c r="WML24" s="64"/>
      <c r="WMM24" s="64"/>
      <c r="WMN24" s="64"/>
      <c r="WMO24" s="64"/>
      <c r="WMP24" s="64"/>
      <c r="WMQ24" s="64"/>
      <c r="WMR24" s="64"/>
      <c r="WMS24" s="64"/>
      <c r="WMT24" s="64"/>
      <c r="WMU24" s="64"/>
      <c r="WMV24" s="64"/>
      <c r="WMW24" s="64"/>
      <c r="WMX24" s="64"/>
      <c r="WMY24" s="64"/>
      <c r="WMZ24" s="64"/>
      <c r="WNA24" s="64"/>
      <c r="WNB24" s="64"/>
      <c r="WNC24" s="64"/>
      <c r="WND24" s="64"/>
      <c r="WNE24" s="64"/>
      <c r="WNF24" s="64"/>
      <c r="WNG24" s="64"/>
      <c r="WNH24" s="64"/>
      <c r="WNI24" s="64"/>
      <c r="WNJ24" s="64"/>
      <c r="WNK24" s="64"/>
      <c r="WNL24" s="64"/>
      <c r="WNM24" s="64"/>
      <c r="WNN24" s="64"/>
      <c r="WNO24" s="64"/>
      <c r="WNP24" s="64"/>
      <c r="WNQ24" s="64"/>
      <c r="WNR24" s="64"/>
      <c r="WNS24" s="64"/>
      <c r="WNT24" s="64"/>
      <c r="WNU24" s="64"/>
      <c r="WNV24" s="64"/>
      <c r="WNW24" s="64"/>
      <c r="WNX24" s="64"/>
      <c r="WNY24" s="64"/>
      <c r="WNZ24" s="64"/>
      <c r="WOA24" s="64"/>
      <c r="WOB24" s="64"/>
      <c r="WOC24" s="64"/>
      <c r="WOD24" s="64"/>
      <c r="WOE24" s="64"/>
      <c r="WOF24" s="64"/>
      <c r="WOG24" s="64"/>
      <c r="WOH24" s="64"/>
      <c r="WOI24" s="64"/>
      <c r="WOJ24" s="64"/>
      <c r="WOK24" s="64"/>
      <c r="WOL24" s="64"/>
      <c r="WOM24" s="64"/>
      <c r="WON24" s="64"/>
      <c r="WOO24" s="64"/>
      <c r="WOP24" s="64"/>
      <c r="WOQ24" s="64"/>
      <c r="WOR24" s="64"/>
      <c r="WOS24" s="64"/>
      <c r="WOT24" s="64"/>
      <c r="WOU24" s="64"/>
      <c r="WOV24" s="64"/>
      <c r="WOW24" s="64"/>
      <c r="WOX24" s="64"/>
      <c r="WOY24" s="64"/>
      <c r="WOZ24" s="64"/>
      <c r="WPA24" s="64"/>
      <c r="WPB24" s="64"/>
      <c r="WPC24" s="64"/>
      <c r="WPD24" s="64"/>
      <c r="WPE24" s="64"/>
      <c r="WPF24" s="64"/>
      <c r="WPG24" s="64"/>
      <c r="WPH24" s="64"/>
      <c r="WPI24" s="64"/>
      <c r="WPJ24" s="64"/>
      <c r="WPK24" s="64"/>
      <c r="WPL24" s="64"/>
      <c r="WPM24" s="64"/>
      <c r="WPN24" s="64"/>
      <c r="WPO24" s="64"/>
      <c r="WPP24" s="64"/>
      <c r="WPQ24" s="64"/>
      <c r="WPR24" s="64"/>
      <c r="WPS24" s="64"/>
      <c r="WPT24" s="64"/>
      <c r="WPU24" s="64"/>
      <c r="WPV24" s="64"/>
      <c r="WPW24" s="64"/>
      <c r="WPX24" s="64"/>
      <c r="WPY24" s="64"/>
      <c r="WPZ24" s="64"/>
      <c r="WQA24" s="64"/>
      <c r="WQB24" s="64"/>
      <c r="WQC24" s="64"/>
      <c r="WQD24" s="64"/>
      <c r="WQE24" s="64"/>
      <c r="WQF24" s="64"/>
      <c r="WQG24" s="64"/>
      <c r="WQH24" s="64"/>
      <c r="WQI24" s="64"/>
      <c r="WQJ24" s="64"/>
      <c r="WQK24" s="64"/>
      <c r="WQL24" s="64"/>
      <c r="WQM24" s="64"/>
      <c r="WQN24" s="64"/>
      <c r="WQO24" s="64"/>
      <c r="WQP24" s="64"/>
      <c r="WQQ24" s="64"/>
      <c r="WQR24" s="64"/>
      <c r="WQS24" s="64"/>
      <c r="WQT24" s="64"/>
      <c r="WQU24" s="64"/>
      <c r="WQV24" s="64"/>
      <c r="WQW24" s="64"/>
      <c r="WQX24" s="64"/>
      <c r="WQY24" s="64"/>
      <c r="WQZ24" s="64"/>
      <c r="WRA24" s="64"/>
      <c r="WRB24" s="64"/>
      <c r="WRC24" s="64"/>
      <c r="WRD24" s="64"/>
      <c r="WRE24" s="64"/>
      <c r="WRF24" s="64"/>
      <c r="WRG24" s="64"/>
      <c r="WRH24" s="64"/>
      <c r="WRI24" s="64"/>
      <c r="WRJ24" s="64"/>
      <c r="WRK24" s="64"/>
      <c r="WRL24" s="64"/>
      <c r="WRM24" s="64"/>
      <c r="WRN24" s="64"/>
      <c r="WRO24" s="64"/>
      <c r="WRP24" s="64"/>
      <c r="WRQ24" s="64"/>
      <c r="WRR24" s="64"/>
      <c r="WRS24" s="64"/>
      <c r="WRT24" s="64"/>
      <c r="WRU24" s="64"/>
      <c r="WRV24" s="64"/>
      <c r="WRW24" s="64"/>
      <c r="WRX24" s="64"/>
      <c r="WRY24" s="64"/>
      <c r="WRZ24" s="64"/>
      <c r="WSA24" s="64"/>
      <c r="WSB24" s="64"/>
      <c r="WSC24" s="64"/>
      <c r="WSD24" s="64"/>
      <c r="WSE24" s="64"/>
      <c r="WSF24" s="64"/>
      <c r="WSG24" s="64"/>
      <c r="WSH24" s="64"/>
      <c r="WSI24" s="64"/>
      <c r="WSJ24" s="64"/>
      <c r="WSK24" s="64"/>
      <c r="WSL24" s="64"/>
      <c r="WSM24" s="64"/>
      <c r="WSN24" s="64"/>
      <c r="WSO24" s="64"/>
      <c r="WSP24" s="64"/>
      <c r="WSQ24" s="64"/>
      <c r="WSR24" s="64"/>
      <c r="WSS24" s="64"/>
      <c r="WST24" s="64"/>
      <c r="WSU24" s="64"/>
      <c r="WSV24" s="64"/>
      <c r="WSW24" s="64"/>
      <c r="WSX24" s="64"/>
      <c r="WSY24" s="64"/>
      <c r="WSZ24" s="64"/>
      <c r="WTA24" s="64"/>
      <c r="WTB24" s="64"/>
      <c r="WTC24" s="64"/>
      <c r="WTD24" s="64"/>
      <c r="WTE24" s="64"/>
      <c r="WTF24" s="64"/>
      <c r="WTG24" s="64"/>
      <c r="WTH24" s="64"/>
      <c r="WTI24" s="64"/>
      <c r="WTJ24" s="64"/>
      <c r="WTK24" s="64"/>
      <c r="WTL24" s="64"/>
      <c r="WTM24" s="64"/>
      <c r="WTN24" s="64"/>
      <c r="WTO24" s="64"/>
      <c r="WTP24" s="64"/>
      <c r="WTQ24" s="64"/>
      <c r="WTR24" s="64"/>
      <c r="WTS24" s="64"/>
      <c r="WTT24" s="64"/>
      <c r="WTU24" s="64"/>
      <c r="WTV24" s="64"/>
      <c r="WTW24" s="64"/>
      <c r="WTX24" s="64"/>
      <c r="WTY24" s="64"/>
      <c r="WTZ24" s="64"/>
      <c r="WUA24" s="64"/>
      <c r="WUB24" s="64"/>
      <c r="WUC24" s="64"/>
      <c r="WUD24" s="64"/>
      <c r="WUE24" s="64"/>
      <c r="WUF24" s="64"/>
      <c r="WUG24" s="64"/>
      <c r="WUH24" s="64"/>
      <c r="WUI24" s="64"/>
      <c r="WUJ24" s="64"/>
      <c r="WUK24" s="64"/>
      <c r="WUL24" s="64"/>
      <c r="WUM24" s="64"/>
      <c r="WUN24" s="64"/>
      <c r="WUO24" s="64"/>
      <c r="WUP24" s="64"/>
      <c r="WUQ24" s="64"/>
      <c r="WUR24" s="64"/>
      <c r="WUS24" s="64"/>
      <c r="WUT24" s="64"/>
      <c r="WUU24" s="64"/>
      <c r="WUV24" s="64"/>
      <c r="WUW24" s="64"/>
      <c r="WUX24" s="64"/>
      <c r="WUY24" s="64"/>
      <c r="WUZ24" s="64"/>
      <c r="WVA24" s="64"/>
      <c r="WVB24" s="64"/>
      <c r="WVC24" s="64"/>
      <c r="WVD24" s="64"/>
      <c r="WVE24" s="64"/>
      <c r="WVF24" s="64"/>
      <c r="WVG24" s="64"/>
      <c r="WVH24" s="64"/>
      <c r="WVI24" s="64"/>
      <c r="WVJ24" s="64"/>
      <c r="WVK24" s="64"/>
      <c r="WVL24" s="64"/>
      <c r="WVM24" s="64"/>
      <c r="WVN24" s="64"/>
      <c r="WVO24" s="64"/>
      <c r="WVP24" s="64"/>
      <c r="WVQ24" s="64"/>
      <c r="WVR24" s="64"/>
      <c r="WVS24" s="64"/>
      <c r="WVT24" s="64"/>
      <c r="WVU24" s="64"/>
      <c r="WVV24" s="64"/>
      <c r="WVW24" s="64"/>
      <c r="WVX24" s="64"/>
      <c r="WVY24" s="64"/>
      <c r="WVZ24" s="64"/>
      <c r="WWA24" s="64"/>
      <c r="WWB24" s="64"/>
      <c r="WWC24" s="64"/>
      <c r="WWD24" s="64"/>
      <c r="WWE24" s="64"/>
      <c r="WWF24" s="64"/>
      <c r="WWG24" s="64"/>
      <c r="WWH24" s="64"/>
      <c r="WWI24" s="64"/>
      <c r="WWJ24" s="64"/>
      <c r="WWK24" s="64"/>
      <c r="WWL24" s="64"/>
      <c r="WWM24" s="64"/>
      <c r="WWN24" s="64"/>
      <c r="WWO24" s="64"/>
      <c r="WWP24" s="64"/>
      <c r="WWQ24" s="64"/>
      <c r="WWR24" s="64"/>
      <c r="WWS24" s="64"/>
      <c r="WWT24" s="64"/>
      <c r="WWU24" s="64"/>
      <c r="WWV24" s="64"/>
      <c r="WWW24" s="64"/>
      <c r="WWX24" s="64"/>
      <c r="WWY24" s="64"/>
      <c r="WWZ24" s="64"/>
      <c r="WXA24" s="64"/>
      <c r="WXB24" s="64"/>
      <c r="WXC24" s="64"/>
      <c r="WXD24" s="64"/>
      <c r="WXE24" s="64"/>
      <c r="WXF24" s="64"/>
      <c r="WXG24" s="64"/>
      <c r="WXH24" s="64"/>
      <c r="WXI24" s="64"/>
      <c r="WXJ24" s="64"/>
      <c r="WXK24" s="64"/>
      <c r="WXL24" s="64"/>
      <c r="WXM24" s="64"/>
      <c r="WXN24" s="64"/>
      <c r="WXO24" s="64"/>
      <c r="WXP24" s="64"/>
      <c r="WXQ24" s="64"/>
      <c r="WXR24" s="64"/>
      <c r="WXS24" s="64"/>
      <c r="WXT24" s="64"/>
      <c r="WXU24" s="64"/>
      <c r="WXV24" s="64"/>
      <c r="WXW24" s="64"/>
      <c r="WXX24" s="64"/>
      <c r="WXY24" s="64"/>
      <c r="WXZ24" s="64"/>
      <c r="WYA24" s="64"/>
      <c r="WYB24" s="64"/>
      <c r="WYC24" s="64"/>
      <c r="WYD24" s="64"/>
      <c r="WYE24" s="64"/>
      <c r="WYF24" s="64"/>
      <c r="WYG24" s="64"/>
      <c r="WYH24" s="64"/>
      <c r="WYI24" s="64"/>
      <c r="WYJ24" s="64"/>
      <c r="WYK24" s="64"/>
      <c r="WYL24" s="64"/>
      <c r="WYM24" s="64"/>
      <c r="WYN24" s="64"/>
      <c r="WYO24" s="64"/>
      <c r="WYP24" s="64"/>
      <c r="WYQ24" s="64"/>
      <c r="WYR24" s="64"/>
      <c r="WYS24" s="64"/>
      <c r="WYT24" s="64"/>
      <c r="WYU24" s="64"/>
      <c r="WYV24" s="64"/>
      <c r="WYW24" s="64"/>
      <c r="WYX24" s="64"/>
      <c r="WYY24" s="64"/>
      <c r="WYZ24" s="64"/>
      <c r="WZA24" s="64"/>
      <c r="WZB24" s="64"/>
      <c r="WZC24" s="64"/>
      <c r="WZD24" s="64"/>
      <c r="WZE24" s="64"/>
      <c r="WZF24" s="64"/>
      <c r="WZG24" s="64"/>
      <c r="WZH24" s="64"/>
      <c r="WZI24" s="64"/>
      <c r="WZJ24" s="64"/>
      <c r="WZK24" s="64"/>
      <c r="WZL24" s="64"/>
      <c r="WZM24" s="64"/>
      <c r="WZN24" s="64"/>
      <c r="WZO24" s="64"/>
      <c r="WZP24" s="64"/>
      <c r="WZQ24" s="64"/>
      <c r="WZR24" s="64"/>
      <c r="WZS24" s="64"/>
      <c r="WZT24" s="64"/>
      <c r="WZU24" s="64"/>
      <c r="WZV24" s="64"/>
      <c r="WZW24" s="64"/>
      <c r="WZX24" s="64"/>
      <c r="WZY24" s="64"/>
      <c r="WZZ24" s="64"/>
      <c r="XAA24" s="64"/>
      <c r="XAB24" s="64"/>
      <c r="XAC24" s="64"/>
      <c r="XAD24" s="64"/>
      <c r="XAE24" s="64"/>
      <c r="XAF24" s="64"/>
      <c r="XAG24" s="64"/>
      <c r="XAH24" s="64"/>
      <c r="XAI24" s="64"/>
      <c r="XAJ24" s="64"/>
      <c r="XAK24" s="64"/>
      <c r="XAL24" s="64"/>
      <c r="XAM24" s="64"/>
      <c r="XAN24" s="64"/>
      <c r="XAO24" s="64"/>
      <c r="XAP24" s="64"/>
      <c r="XAQ24" s="64"/>
      <c r="XAR24" s="64"/>
      <c r="XAS24" s="64"/>
      <c r="XAT24" s="64"/>
      <c r="XAU24" s="64"/>
      <c r="XAV24" s="64"/>
      <c r="XAW24" s="64"/>
      <c r="XAX24" s="64"/>
      <c r="XAY24" s="64"/>
      <c r="XAZ24" s="64"/>
      <c r="XBA24" s="64"/>
      <c r="XBB24" s="64"/>
      <c r="XBC24" s="64"/>
      <c r="XBD24" s="64"/>
      <c r="XBE24" s="64"/>
      <c r="XBF24" s="64"/>
      <c r="XBG24" s="64"/>
      <c r="XBH24" s="64"/>
      <c r="XBI24" s="64"/>
      <c r="XBJ24" s="64"/>
      <c r="XBK24" s="64"/>
      <c r="XBL24" s="64"/>
      <c r="XBM24" s="64"/>
      <c r="XBN24" s="64"/>
      <c r="XBO24" s="64"/>
      <c r="XBP24" s="64"/>
      <c r="XBQ24" s="64"/>
      <c r="XBR24" s="64"/>
      <c r="XBS24" s="64"/>
      <c r="XBT24" s="64"/>
      <c r="XBU24" s="64"/>
      <c r="XBV24" s="64"/>
      <c r="XBW24" s="64"/>
      <c r="XBX24" s="64"/>
      <c r="XBY24" s="64"/>
      <c r="XBZ24" s="64"/>
      <c r="XCA24" s="64"/>
      <c r="XCB24" s="64"/>
      <c r="XCC24" s="64"/>
      <c r="XCD24" s="64"/>
      <c r="XCE24" s="64"/>
      <c r="XCF24" s="64"/>
      <c r="XCG24" s="64"/>
      <c r="XCH24" s="64"/>
      <c r="XCI24" s="64"/>
      <c r="XCJ24" s="64"/>
      <c r="XCK24" s="64"/>
      <c r="XCL24" s="64"/>
      <c r="XCM24" s="64"/>
      <c r="XCN24" s="64"/>
      <c r="XCO24" s="64"/>
      <c r="XCP24" s="64"/>
      <c r="XCQ24" s="64"/>
      <c r="XCR24" s="64"/>
      <c r="XCS24" s="64"/>
      <c r="XCT24" s="64"/>
      <c r="XCU24" s="64"/>
      <c r="XCV24" s="64"/>
      <c r="XCW24" s="64"/>
      <c r="XCX24" s="64"/>
      <c r="XCY24" s="64"/>
      <c r="XCZ24" s="64"/>
      <c r="XDA24" s="64"/>
      <c r="XDB24" s="64"/>
      <c r="XDC24" s="64"/>
      <c r="XDD24" s="64"/>
      <c r="XDE24" s="64"/>
      <c r="XDF24" s="64"/>
      <c r="XDG24" s="64"/>
      <c r="XDH24" s="64"/>
      <c r="XDI24" s="64"/>
      <c r="XDJ24" s="64"/>
      <c r="XDK24" s="64"/>
      <c r="XDL24" s="64"/>
      <c r="XDM24" s="64"/>
      <c r="XDN24" s="64"/>
      <c r="XDO24" s="64"/>
      <c r="XDP24" s="64"/>
      <c r="XDQ24" s="64"/>
      <c r="XDR24" s="64"/>
      <c r="XDS24" s="64"/>
      <c r="XDT24" s="64"/>
      <c r="XDU24" s="64"/>
      <c r="XDV24" s="64"/>
      <c r="XDW24" s="64"/>
      <c r="XDX24" s="64"/>
      <c r="XDY24" s="64"/>
      <c r="XDZ24" s="64"/>
      <c r="XEA24" s="64"/>
      <c r="XEB24" s="64"/>
      <c r="XEC24" s="64"/>
      <c r="XED24" s="64"/>
      <c r="XEE24" s="64"/>
      <c r="XEF24" s="64"/>
      <c r="XEG24" s="64"/>
      <c r="XEH24" s="64"/>
      <c r="XEI24" s="64"/>
      <c r="XEJ24" s="64"/>
      <c r="XEK24" s="64"/>
      <c r="XEL24" s="64"/>
      <c r="XEM24" s="64"/>
      <c r="XEN24" s="64"/>
      <c r="XEO24" s="64"/>
      <c r="XEP24" s="64"/>
      <c r="XEQ24" s="64"/>
      <c r="XER24" s="64"/>
      <c r="XES24" s="64"/>
      <c r="XET24" s="64"/>
      <c r="XEU24" s="64"/>
      <c r="XEV24" s="64"/>
      <c r="XEW24" s="64"/>
      <c r="XEX24" s="64"/>
      <c r="XEY24" s="64"/>
      <c r="XEZ24" s="64"/>
      <c r="XFA24" s="64"/>
      <c r="XFB24" s="64"/>
      <c r="XFC24" s="64"/>
      <c r="XFD24" s="64"/>
    </row>
    <row r="25" spans="1:16384" ht="20">
      <c r="A25" s="28"/>
    </row>
    <row r="26" spans="1:16384" ht="20">
      <c r="A26" s="28"/>
    </row>
    <row r="27" spans="1:16384">
      <c r="A27" s="87" t="s">
        <v>328</v>
      </c>
      <c r="B27">
        <v>300000</v>
      </c>
      <c r="C27">
        <v>18307</v>
      </c>
      <c r="D27">
        <v>70979</v>
      </c>
      <c r="E27">
        <v>44674.5</v>
      </c>
      <c r="F27">
        <v>0</v>
      </c>
      <c r="G27">
        <v>13597</v>
      </c>
      <c r="H27">
        <v>29228</v>
      </c>
      <c r="I27">
        <v>0</v>
      </c>
      <c r="J27">
        <v>21433</v>
      </c>
      <c r="K27">
        <v>15438</v>
      </c>
      <c r="L27">
        <v>0</v>
      </c>
      <c r="M27">
        <v>34230</v>
      </c>
      <c r="N27">
        <v>22693.5</v>
      </c>
      <c r="O27">
        <v>0</v>
      </c>
      <c r="P27">
        <v>22882.5</v>
      </c>
      <c r="Q27">
        <v>0</v>
      </c>
      <c r="R27">
        <v>26863</v>
      </c>
      <c r="S27">
        <v>0</v>
      </c>
      <c r="T27">
        <v>21464.5</v>
      </c>
      <c r="U27">
        <v>26900</v>
      </c>
      <c r="V27">
        <v>48672</v>
      </c>
      <c r="W27">
        <v>0</v>
      </c>
      <c r="X27">
        <v>13506</v>
      </c>
      <c r="Y27">
        <v>7146</v>
      </c>
      <c r="Z27">
        <v>21196</v>
      </c>
      <c r="AA27">
        <v>0</v>
      </c>
      <c r="AB27">
        <v>11607.5</v>
      </c>
      <c r="AC27">
        <v>64180</v>
      </c>
      <c r="AD27">
        <v>39774</v>
      </c>
      <c r="AE27">
        <v>31992</v>
      </c>
      <c r="AF27">
        <v>24289</v>
      </c>
      <c r="AG27">
        <v>0</v>
      </c>
      <c r="AH27">
        <v>111037.5</v>
      </c>
      <c r="AI27">
        <v>0</v>
      </c>
      <c r="AJ27">
        <v>45697</v>
      </c>
      <c r="AK27">
        <v>38176</v>
      </c>
      <c r="AL27">
        <v>0</v>
      </c>
      <c r="AM27">
        <v>20199.5</v>
      </c>
      <c r="AN27">
        <v>659</v>
      </c>
      <c r="AO27">
        <v>29306</v>
      </c>
      <c r="AP27">
        <v>48856</v>
      </c>
      <c r="AQ27">
        <v>49746</v>
      </c>
      <c r="AR27">
        <v>23893</v>
      </c>
      <c r="AS27">
        <v>15881.5</v>
      </c>
      <c r="AT27">
        <v>4141</v>
      </c>
      <c r="AU27">
        <v>15811</v>
      </c>
      <c r="AV27">
        <v>40220</v>
      </c>
      <c r="AW27">
        <v>16179.5</v>
      </c>
      <c r="AX27">
        <v>10824.5</v>
      </c>
      <c r="AY27">
        <v>5604</v>
      </c>
      <c r="AZ27">
        <v>69344</v>
      </c>
      <c r="BA27">
        <v>23466.5</v>
      </c>
      <c r="BB27">
        <v>15376</v>
      </c>
      <c r="BC27">
        <v>0</v>
      </c>
      <c r="BD27">
        <v>19957</v>
      </c>
      <c r="BE27">
        <v>393</v>
      </c>
      <c r="BF27">
        <v>0</v>
      </c>
      <c r="BG27">
        <v>0</v>
      </c>
      <c r="BH27">
        <v>0</v>
      </c>
      <c r="BI27">
        <v>0</v>
      </c>
      <c r="BJ27">
        <v>10205</v>
      </c>
      <c r="BK27">
        <v>19076</v>
      </c>
      <c r="BL27">
        <v>30318</v>
      </c>
      <c r="BM27">
        <v>0</v>
      </c>
      <c r="BN27">
        <v>14021</v>
      </c>
      <c r="BO27">
        <v>13691</v>
      </c>
      <c r="BP27">
        <v>35789</v>
      </c>
      <c r="BQ27">
        <v>973</v>
      </c>
      <c r="BR27">
        <v>0</v>
      </c>
      <c r="BS27">
        <v>12996</v>
      </c>
      <c r="BT27">
        <v>17987</v>
      </c>
      <c r="BU27">
        <v>24249.5</v>
      </c>
      <c r="BV27">
        <v>53447.5</v>
      </c>
      <c r="BW27">
        <v>5231</v>
      </c>
      <c r="BX27">
        <v>7339</v>
      </c>
      <c r="BY27">
        <v>0</v>
      </c>
      <c r="BZ27">
        <v>9922</v>
      </c>
      <c r="CA27">
        <v>4461</v>
      </c>
      <c r="CB27">
        <v>47799</v>
      </c>
      <c r="CC27">
        <v>48029</v>
      </c>
      <c r="CD27">
        <v>16105</v>
      </c>
      <c r="CE27">
        <v>15949</v>
      </c>
      <c r="CF27">
        <v>16209</v>
      </c>
      <c r="CG27">
        <v>0</v>
      </c>
      <c r="CH27">
        <v>0</v>
      </c>
      <c r="CI27">
        <v>0</v>
      </c>
      <c r="CJ27">
        <v>21536</v>
      </c>
      <c r="CK27">
        <v>0</v>
      </c>
      <c r="CL27">
        <v>42688</v>
      </c>
      <c r="CM27">
        <v>8792</v>
      </c>
      <c r="CN27">
        <v>80474</v>
      </c>
      <c r="CO27">
        <v>32306</v>
      </c>
      <c r="CP27">
        <v>65902.5</v>
      </c>
      <c r="CQ27">
        <v>2198</v>
      </c>
      <c r="CR27">
        <v>49230.5</v>
      </c>
      <c r="CS27">
        <v>0</v>
      </c>
      <c r="CT27">
        <v>22909</v>
      </c>
      <c r="CU27">
        <v>7518</v>
      </c>
      <c r="CV27">
        <v>39443</v>
      </c>
      <c r="CW27">
        <v>0</v>
      </c>
      <c r="CX27">
        <v>73137.5</v>
      </c>
      <c r="CY27">
        <v>17254.5</v>
      </c>
      <c r="CZ27">
        <v>104000</v>
      </c>
      <c r="DA27" s="97">
        <v>17000</v>
      </c>
      <c r="DB27">
        <v>9500</v>
      </c>
      <c r="DC27">
        <v>1250</v>
      </c>
      <c r="DD27">
        <v>830000</v>
      </c>
      <c r="DE27">
        <v>470500</v>
      </c>
      <c r="DF27">
        <v>5000</v>
      </c>
      <c r="DG27">
        <v>1026500</v>
      </c>
      <c r="DH27">
        <v>3000</v>
      </c>
      <c r="DI27">
        <v>122500</v>
      </c>
      <c r="DJ27">
        <v>687500</v>
      </c>
      <c r="DK27">
        <v>50000</v>
      </c>
      <c r="DL27">
        <v>115000</v>
      </c>
      <c r="DM27">
        <v>450000</v>
      </c>
      <c r="DN27">
        <v>66000</v>
      </c>
      <c r="DO27">
        <v>20000</v>
      </c>
      <c r="DP27">
        <v>34000</v>
      </c>
      <c r="DQ27">
        <v>149000</v>
      </c>
      <c r="DR27">
        <v>11000</v>
      </c>
      <c r="DS27">
        <v>29000</v>
      </c>
      <c r="DT27">
        <v>0</v>
      </c>
      <c r="DU27">
        <v>62000</v>
      </c>
      <c r="DV27">
        <v>173000</v>
      </c>
      <c r="DW27">
        <v>5000</v>
      </c>
      <c r="DX27">
        <v>30000</v>
      </c>
      <c r="DY27">
        <v>830000</v>
      </c>
      <c r="DZ27">
        <v>10000</v>
      </c>
      <c r="EA27">
        <v>150000</v>
      </c>
      <c r="EB27">
        <v>4000000</v>
      </c>
      <c r="EC27">
        <v>5000</v>
      </c>
      <c r="ED27">
        <v>300000</v>
      </c>
      <c r="EE27">
        <v>317000</v>
      </c>
      <c r="EF27">
        <v>17500</v>
      </c>
      <c r="EG27">
        <v>0</v>
      </c>
      <c r="EH27">
        <v>8000</v>
      </c>
      <c r="EI27">
        <v>475000</v>
      </c>
      <c r="EJ27">
        <v>14000</v>
      </c>
      <c r="EK27">
        <v>1300</v>
      </c>
      <c r="EL27">
        <v>50000</v>
      </c>
      <c r="EM27">
        <v>17500</v>
      </c>
      <c r="EN27">
        <v>1000000</v>
      </c>
      <c r="EO27">
        <v>1600000</v>
      </c>
      <c r="EP27">
        <v>150000</v>
      </c>
      <c r="EQ27">
        <v>9000</v>
      </c>
      <c r="ER27">
        <v>108000</v>
      </c>
      <c r="ES27">
        <v>5000</v>
      </c>
      <c r="ET27">
        <v>10000</v>
      </c>
      <c r="EU27">
        <v>31500</v>
      </c>
      <c r="EV27">
        <v>90000</v>
      </c>
      <c r="EW27">
        <v>123000</v>
      </c>
      <c r="EX27">
        <v>22500</v>
      </c>
      <c r="EY27">
        <v>19000</v>
      </c>
      <c r="EZ27">
        <v>740000</v>
      </c>
      <c r="FA27">
        <v>287500</v>
      </c>
      <c r="FB27">
        <v>20000</v>
      </c>
      <c r="FC27">
        <v>150000</v>
      </c>
      <c r="FD27">
        <v>42500</v>
      </c>
      <c r="FE27">
        <v>6500</v>
      </c>
      <c r="FF27">
        <v>320258</v>
      </c>
      <c r="FG27">
        <v>14000</v>
      </c>
      <c r="FH27">
        <v>389497.5</v>
      </c>
      <c r="FI27">
        <v>23000</v>
      </c>
      <c r="FJ27">
        <v>5560</v>
      </c>
      <c r="FK27">
        <v>344995</v>
      </c>
      <c r="FL27">
        <v>145500</v>
      </c>
      <c r="FM27">
        <v>21500</v>
      </c>
      <c r="FN27">
        <v>525000</v>
      </c>
      <c r="FO27">
        <v>11000</v>
      </c>
      <c r="FP27">
        <v>19000</v>
      </c>
      <c r="FQ27">
        <v>37500</v>
      </c>
      <c r="FR27" s="1">
        <v>148000</v>
      </c>
      <c r="FS27">
        <v>15000</v>
      </c>
      <c r="FT27">
        <v>134000</v>
      </c>
      <c r="FU27">
        <v>50000</v>
      </c>
      <c r="FV27">
        <v>805000</v>
      </c>
      <c r="FW27">
        <v>42500</v>
      </c>
      <c r="FX27">
        <v>185000</v>
      </c>
      <c r="FY27">
        <v>65000</v>
      </c>
      <c r="FZ27">
        <v>130000</v>
      </c>
      <c r="GA27">
        <v>750</v>
      </c>
      <c r="GB27">
        <v>312950</v>
      </c>
      <c r="GC27">
        <v>50000.5</v>
      </c>
      <c r="GD27">
        <v>66500</v>
      </c>
      <c r="GE27">
        <v>726000</v>
      </c>
      <c r="GF27">
        <v>31500</v>
      </c>
      <c r="GG27">
        <v>8000</v>
      </c>
      <c r="GH27">
        <v>11750</v>
      </c>
      <c r="GI27">
        <v>110000</v>
      </c>
      <c r="GJ27">
        <v>390000</v>
      </c>
      <c r="GK27">
        <v>25000</v>
      </c>
      <c r="GL27">
        <v>280000</v>
      </c>
      <c r="GM27">
        <v>96000</v>
      </c>
      <c r="GN27">
        <v>2500</v>
      </c>
      <c r="GO27">
        <v>57000</v>
      </c>
      <c r="GP27">
        <v>245357</v>
      </c>
      <c r="GQ27">
        <v>760000</v>
      </c>
      <c r="GR27">
        <v>14500</v>
      </c>
      <c r="GS27">
        <v>137500</v>
      </c>
      <c r="GT27">
        <v>161000</v>
      </c>
      <c r="GU27">
        <v>270000</v>
      </c>
      <c r="GV27">
        <v>301000</v>
      </c>
      <c r="GW27">
        <v>328450</v>
      </c>
      <c r="GX27">
        <v>367500</v>
      </c>
      <c r="GY27">
        <v>19000</v>
      </c>
      <c r="GZ27">
        <v>30000</v>
      </c>
      <c r="HA27">
        <v>13000</v>
      </c>
      <c r="HB27">
        <v>148000</v>
      </c>
      <c r="HC27">
        <v>4250</v>
      </c>
      <c r="HD27">
        <v>3500</v>
      </c>
      <c r="HE27">
        <v>6500</v>
      </c>
      <c r="HF27">
        <v>151000</v>
      </c>
      <c r="HG27">
        <v>48000</v>
      </c>
      <c r="HH27">
        <v>615000</v>
      </c>
      <c r="HI27">
        <v>355000</v>
      </c>
      <c r="HJ27">
        <v>18000</v>
      </c>
      <c r="HK27">
        <v>115000</v>
      </c>
      <c r="HL27">
        <v>195000</v>
      </c>
      <c r="HM27">
        <v>59000</v>
      </c>
      <c r="HN27">
        <v>2086420</v>
      </c>
      <c r="HO27">
        <v>124000</v>
      </c>
      <c r="HP27">
        <v>290500</v>
      </c>
      <c r="HQ27">
        <v>140000</v>
      </c>
      <c r="HR27">
        <v>41500</v>
      </c>
      <c r="HS27">
        <v>12000</v>
      </c>
      <c r="HT27">
        <v>36000</v>
      </c>
      <c r="HU27">
        <v>470200</v>
      </c>
      <c r="HV27">
        <v>600</v>
      </c>
      <c r="HW27">
        <v>586750</v>
      </c>
      <c r="HX27">
        <v>6000</v>
      </c>
      <c r="HY27">
        <v>8375</v>
      </c>
      <c r="HZ27">
        <v>32600</v>
      </c>
      <c r="IA27">
        <v>218000</v>
      </c>
      <c r="IB27">
        <v>83500</v>
      </c>
      <c r="IC27">
        <v>247563</v>
      </c>
      <c r="ID27">
        <v>590000</v>
      </c>
      <c r="IE27">
        <v>89000</v>
      </c>
      <c r="IF27">
        <v>23029.5</v>
      </c>
      <c r="IG27">
        <v>229776</v>
      </c>
      <c r="IH27">
        <v>18000</v>
      </c>
      <c r="II27">
        <v>196973</v>
      </c>
      <c r="IJ27">
        <v>980000</v>
      </c>
      <c r="IK27">
        <v>46500</v>
      </c>
      <c r="IL27">
        <v>19340</v>
      </c>
      <c r="IM27">
        <v>142000</v>
      </c>
      <c r="IN27">
        <v>16000</v>
      </c>
      <c r="IO27">
        <v>88500</v>
      </c>
      <c r="IP27">
        <v>7961.5</v>
      </c>
      <c r="IQ27">
        <v>18500</v>
      </c>
      <c r="IR27">
        <v>166230</v>
      </c>
      <c r="IS27">
        <v>66000</v>
      </c>
      <c r="IT27">
        <v>17340</v>
      </c>
      <c r="IU27">
        <v>9725</v>
      </c>
      <c r="IV27">
        <v>122500</v>
      </c>
      <c r="IW27">
        <v>385050</v>
      </c>
      <c r="IX27">
        <v>288400</v>
      </c>
      <c r="IY27">
        <v>18000</v>
      </c>
      <c r="IZ27">
        <v>13000</v>
      </c>
    </row>
    <row r="28" spans="1:16384">
      <c r="A28" s="87" t="s">
        <v>402</v>
      </c>
      <c r="B28">
        <v>256.45</v>
      </c>
      <c r="C28">
        <v>287.15093849999994</v>
      </c>
      <c r="D28">
        <v>31.244645999999989</v>
      </c>
      <c r="E28">
        <v>298.20343970000005</v>
      </c>
      <c r="F28">
        <v>162.04929150000004</v>
      </c>
      <c r="G28">
        <v>159.47818089999998</v>
      </c>
      <c r="H28">
        <v>325.62416629999996</v>
      </c>
      <c r="I28">
        <v>380.11970630000002</v>
      </c>
      <c r="J28">
        <v>57.600607200000013</v>
      </c>
      <c r="K28">
        <v>267.79266210000003</v>
      </c>
      <c r="L28">
        <v>251.01190459999998</v>
      </c>
      <c r="M28">
        <v>403.83758349999994</v>
      </c>
      <c r="N28">
        <v>279.44956079999997</v>
      </c>
      <c r="O28">
        <v>39.311939299999949</v>
      </c>
      <c r="P28">
        <v>288.455423</v>
      </c>
      <c r="Q28">
        <v>379.00619859999995</v>
      </c>
      <c r="R28">
        <v>153.03987319999999</v>
      </c>
      <c r="S28">
        <v>243.10937039999999</v>
      </c>
      <c r="T28">
        <v>312.47802330000002</v>
      </c>
      <c r="U28">
        <v>267.08867509999999</v>
      </c>
      <c r="V28">
        <v>705.85066069999993</v>
      </c>
      <c r="W28">
        <v>315.17652839999994</v>
      </c>
      <c r="X28">
        <v>128.64111630000002</v>
      </c>
      <c r="Y28">
        <v>219.36746280000006</v>
      </c>
      <c r="Z28">
        <v>391.86562549999996</v>
      </c>
      <c r="AA28">
        <v>283.15745659999993</v>
      </c>
      <c r="AB28">
        <v>228.14081659999999</v>
      </c>
      <c r="AC28">
        <v>227.23147689999996</v>
      </c>
      <c r="AD28">
        <v>388.39608199999998</v>
      </c>
      <c r="AE28">
        <v>152.06676859999996</v>
      </c>
      <c r="AF28">
        <v>252.66945420000002</v>
      </c>
      <c r="AG28">
        <v>284.05272639999998</v>
      </c>
      <c r="AH28">
        <v>256.43893200000002</v>
      </c>
      <c r="AI28">
        <v>375.13059809999993</v>
      </c>
      <c r="AJ28">
        <v>391.59403789999999</v>
      </c>
      <c r="AK28">
        <v>369.74397519999991</v>
      </c>
      <c r="AL28">
        <v>74.851036399999941</v>
      </c>
      <c r="AM28">
        <v>360.70330519999999</v>
      </c>
      <c r="AN28">
        <v>333.95755220000001</v>
      </c>
      <c r="AO28">
        <v>512.45304609999994</v>
      </c>
      <c r="AP28">
        <v>454.82955449999986</v>
      </c>
      <c r="AQ28">
        <v>450.7526701999999</v>
      </c>
      <c r="AR28">
        <v>454.56217909999998</v>
      </c>
      <c r="AS28">
        <v>349.28824329999998</v>
      </c>
      <c r="AT28">
        <v>266.61394439999992</v>
      </c>
      <c r="AU28">
        <v>227.29083129999992</v>
      </c>
      <c r="AV28">
        <v>260.59976990000001</v>
      </c>
      <c r="AW28">
        <v>267.97307760000001</v>
      </c>
      <c r="AX28" t="e">
        <v>#N/A</v>
      </c>
      <c r="AY28">
        <v>339.12879259999988</v>
      </c>
      <c r="AZ28">
        <v>223.60026049999999</v>
      </c>
      <c r="BA28">
        <v>221.42495209999998</v>
      </c>
      <c r="BB28">
        <v>304.35625010000001</v>
      </c>
      <c r="BC28">
        <v>274.23827239999997</v>
      </c>
      <c r="BD28">
        <v>281.88346380000002</v>
      </c>
      <c r="BE28">
        <v>243.48096699999996</v>
      </c>
      <c r="BF28">
        <v>64.34266839999998</v>
      </c>
      <c r="BG28">
        <v>320.41319419999991</v>
      </c>
      <c r="BH28">
        <v>40.537483500000008</v>
      </c>
      <c r="BI28">
        <v>721.0540489</v>
      </c>
      <c r="BJ28">
        <v>452.78049109999995</v>
      </c>
      <c r="BK28">
        <v>331.80356660000001</v>
      </c>
      <c r="BL28">
        <v>339.27092479999999</v>
      </c>
      <c r="BM28">
        <v>439.01191830000005</v>
      </c>
      <c r="BN28">
        <v>135.68611569999996</v>
      </c>
      <c r="BO28">
        <v>258.9501654</v>
      </c>
      <c r="BP28">
        <v>427.53149259999998</v>
      </c>
      <c r="BQ28">
        <v>310.81868910000003</v>
      </c>
      <c r="BR28">
        <v>399.02328209999996</v>
      </c>
      <c r="BS28">
        <v>417.22470329999999</v>
      </c>
      <c r="BT28">
        <v>431.73262699999987</v>
      </c>
      <c r="BU28">
        <v>370.26951819999999</v>
      </c>
      <c r="BV28">
        <v>294.36076499999996</v>
      </c>
      <c r="BW28">
        <v>249.77760069999999</v>
      </c>
      <c r="BX28">
        <v>164.47502639999993</v>
      </c>
      <c r="BY28" t="e">
        <v>#N/A</v>
      </c>
      <c r="BZ28">
        <v>261.11593340000002</v>
      </c>
      <c r="CA28">
        <v>265.97705289999993</v>
      </c>
      <c r="CB28">
        <v>9.5800059000000033</v>
      </c>
      <c r="CC28" t="e">
        <v>#N/A</v>
      </c>
      <c r="CD28" t="e">
        <v>#N/A</v>
      </c>
      <c r="CE28">
        <v>75.761324599999966</v>
      </c>
      <c r="CF28">
        <v>518.80167940000001</v>
      </c>
      <c r="CG28">
        <v>228.23955230000001</v>
      </c>
      <c r="CH28">
        <v>323.15688569999998</v>
      </c>
      <c r="CI28">
        <v>172.59999999999997</v>
      </c>
      <c r="CJ28">
        <v>173.87</v>
      </c>
      <c r="CK28">
        <v>66.730000000000018</v>
      </c>
      <c r="CL28">
        <v>365.51</v>
      </c>
      <c r="CM28">
        <v>130.75</v>
      </c>
      <c r="CN28">
        <v>298.77999999999997</v>
      </c>
      <c r="CO28">
        <v>250.19</v>
      </c>
      <c r="CP28">
        <v>506.42999999999995</v>
      </c>
      <c r="CQ28">
        <v>339.15</v>
      </c>
      <c r="CR28">
        <v>668.61</v>
      </c>
      <c r="CS28">
        <v>387.52</v>
      </c>
      <c r="CT28">
        <v>341.61</v>
      </c>
      <c r="CU28">
        <v>253.51</v>
      </c>
      <c r="CV28">
        <v>854.45</v>
      </c>
      <c r="CW28">
        <v>430.29999999999995</v>
      </c>
      <c r="CX28">
        <v>423.59000000000003</v>
      </c>
      <c r="CY28">
        <v>155.56999999999994</v>
      </c>
      <c r="CZ28">
        <v>299.73</v>
      </c>
      <c r="DA28" s="97">
        <v>698.65</v>
      </c>
      <c r="DB28">
        <v>98.779999999999973</v>
      </c>
      <c r="DC28">
        <v>260.29999999999995</v>
      </c>
      <c r="DD28">
        <v>0</v>
      </c>
      <c r="DE28">
        <v>2.9600000000000364</v>
      </c>
      <c r="DF28">
        <v>0</v>
      </c>
      <c r="DG28">
        <v>0</v>
      </c>
      <c r="DH28">
        <v>299.73</v>
      </c>
      <c r="DI28">
        <v>74.730000000000018</v>
      </c>
      <c r="DJ28">
        <v>25.45999999999998</v>
      </c>
      <c r="DK28">
        <v>359.62</v>
      </c>
      <c r="DL28">
        <v>234.62</v>
      </c>
      <c r="DM28">
        <v>0</v>
      </c>
      <c r="DN28">
        <v>376.75</v>
      </c>
      <c r="DO28">
        <v>173.10000000000002</v>
      </c>
      <c r="DP28">
        <v>350.91999999999996</v>
      </c>
      <c r="DQ28">
        <v>207.15999999999997</v>
      </c>
      <c r="DR28">
        <v>327.09000000000003</v>
      </c>
      <c r="DS28">
        <v>198.5</v>
      </c>
      <c r="DT28" t="e">
        <v>#N/A</v>
      </c>
      <c r="DU28">
        <v>69.599999999999966</v>
      </c>
      <c r="DV28">
        <v>287.81999999999994</v>
      </c>
      <c r="DW28">
        <v>90.459999999999923</v>
      </c>
      <c r="DX28">
        <v>43.769999999999982</v>
      </c>
      <c r="DY28">
        <v>0</v>
      </c>
      <c r="DZ28">
        <v>201.02999999999997</v>
      </c>
      <c r="EA28">
        <v>153.79999999999995</v>
      </c>
      <c r="EB28">
        <v>0</v>
      </c>
      <c r="EC28">
        <v>427.02</v>
      </c>
      <c r="ED28">
        <v>418.24</v>
      </c>
      <c r="EE28">
        <v>438.5</v>
      </c>
      <c r="EF28">
        <v>399.75</v>
      </c>
      <c r="EG28">
        <v>247</v>
      </c>
      <c r="EH28">
        <v>398.97</v>
      </c>
      <c r="EI28">
        <v>369.9</v>
      </c>
      <c r="EJ28">
        <v>251.55999999999995</v>
      </c>
      <c r="EK28">
        <v>303.40999999999997</v>
      </c>
      <c r="EL28">
        <v>61.67999999999995</v>
      </c>
      <c r="EM28">
        <v>311.45999999999992</v>
      </c>
      <c r="EN28">
        <v>0</v>
      </c>
      <c r="EO28">
        <v>408.45000000000005</v>
      </c>
      <c r="EP28">
        <v>445.61</v>
      </c>
      <c r="EQ28">
        <v>0</v>
      </c>
      <c r="ER28">
        <v>295.35000000000002</v>
      </c>
      <c r="ES28">
        <v>288.76</v>
      </c>
      <c r="ET28">
        <v>307.36</v>
      </c>
      <c r="EU28">
        <v>203.67999999999995</v>
      </c>
      <c r="EV28">
        <v>0</v>
      </c>
      <c r="EW28">
        <v>253.32999999999993</v>
      </c>
      <c r="EX28">
        <v>29.599999999999966</v>
      </c>
      <c r="EY28">
        <v>266.31</v>
      </c>
      <c r="EZ28">
        <v>338.67999999999995</v>
      </c>
      <c r="FA28">
        <v>146.82</v>
      </c>
      <c r="FB28">
        <v>482.51</v>
      </c>
      <c r="FC28">
        <v>249.36</v>
      </c>
      <c r="FD28">
        <v>224.17999999999995</v>
      </c>
      <c r="FE28">
        <v>373.32999999999993</v>
      </c>
      <c r="FF28">
        <v>332.03999999999996</v>
      </c>
      <c r="FG28">
        <v>515.52</v>
      </c>
      <c r="FH28">
        <v>442.43999999999994</v>
      </c>
      <c r="FI28">
        <v>631.31999999999994</v>
      </c>
      <c r="FJ28">
        <v>147.26999999999998</v>
      </c>
      <c r="FK28">
        <v>314.09000000000003</v>
      </c>
      <c r="FL28">
        <v>372.85</v>
      </c>
      <c r="FM28">
        <v>87.579999999999984</v>
      </c>
      <c r="FN28">
        <v>200.40999999999997</v>
      </c>
      <c r="FO28">
        <v>287.95</v>
      </c>
      <c r="FP28" t="e">
        <v>#N/A</v>
      </c>
      <c r="FQ28">
        <v>0</v>
      </c>
      <c r="FR28" s="1">
        <v>264.56999999999994</v>
      </c>
      <c r="FS28">
        <v>248.53999999999996</v>
      </c>
      <c r="FT28">
        <v>331.74</v>
      </c>
      <c r="FU28">
        <v>163.52999999999997</v>
      </c>
      <c r="FV28">
        <v>213.89</v>
      </c>
      <c r="FW28">
        <v>174.76</v>
      </c>
      <c r="FX28">
        <v>344.76</v>
      </c>
      <c r="FY28">
        <v>70.319999999999936</v>
      </c>
      <c r="FZ28">
        <v>309.96000000000004</v>
      </c>
      <c r="GA28">
        <v>134.06</v>
      </c>
      <c r="GB28">
        <v>186.69</v>
      </c>
      <c r="GC28">
        <v>193.97000000000003</v>
      </c>
      <c r="GD28">
        <v>223.45</v>
      </c>
      <c r="GE28">
        <v>245.92999999999995</v>
      </c>
      <c r="GF28">
        <v>77.440000000000055</v>
      </c>
      <c r="GG28" t="e">
        <v>#N/A</v>
      </c>
      <c r="GH28">
        <v>158.56</v>
      </c>
      <c r="GI28">
        <v>0</v>
      </c>
      <c r="GJ28">
        <v>101.75</v>
      </c>
      <c r="GK28">
        <v>256.55999999999995</v>
      </c>
      <c r="GL28" t="e">
        <v>#N/A</v>
      </c>
      <c r="GM28">
        <v>322.5</v>
      </c>
      <c r="GN28">
        <v>250.69</v>
      </c>
      <c r="GO28">
        <v>141.28999999999996</v>
      </c>
      <c r="GP28">
        <v>291.10000000000002</v>
      </c>
      <c r="GQ28">
        <v>31.509999999999991</v>
      </c>
      <c r="GR28">
        <v>341.44999999999993</v>
      </c>
      <c r="GS28">
        <v>331.72999999999996</v>
      </c>
      <c r="GT28">
        <v>0</v>
      </c>
      <c r="GU28">
        <v>0</v>
      </c>
      <c r="GV28">
        <v>493.80999999999995</v>
      </c>
      <c r="GW28">
        <v>59.370000000000005</v>
      </c>
      <c r="GX28">
        <v>349.16999999999996</v>
      </c>
      <c r="GY28">
        <v>255.63</v>
      </c>
      <c r="GZ28">
        <v>168.76999999999998</v>
      </c>
      <c r="HA28">
        <v>191.2</v>
      </c>
      <c r="HB28" t="e">
        <v>#N/A</v>
      </c>
      <c r="HC28">
        <v>290.77999999999997</v>
      </c>
      <c r="HD28">
        <v>130.52999999999997</v>
      </c>
      <c r="HE28">
        <v>147.76</v>
      </c>
      <c r="HF28">
        <v>295.79999999999995</v>
      </c>
      <c r="HG28">
        <v>295.68999999999994</v>
      </c>
      <c r="HH28">
        <v>568.9</v>
      </c>
      <c r="HI28">
        <v>88.029999999999973</v>
      </c>
      <c r="HJ28" t="e">
        <v>#N/A</v>
      </c>
      <c r="HK28">
        <v>0</v>
      </c>
      <c r="HL28">
        <v>0</v>
      </c>
      <c r="HM28">
        <v>15.67999999999995</v>
      </c>
      <c r="HN28">
        <v>0</v>
      </c>
      <c r="HO28">
        <v>52.240000000000009</v>
      </c>
      <c r="HP28">
        <v>244.59000000000003</v>
      </c>
      <c r="HQ28">
        <v>0</v>
      </c>
      <c r="HR28">
        <v>252.78999999999996</v>
      </c>
      <c r="HS28">
        <v>205.82</v>
      </c>
      <c r="HT28">
        <v>72.360000000000014</v>
      </c>
      <c r="HU28">
        <v>191.04999999999995</v>
      </c>
      <c r="HV28">
        <v>358.07999999999993</v>
      </c>
      <c r="HW28">
        <v>26.600000000000023</v>
      </c>
      <c r="HX28">
        <v>159.23999999999995</v>
      </c>
      <c r="HY28">
        <v>206.26999999999998</v>
      </c>
      <c r="HZ28">
        <v>18.610000000000014</v>
      </c>
      <c r="IA28">
        <v>79.480000000000018</v>
      </c>
      <c r="IB28">
        <v>0</v>
      </c>
      <c r="IC28">
        <v>271.14999999999998</v>
      </c>
      <c r="ID28">
        <v>36.899999999999977</v>
      </c>
      <c r="IE28">
        <v>111.49000000000001</v>
      </c>
      <c r="IF28">
        <v>216.49</v>
      </c>
      <c r="IG28">
        <v>237.98999999999995</v>
      </c>
      <c r="IH28">
        <v>277.55999999999995</v>
      </c>
      <c r="II28">
        <v>288.43</v>
      </c>
      <c r="IJ28">
        <v>60.299999999999955</v>
      </c>
      <c r="IK28">
        <v>94.730000000000018</v>
      </c>
      <c r="IL28">
        <v>248.63</v>
      </c>
      <c r="IM28">
        <v>193.34999999999997</v>
      </c>
      <c r="IN28">
        <v>78.659999999999968</v>
      </c>
      <c r="IO28">
        <v>346.74999999999994</v>
      </c>
      <c r="IP28">
        <v>162.48000000000002</v>
      </c>
      <c r="IQ28">
        <v>0</v>
      </c>
      <c r="IR28" t="e">
        <v>#N/A</v>
      </c>
      <c r="IS28">
        <v>0</v>
      </c>
      <c r="IT28">
        <v>244.96999999999997</v>
      </c>
      <c r="IU28">
        <v>48.119999999999948</v>
      </c>
      <c r="IV28">
        <v>157.32999999999998</v>
      </c>
      <c r="IW28">
        <v>51.609999999999957</v>
      </c>
      <c r="IX28">
        <v>139.87999999999994</v>
      </c>
      <c r="IY28">
        <v>17.789999999999964</v>
      </c>
      <c r="IZ28">
        <v>256.97000000000003</v>
      </c>
    </row>
    <row r="29" spans="1:16384" s="64" customFormat="1">
      <c r="A29" s="87" t="s">
        <v>395</v>
      </c>
      <c r="B29">
        <v>276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51</v>
      </c>
      <c r="AR29">
        <v>0</v>
      </c>
      <c r="AS29">
        <v>0</v>
      </c>
      <c r="AT29">
        <v>0</v>
      </c>
      <c r="AU29">
        <v>0</v>
      </c>
      <c r="AV29">
        <v>51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 s="97">
        <v>0</v>
      </c>
      <c r="DB29">
        <v>0</v>
      </c>
      <c r="DC29">
        <v>0</v>
      </c>
      <c r="DD29">
        <v>224</v>
      </c>
      <c r="DE29">
        <v>274</v>
      </c>
      <c r="DF29">
        <v>0</v>
      </c>
      <c r="DG29">
        <v>278</v>
      </c>
      <c r="DH29">
        <v>0</v>
      </c>
      <c r="DI29">
        <v>262</v>
      </c>
      <c r="DJ29">
        <v>282</v>
      </c>
      <c r="DK29">
        <v>0</v>
      </c>
      <c r="DL29">
        <v>0</v>
      </c>
      <c r="DM29">
        <v>333</v>
      </c>
      <c r="DN29">
        <v>0</v>
      </c>
      <c r="DO29">
        <v>0</v>
      </c>
      <c r="DP29">
        <v>20</v>
      </c>
      <c r="DQ29">
        <v>150</v>
      </c>
      <c r="DR29">
        <v>0</v>
      </c>
      <c r="DS29">
        <v>0</v>
      </c>
      <c r="DT29">
        <v>0</v>
      </c>
      <c r="DU29">
        <v>0</v>
      </c>
      <c r="DV29">
        <v>192</v>
      </c>
      <c r="DW29">
        <v>0</v>
      </c>
      <c r="DX29">
        <v>0</v>
      </c>
      <c r="DY29">
        <v>205</v>
      </c>
      <c r="DZ29">
        <v>0</v>
      </c>
      <c r="EA29">
        <v>149</v>
      </c>
      <c r="EB29">
        <v>241</v>
      </c>
      <c r="EC29">
        <v>0</v>
      </c>
      <c r="ED29">
        <v>168</v>
      </c>
      <c r="EE29">
        <v>168</v>
      </c>
      <c r="EF29">
        <v>0</v>
      </c>
      <c r="EG29">
        <v>0</v>
      </c>
      <c r="EH29">
        <v>0</v>
      </c>
      <c r="EI29">
        <v>168</v>
      </c>
      <c r="EJ29">
        <v>0</v>
      </c>
      <c r="EK29">
        <v>0</v>
      </c>
      <c r="EL29">
        <v>184</v>
      </c>
      <c r="EM29">
        <v>0</v>
      </c>
      <c r="EN29">
        <v>184</v>
      </c>
      <c r="EO29">
        <v>86</v>
      </c>
      <c r="EP29">
        <v>72</v>
      </c>
      <c r="EQ29">
        <v>0</v>
      </c>
      <c r="ER29">
        <v>0</v>
      </c>
      <c r="ES29">
        <v>0</v>
      </c>
      <c r="ET29">
        <v>0</v>
      </c>
      <c r="EU29">
        <v>23</v>
      </c>
      <c r="EV29">
        <v>235</v>
      </c>
      <c r="EW29">
        <v>20</v>
      </c>
      <c r="EX29">
        <v>0</v>
      </c>
      <c r="EY29">
        <v>0</v>
      </c>
      <c r="EZ29">
        <v>190</v>
      </c>
      <c r="FA29">
        <v>332</v>
      </c>
      <c r="FB29">
        <v>0</v>
      </c>
      <c r="FC29">
        <v>115</v>
      </c>
      <c r="FD29">
        <v>0</v>
      </c>
      <c r="FE29">
        <v>0</v>
      </c>
      <c r="FF29">
        <v>280</v>
      </c>
      <c r="FG29">
        <v>0</v>
      </c>
      <c r="FH29">
        <v>173</v>
      </c>
      <c r="FI29">
        <v>0</v>
      </c>
      <c r="FJ29">
        <v>0</v>
      </c>
      <c r="FK29">
        <v>240</v>
      </c>
      <c r="FL29">
        <v>74</v>
      </c>
      <c r="FM29">
        <v>0</v>
      </c>
      <c r="FN29">
        <v>189</v>
      </c>
      <c r="FO29">
        <v>0</v>
      </c>
      <c r="FP29">
        <v>0</v>
      </c>
      <c r="FQ29">
        <v>324</v>
      </c>
      <c r="FR29" s="1">
        <v>114</v>
      </c>
      <c r="FS29">
        <v>0</v>
      </c>
      <c r="FT29">
        <v>49</v>
      </c>
      <c r="FU29">
        <v>0</v>
      </c>
      <c r="FV29">
        <v>278</v>
      </c>
      <c r="FW29">
        <v>89</v>
      </c>
      <c r="FX29">
        <v>195</v>
      </c>
      <c r="FY29">
        <v>225</v>
      </c>
      <c r="FZ29">
        <v>39</v>
      </c>
      <c r="GA29">
        <v>0</v>
      </c>
      <c r="GB29">
        <v>286</v>
      </c>
      <c r="GC29">
        <v>119</v>
      </c>
      <c r="GD29">
        <v>0</v>
      </c>
      <c r="GE29">
        <v>271</v>
      </c>
      <c r="GF29">
        <v>59</v>
      </c>
      <c r="GG29">
        <v>0</v>
      </c>
      <c r="GH29">
        <v>0</v>
      </c>
      <c r="GI29">
        <v>288</v>
      </c>
      <c r="GJ29">
        <v>324</v>
      </c>
      <c r="GK29">
        <v>0</v>
      </c>
      <c r="GL29" t="e">
        <v>#N/A</v>
      </c>
      <c r="GM29">
        <v>0</v>
      </c>
      <c r="GN29">
        <v>0</v>
      </c>
      <c r="GO29">
        <v>211</v>
      </c>
      <c r="GP29">
        <v>202</v>
      </c>
      <c r="GQ29">
        <v>374</v>
      </c>
      <c r="GR29">
        <v>0</v>
      </c>
      <c r="GS29">
        <v>126</v>
      </c>
      <c r="GT29">
        <v>271</v>
      </c>
      <c r="GU29">
        <v>180</v>
      </c>
      <c r="GV29">
        <v>135</v>
      </c>
      <c r="GW29">
        <v>307</v>
      </c>
      <c r="GX29">
        <v>100</v>
      </c>
      <c r="GY29">
        <v>0</v>
      </c>
      <c r="GZ29">
        <v>18</v>
      </c>
      <c r="HA29">
        <v>0</v>
      </c>
      <c r="HB29" t="e">
        <v>#N/A</v>
      </c>
      <c r="HC29">
        <v>0</v>
      </c>
      <c r="HD29">
        <v>0</v>
      </c>
      <c r="HE29">
        <v>0</v>
      </c>
      <c r="HF29">
        <v>112</v>
      </c>
      <c r="HG29">
        <v>72</v>
      </c>
      <c r="HH29">
        <v>170</v>
      </c>
      <c r="HI29">
        <v>346</v>
      </c>
      <c r="HJ29">
        <v>0</v>
      </c>
      <c r="HK29">
        <v>272</v>
      </c>
      <c r="HL29">
        <v>138</v>
      </c>
      <c r="HM29">
        <v>153</v>
      </c>
      <c r="HN29">
        <v>244</v>
      </c>
      <c r="HO29">
        <v>115</v>
      </c>
      <c r="HP29">
        <v>159</v>
      </c>
      <c r="HQ29">
        <v>158</v>
      </c>
      <c r="HR29">
        <v>58</v>
      </c>
      <c r="HS29">
        <v>0</v>
      </c>
      <c r="HT29">
        <v>125</v>
      </c>
      <c r="HU29">
        <v>131</v>
      </c>
      <c r="HV29">
        <v>0</v>
      </c>
      <c r="HW29">
        <v>185</v>
      </c>
      <c r="HX29">
        <v>0</v>
      </c>
      <c r="HY29">
        <v>0</v>
      </c>
      <c r="HZ29">
        <v>245</v>
      </c>
      <c r="IA29">
        <v>271</v>
      </c>
      <c r="IB29">
        <v>186</v>
      </c>
      <c r="IC29">
        <v>276</v>
      </c>
      <c r="ID29">
        <v>186</v>
      </c>
      <c r="IE29">
        <v>265</v>
      </c>
      <c r="IF29">
        <v>0</v>
      </c>
      <c r="IG29">
        <v>309</v>
      </c>
      <c r="IH29">
        <v>0</v>
      </c>
      <c r="II29">
        <v>274</v>
      </c>
      <c r="IJ29">
        <v>181</v>
      </c>
      <c r="IK29">
        <v>200</v>
      </c>
      <c r="IL29">
        <v>0</v>
      </c>
      <c r="IM29">
        <v>125</v>
      </c>
      <c r="IN29">
        <v>0</v>
      </c>
      <c r="IO29">
        <v>0</v>
      </c>
      <c r="IP29">
        <v>0</v>
      </c>
      <c r="IQ29">
        <v>0</v>
      </c>
      <c r="IR29" t="e">
        <v>#N/A</v>
      </c>
      <c r="IS29">
        <v>316</v>
      </c>
      <c r="IT29">
        <v>0</v>
      </c>
      <c r="IU29">
        <v>0</v>
      </c>
      <c r="IV29">
        <v>29</v>
      </c>
      <c r="IW29">
        <v>348</v>
      </c>
      <c r="IX29">
        <v>334</v>
      </c>
      <c r="IY29">
        <v>0</v>
      </c>
      <c r="IZ29">
        <v>0</v>
      </c>
    </row>
    <row r="30" spans="1:16384" s="64" customFormat="1">
      <c r="A30" s="8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97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 s="1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</row>
    <row r="31" spans="1:16384" s="64" customFormat="1">
      <c r="A31" s="89" t="s">
        <v>409</v>
      </c>
      <c r="B31">
        <v>81112.500000000015</v>
      </c>
      <c r="C31">
        <v>88787.734624999997</v>
      </c>
      <c r="D31">
        <v>24811.161499999998</v>
      </c>
      <c r="E31">
        <v>91550.859924999997</v>
      </c>
      <c r="F31">
        <v>57512.322875000013</v>
      </c>
      <c r="G31">
        <v>56869.545225000002</v>
      </c>
      <c r="H31">
        <v>98406.041574999996</v>
      </c>
      <c r="I31">
        <v>112029.92657500002</v>
      </c>
      <c r="J31">
        <v>31400.151800000003</v>
      </c>
      <c r="K31">
        <v>83948.165525000004</v>
      </c>
      <c r="L31">
        <v>79752.976150000002</v>
      </c>
      <c r="M31">
        <v>117959.395875</v>
      </c>
      <c r="N31">
        <v>86862.390199999994</v>
      </c>
      <c r="O31">
        <v>26827.984824999985</v>
      </c>
      <c r="P31">
        <v>89113.855750000002</v>
      </c>
      <c r="Q31">
        <v>111751.54964999999</v>
      </c>
      <c r="R31">
        <v>55259.968300000008</v>
      </c>
      <c r="S31">
        <v>77777.342600000004</v>
      </c>
      <c r="T31">
        <v>95119.505825</v>
      </c>
      <c r="U31">
        <v>83772.168775000013</v>
      </c>
      <c r="V31">
        <v>193462.66517499997</v>
      </c>
      <c r="W31">
        <v>95794.132100000003</v>
      </c>
      <c r="X31">
        <v>49160.279075000006</v>
      </c>
      <c r="Y31">
        <v>71841.865699999995</v>
      </c>
      <c r="Z31">
        <v>114966.40637500001</v>
      </c>
      <c r="AA31">
        <v>87789.364149999994</v>
      </c>
      <c r="AB31">
        <v>74035.204150000005</v>
      </c>
      <c r="AC31">
        <v>73807.869225000002</v>
      </c>
      <c r="AD31">
        <v>114099.02050000001</v>
      </c>
      <c r="AE31">
        <v>55016.692149999995</v>
      </c>
      <c r="AF31">
        <v>80167.363550000009</v>
      </c>
      <c r="AG31">
        <v>88013.181599999996</v>
      </c>
      <c r="AH31">
        <v>81109.733000000007</v>
      </c>
      <c r="AI31">
        <v>110782.64952499999</v>
      </c>
      <c r="AJ31">
        <v>114898.509475</v>
      </c>
      <c r="AK31">
        <v>109435.99379999998</v>
      </c>
      <c r="AL31">
        <v>35712.759099999981</v>
      </c>
      <c r="AM31">
        <v>107175.82630000002</v>
      </c>
      <c r="AN31">
        <v>100489.38805000001</v>
      </c>
      <c r="AO31">
        <v>145113.26152499998</v>
      </c>
      <c r="AP31">
        <v>130707.38862499996</v>
      </c>
      <c r="AQ31">
        <v>129688.16755</v>
      </c>
      <c r="AR31">
        <v>130640.544775</v>
      </c>
      <c r="AS31">
        <v>104322.06082499999</v>
      </c>
      <c r="AT31">
        <v>83653.486099999995</v>
      </c>
      <c r="AU31">
        <v>73822.70782499999</v>
      </c>
      <c r="AV31">
        <v>82149.942474999989</v>
      </c>
      <c r="AW31">
        <v>83993.269400000005</v>
      </c>
      <c r="AX31" t="e">
        <v>#N/A</v>
      </c>
      <c r="AY31">
        <v>101782.19814999998</v>
      </c>
      <c r="AZ31">
        <v>72900.065124999994</v>
      </c>
      <c r="BA31">
        <v>72356.238025000013</v>
      </c>
      <c r="BB31">
        <v>93089.062525000001</v>
      </c>
      <c r="BC31">
        <v>85559.568100000004</v>
      </c>
      <c r="BD31">
        <v>87470.865950000021</v>
      </c>
      <c r="BE31">
        <v>77870.241749999986</v>
      </c>
      <c r="BF31">
        <v>33085.667099999991</v>
      </c>
      <c r="BG31">
        <v>97103.298549999992</v>
      </c>
      <c r="BH31">
        <v>27134.370874999986</v>
      </c>
      <c r="BI31">
        <v>197263.51222500001</v>
      </c>
      <c r="BJ31">
        <v>130195.12277499998</v>
      </c>
      <c r="BK31">
        <v>99950.89165000002</v>
      </c>
      <c r="BL31">
        <v>101817.73120000001</v>
      </c>
      <c r="BM31">
        <v>126752.979575</v>
      </c>
      <c r="BN31">
        <v>50921.528924999991</v>
      </c>
      <c r="BO31">
        <v>81737.541349999985</v>
      </c>
      <c r="BP31">
        <v>123882.87315</v>
      </c>
      <c r="BQ31">
        <v>94704.67227499999</v>
      </c>
      <c r="BR31">
        <v>116755.820525</v>
      </c>
      <c r="BS31">
        <v>121306.175825</v>
      </c>
      <c r="BT31">
        <v>124933.15674999999</v>
      </c>
      <c r="BU31">
        <v>109567.37955</v>
      </c>
      <c r="BV31">
        <v>90590.191250000003</v>
      </c>
      <c r="BW31">
        <v>79444.400174999988</v>
      </c>
      <c r="BX31">
        <v>58118.756599999986</v>
      </c>
      <c r="BY31" t="e">
        <v>#N/A</v>
      </c>
      <c r="BZ31">
        <v>82278.983350000024</v>
      </c>
      <c r="CA31">
        <v>83494.263225000002</v>
      </c>
      <c r="CB31">
        <v>19395.001475000001</v>
      </c>
      <c r="CC31" t="e">
        <v>#N/A</v>
      </c>
      <c r="CD31" t="e">
        <v>#N/A</v>
      </c>
      <c r="CE31">
        <v>35940.331149999991</v>
      </c>
      <c r="CF31">
        <v>146700.41985000001</v>
      </c>
      <c r="CG31">
        <v>74059.888074999995</v>
      </c>
      <c r="CH31">
        <v>97789.221424999996</v>
      </c>
      <c r="CI31">
        <v>60150.000000000007</v>
      </c>
      <c r="CJ31">
        <v>60467.5</v>
      </c>
      <c r="CK31">
        <v>33682.499999999985</v>
      </c>
      <c r="CL31">
        <v>108377.5</v>
      </c>
      <c r="CM31">
        <v>49687.500000000007</v>
      </c>
      <c r="CN31">
        <v>91695</v>
      </c>
      <c r="CO31">
        <v>79547.500000000015</v>
      </c>
      <c r="CP31">
        <v>143607.5</v>
      </c>
      <c r="CQ31">
        <v>101787.5</v>
      </c>
      <c r="CR31">
        <v>184152.5</v>
      </c>
      <c r="CS31">
        <v>113880</v>
      </c>
      <c r="CT31">
        <v>102402.5</v>
      </c>
      <c r="CU31">
        <v>80377.5</v>
      </c>
      <c r="CV31">
        <v>230612.49999999997</v>
      </c>
      <c r="CW31">
        <v>124574.99999999999</v>
      </c>
      <c r="CX31">
        <v>122897.50000000001</v>
      </c>
      <c r="CY31">
        <v>55892.499999999985</v>
      </c>
      <c r="CZ31">
        <v>91932.5</v>
      </c>
      <c r="DA31" s="97">
        <v>191662.5</v>
      </c>
      <c r="DB31">
        <v>41694.999999999993</v>
      </c>
      <c r="DC31">
        <v>82074.999999999985</v>
      </c>
      <c r="DD31">
        <v>14775.000000000005</v>
      </c>
      <c r="DE31">
        <v>17739.999999999996</v>
      </c>
      <c r="DF31">
        <v>-1707.5000000000109</v>
      </c>
      <c r="DG31">
        <v>-125882.5</v>
      </c>
      <c r="DH31">
        <v>91932.5</v>
      </c>
      <c r="DI31">
        <v>35682.499999999985</v>
      </c>
      <c r="DJ31">
        <v>23364.999999999993</v>
      </c>
      <c r="DK31">
        <v>106905</v>
      </c>
      <c r="DL31">
        <v>75655</v>
      </c>
      <c r="DM31">
        <v>-136455</v>
      </c>
      <c r="DN31">
        <v>111187.5</v>
      </c>
      <c r="DO31">
        <v>60275.000000000007</v>
      </c>
      <c r="DP31">
        <v>104729.99999999999</v>
      </c>
      <c r="DQ31">
        <v>68790</v>
      </c>
      <c r="DR31">
        <v>98772.500000000015</v>
      </c>
      <c r="DS31">
        <v>66625</v>
      </c>
      <c r="DT31" t="e">
        <v>#N/A</v>
      </c>
      <c r="DU31">
        <v>34400</v>
      </c>
      <c r="DV31">
        <v>88954.999999999985</v>
      </c>
      <c r="DW31">
        <v>39614.999999999985</v>
      </c>
      <c r="DX31">
        <v>27942.499999999996</v>
      </c>
      <c r="DY31">
        <v>-40282.5</v>
      </c>
      <c r="DZ31">
        <v>67257.5</v>
      </c>
      <c r="EA31">
        <v>55449.999999999985</v>
      </c>
      <c r="EB31">
        <v>-115687.5</v>
      </c>
      <c r="EC31">
        <v>123755</v>
      </c>
      <c r="ED31">
        <v>121560</v>
      </c>
      <c r="EE31">
        <v>126625</v>
      </c>
      <c r="EF31">
        <v>116937.5</v>
      </c>
      <c r="EG31">
        <v>78750</v>
      </c>
      <c r="EH31">
        <v>116742.5</v>
      </c>
      <c r="EI31">
        <v>109475</v>
      </c>
      <c r="EJ31">
        <v>79889.999999999985</v>
      </c>
      <c r="EK31">
        <v>92852.499999999985</v>
      </c>
      <c r="EL31">
        <v>32419.999999999985</v>
      </c>
      <c r="EM31">
        <v>94864.999999999985</v>
      </c>
      <c r="EN31">
        <v>7525.0000000000055</v>
      </c>
      <c r="EO31">
        <v>119112.49999999999</v>
      </c>
      <c r="EP31">
        <v>128402.5</v>
      </c>
      <c r="EQ31">
        <v>11412.499999999995</v>
      </c>
      <c r="ER31">
        <v>90837.5</v>
      </c>
      <c r="ES31">
        <v>89190</v>
      </c>
      <c r="ET31">
        <v>93840</v>
      </c>
      <c r="EU31">
        <v>67919.999999999985</v>
      </c>
      <c r="EV31">
        <v>16117.500000000007</v>
      </c>
      <c r="EW31">
        <v>80332.5</v>
      </c>
      <c r="EX31">
        <v>24400</v>
      </c>
      <c r="EY31">
        <v>83577.500000000015</v>
      </c>
      <c r="EZ31">
        <v>101669.99999999999</v>
      </c>
      <c r="FA31">
        <v>53705.000000000007</v>
      </c>
      <c r="FB31">
        <v>137627.5</v>
      </c>
      <c r="FC31">
        <v>79340</v>
      </c>
      <c r="FD31">
        <v>73044.999999999985</v>
      </c>
      <c r="FE31">
        <v>110332.49999999999</v>
      </c>
      <c r="FF31">
        <v>100009.99999999999</v>
      </c>
      <c r="FG31">
        <v>145880</v>
      </c>
      <c r="FH31">
        <v>127609.99999999999</v>
      </c>
      <c r="FI31">
        <v>174829.99999999997</v>
      </c>
      <c r="FJ31">
        <v>53817.5</v>
      </c>
      <c r="FK31">
        <v>95522.500000000015</v>
      </c>
      <c r="FL31">
        <v>110212.5</v>
      </c>
      <c r="FM31">
        <v>38895</v>
      </c>
      <c r="FN31">
        <v>67102.5</v>
      </c>
      <c r="FO31">
        <v>88987.500000000015</v>
      </c>
      <c r="FP31" t="e">
        <v>#N/A</v>
      </c>
      <c r="FQ31">
        <v>7497.4999999999873</v>
      </c>
      <c r="FR31" s="1">
        <v>83142.499999999985</v>
      </c>
      <c r="FS31">
        <v>79135</v>
      </c>
      <c r="FT31">
        <v>99935</v>
      </c>
      <c r="FU31">
        <v>57882.5</v>
      </c>
      <c r="FV31">
        <v>70472.5</v>
      </c>
      <c r="FW31">
        <v>60690</v>
      </c>
      <c r="FX31">
        <v>103190</v>
      </c>
      <c r="FY31">
        <v>34579.999999999985</v>
      </c>
      <c r="FZ31">
        <v>94490.000000000015</v>
      </c>
      <c r="GA31">
        <v>50515.000000000007</v>
      </c>
      <c r="GB31">
        <v>63672.500000000015</v>
      </c>
      <c r="GC31">
        <v>65492.500000000007</v>
      </c>
      <c r="GD31">
        <v>72862.500000000015</v>
      </c>
      <c r="GE31">
        <v>78482.499999999985</v>
      </c>
      <c r="GF31">
        <v>36360</v>
      </c>
      <c r="GG31" t="e">
        <v>#N/A</v>
      </c>
      <c r="GH31">
        <v>56640.000000000007</v>
      </c>
      <c r="GI31">
        <v>-53032.5</v>
      </c>
      <c r="GJ31">
        <v>42437.5</v>
      </c>
      <c r="GK31">
        <v>81140</v>
      </c>
      <c r="GL31" t="e">
        <v>#N/A</v>
      </c>
      <c r="GM31">
        <v>97625</v>
      </c>
      <c r="GN31">
        <v>79672.500000000015</v>
      </c>
      <c r="GO31">
        <v>52322.499999999993</v>
      </c>
      <c r="GP31">
        <v>89775</v>
      </c>
      <c r="GQ31">
        <v>24877.5</v>
      </c>
      <c r="GR31">
        <v>102362.49999999999</v>
      </c>
      <c r="GS31">
        <v>99932.499999999985</v>
      </c>
      <c r="GT31">
        <v>-4972.5000000000109</v>
      </c>
      <c r="GU31">
        <v>-2700.0000000000182</v>
      </c>
      <c r="GV31">
        <v>140452.5</v>
      </c>
      <c r="GW31">
        <v>31842.5</v>
      </c>
      <c r="GX31">
        <v>104292.49999999999</v>
      </c>
      <c r="GY31">
        <v>80907.5</v>
      </c>
      <c r="GZ31">
        <v>59192.5</v>
      </c>
      <c r="HA31">
        <v>64800.000000000015</v>
      </c>
      <c r="HB31" t="e">
        <v>#N/A</v>
      </c>
      <c r="HC31">
        <v>89695</v>
      </c>
      <c r="HD31">
        <v>49632.5</v>
      </c>
      <c r="HE31">
        <v>53940.000000000007</v>
      </c>
      <c r="HF31">
        <v>90949.999999999985</v>
      </c>
      <c r="HG31">
        <v>90922.499999999985</v>
      </c>
      <c r="HH31">
        <v>159225</v>
      </c>
      <c r="HI31">
        <v>39007.499999999993</v>
      </c>
      <c r="HJ31" t="e">
        <v>#N/A</v>
      </c>
      <c r="HK31">
        <v>-86950</v>
      </c>
      <c r="HL31">
        <v>-47664.999999999993</v>
      </c>
      <c r="HM31">
        <v>20919.999999999985</v>
      </c>
      <c r="HN31">
        <v>-216825</v>
      </c>
      <c r="HO31">
        <v>30060</v>
      </c>
      <c r="HP31">
        <v>78147.5</v>
      </c>
      <c r="HQ31">
        <v>-7784.9999999999964</v>
      </c>
      <c r="HR31">
        <v>80197.5</v>
      </c>
      <c r="HS31">
        <v>68455</v>
      </c>
      <c r="HT31">
        <v>35090</v>
      </c>
      <c r="HU31">
        <v>64762.499999999985</v>
      </c>
      <c r="HV31">
        <v>106519.99999999999</v>
      </c>
      <c r="HW31">
        <v>23650.000000000007</v>
      </c>
      <c r="HX31">
        <v>56809.999999999993</v>
      </c>
      <c r="HY31">
        <v>68567.5</v>
      </c>
      <c r="HZ31">
        <v>21652.500000000004</v>
      </c>
      <c r="IA31">
        <v>36869.999999999985</v>
      </c>
      <c r="IB31">
        <v>3199.9999999999891</v>
      </c>
      <c r="IC31">
        <v>84787.5</v>
      </c>
      <c r="ID31">
        <v>26224.999999999993</v>
      </c>
      <c r="IE31">
        <v>44872.499999999985</v>
      </c>
      <c r="IF31">
        <v>71122.5</v>
      </c>
      <c r="IG31">
        <v>76497.5</v>
      </c>
      <c r="IH31">
        <v>86389.999999999985</v>
      </c>
      <c r="II31">
        <v>89107.500000000015</v>
      </c>
      <c r="IJ31">
        <v>32074.999999999989</v>
      </c>
      <c r="IK31">
        <v>40682.5</v>
      </c>
      <c r="IL31">
        <v>79157.5</v>
      </c>
      <c r="IM31">
        <v>65337.500000000007</v>
      </c>
      <c r="IN31">
        <v>36664.999999999993</v>
      </c>
      <c r="IO31">
        <v>103687.5</v>
      </c>
      <c r="IP31">
        <v>57620</v>
      </c>
      <c r="IQ31">
        <v>7837.4999999999909</v>
      </c>
      <c r="IR31" t="e">
        <v>#N/A</v>
      </c>
      <c r="IS31">
        <v>-37270.000000000007</v>
      </c>
      <c r="IT31">
        <v>78242.5</v>
      </c>
      <c r="IU31">
        <v>29029.999999999985</v>
      </c>
      <c r="IV31">
        <v>56332.5</v>
      </c>
      <c r="IW31">
        <v>29902.499999999989</v>
      </c>
      <c r="IX31">
        <v>51969.999999999993</v>
      </c>
      <c r="IY31">
        <v>21447.499999999993</v>
      </c>
      <c r="IZ31">
        <v>81242.5</v>
      </c>
    </row>
    <row r="32" spans="1:16384" s="64" customFormat="1">
      <c r="A32" s="89" t="s">
        <v>402</v>
      </c>
      <c r="B32">
        <v>256.45</v>
      </c>
      <c r="C32">
        <v>287.15093849999994</v>
      </c>
      <c r="D32">
        <v>31.244645999999989</v>
      </c>
      <c r="E32">
        <v>298.20343970000005</v>
      </c>
      <c r="F32">
        <v>162.04929150000004</v>
      </c>
      <c r="G32">
        <v>159.47818089999998</v>
      </c>
      <c r="H32">
        <v>325.62416629999996</v>
      </c>
      <c r="I32">
        <v>380.11970630000002</v>
      </c>
      <c r="J32">
        <v>57.600607200000013</v>
      </c>
      <c r="K32">
        <v>267.79266210000003</v>
      </c>
      <c r="L32">
        <v>251.01190459999998</v>
      </c>
      <c r="M32">
        <v>403.83758349999994</v>
      </c>
      <c r="N32">
        <v>279.44956079999997</v>
      </c>
      <c r="O32">
        <v>39.311939299999949</v>
      </c>
      <c r="P32">
        <v>288.455423</v>
      </c>
      <c r="Q32">
        <v>379.00619859999995</v>
      </c>
      <c r="R32">
        <v>153.03987319999999</v>
      </c>
      <c r="S32">
        <v>243.10937039999999</v>
      </c>
      <c r="T32">
        <v>312.47802330000002</v>
      </c>
      <c r="U32">
        <v>267.08867509999999</v>
      </c>
      <c r="V32">
        <v>705.85066069999993</v>
      </c>
      <c r="W32">
        <v>315.17652839999994</v>
      </c>
      <c r="X32">
        <v>128.64111630000002</v>
      </c>
      <c r="Y32">
        <v>219.36746280000006</v>
      </c>
      <c r="Z32">
        <v>391.86562549999996</v>
      </c>
      <c r="AA32">
        <v>283.15745659999993</v>
      </c>
      <c r="AB32">
        <v>228.14081659999999</v>
      </c>
      <c r="AC32">
        <v>227.23147689999996</v>
      </c>
      <c r="AD32">
        <v>388.39608199999998</v>
      </c>
      <c r="AE32">
        <v>152.06676859999996</v>
      </c>
      <c r="AF32">
        <v>252.66945420000002</v>
      </c>
      <c r="AG32">
        <v>284.05272639999998</v>
      </c>
      <c r="AH32">
        <v>256.43893200000002</v>
      </c>
      <c r="AI32">
        <v>375.13059809999993</v>
      </c>
      <c r="AJ32">
        <v>391.59403789999999</v>
      </c>
      <c r="AK32">
        <v>369.74397519999991</v>
      </c>
      <c r="AL32">
        <v>74.851036399999941</v>
      </c>
      <c r="AM32">
        <v>360.70330519999999</v>
      </c>
      <c r="AN32">
        <v>333.95755220000001</v>
      </c>
      <c r="AO32">
        <v>512.45304609999994</v>
      </c>
      <c r="AP32">
        <v>454.82955449999986</v>
      </c>
      <c r="AQ32">
        <v>450.7526701999999</v>
      </c>
      <c r="AR32">
        <v>454.56217909999998</v>
      </c>
      <c r="AS32">
        <v>349.28824329999998</v>
      </c>
      <c r="AT32">
        <v>266.61394439999992</v>
      </c>
      <c r="AU32">
        <v>227.29083129999992</v>
      </c>
      <c r="AV32">
        <v>260.59976990000001</v>
      </c>
      <c r="AW32">
        <v>267.97307760000001</v>
      </c>
      <c r="AX32" t="e">
        <v>#N/A</v>
      </c>
      <c r="AY32">
        <v>339.12879259999988</v>
      </c>
      <c r="AZ32">
        <v>223.60026049999999</v>
      </c>
      <c r="BA32">
        <v>221.42495209999998</v>
      </c>
      <c r="BB32">
        <v>304.35625010000001</v>
      </c>
      <c r="BC32">
        <v>274.23827239999997</v>
      </c>
      <c r="BD32">
        <v>281.88346380000002</v>
      </c>
      <c r="BE32">
        <v>243.48096699999996</v>
      </c>
      <c r="BF32">
        <v>64.34266839999998</v>
      </c>
      <c r="BG32">
        <v>320.41319419999991</v>
      </c>
      <c r="BH32">
        <v>40.537483500000008</v>
      </c>
      <c r="BI32">
        <v>721.0540489</v>
      </c>
      <c r="BJ32">
        <v>452.78049109999995</v>
      </c>
      <c r="BK32">
        <v>331.80356660000001</v>
      </c>
      <c r="BL32">
        <v>339.27092479999999</v>
      </c>
      <c r="BM32">
        <v>439.01191830000005</v>
      </c>
      <c r="BN32">
        <v>135.68611569999996</v>
      </c>
      <c r="BO32">
        <v>258.9501654</v>
      </c>
      <c r="BP32">
        <v>427.53149259999998</v>
      </c>
      <c r="BQ32">
        <v>310.81868910000003</v>
      </c>
      <c r="BR32">
        <v>399.02328209999996</v>
      </c>
      <c r="BS32">
        <v>417.22470329999999</v>
      </c>
      <c r="BT32">
        <v>431.73262699999987</v>
      </c>
      <c r="BU32">
        <v>370.26951819999999</v>
      </c>
      <c r="BV32">
        <v>294.36076499999996</v>
      </c>
      <c r="BW32">
        <v>249.77760069999999</v>
      </c>
      <c r="BX32">
        <v>164.47502639999993</v>
      </c>
      <c r="BY32" t="e">
        <v>#N/A</v>
      </c>
      <c r="BZ32">
        <v>261.11593340000002</v>
      </c>
      <c r="CA32">
        <v>265.97705289999993</v>
      </c>
      <c r="CB32">
        <v>9.5800059000000033</v>
      </c>
      <c r="CC32" t="e">
        <v>#N/A</v>
      </c>
      <c r="CD32" t="e">
        <v>#N/A</v>
      </c>
      <c r="CE32">
        <v>75.761324599999966</v>
      </c>
      <c r="CF32">
        <v>518.80167940000001</v>
      </c>
      <c r="CG32">
        <v>228.23955230000001</v>
      </c>
      <c r="CH32">
        <v>323.15688569999998</v>
      </c>
      <c r="CI32">
        <v>172.59999999999997</v>
      </c>
      <c r="CJ32">
        <v>173.87</v>
      </c>
      <c r="CK32">
        <v>66.730000000000018</v>
      </c>
      <c r="CL32">
        <v>365.51</v>
      </c>
      <c r="CM32">
        <v>130.75</v>
      </c>
      <c r="CN32">
        <v>298.77999999999997</v>
      </c>
      <c r="CO32">
        <v>250.19</v>
      </c>
      <c r="CP32">
        <v>506.42999999999995</v>
      </c>
      <c r="CQ32">
        <v>339.15</v>
      </c>
      <c r="CR32">
        <v>668.61</v>
      </c>
      <c r="CS32">
        <v>387.52</v>
      </c>
      <c r="CT32">
        <v>341.61</v>
      </c>
      <c r="CU32">
        <v>253.51</v>
      </c>
      <c r="CV32">
        <v>854.45</v>
      </c>
      <c r="CW32">
        <v>430.29999999999995</v>
      </c>
      <c r="CX32">
        <v>423.59000000000003</v>
      </c>
      <c r="CY32">
        <v>155.56999999999994</v>
      </c>
      <c r="CZ32">
        <v>299.73</v>
      </c>
      <c r="DA32" s="97">
        <v>698.65</v>
      </c>
      <c r="DB32">
        <v>98.779999999999973</v>
      </c>
      <c r="DC32">
        <v>260.29999999999995</v>
      </c>
      <c r="DD32">
        <v>0</v>
      </c>
      <c r="DE32">
        <v>2.9600000000000364</v>
      </c>
      <c r="DF32">
        <v>0</v>
      </c>
      <c r="DG32">
        <v>0</v>
      </c>
      <c r="DH32">
        <v>299.73</v>
      </c>
      <c r="DI32">
        <v>74.730000000000018</v>
      </c>
      <c r="DJ32">
        <v>25.45999999999998</v>
      </c>
      <c r="DK32">
        <v>359.62</v>
      </c>
      <c r="DL32">
        <v>234.62</v>
      </c>
      <c r="DM32">
        <v>0</v>
      </c>
      <c r="DN32">
        <v>376.75</v>
      </c>
      <c r="DO32">
        <v>173.10000000000002</v>
      </c>
      <c r="DP32">
        <v>350.91999999999996</v>
      </c>
      <c r="DQ32">
        <v>207.15999999999997</v>
      </c>
      <c r="DR32">
        <v>327.09000000000003</v>
      </c>
      <c r="DS32">
        <v>198.5</v>
      </c>
      <c r="DT32" t="e">
        <v>#N/A</v>
      </c>
      <c r="DU32">
        <v>69.599999999999966</v>
      </c>
      <c r="DV32">
        <v>287.81999999999994</v>
      </c>
      <c r="DW32">
        <v>90.459999999999923</v>
      </c>
      <c r="DX32">
        <v>43.769999999999982</v>
      </c>
      <c r="DY32">
        <v>0</v>
      </c>
      <c r="DZ32">
        <v>201.02999999999997</v>
      </c>
      <c r="EA32">
        <v>153.79999999999995</v>
      </c>
      <c r="EB32">
        <v>0</v>
      </c>
      <c r="EC32">
        <v>427.02</v>
      </c>
      <c r="ED32">
        <v>418.24</v>
      </c>
      <c r="EE32">
        <v>438.5</v>
      </c>
      <c r="EF32">
        <v>399.75</v>
      </c>
      <c r="EG32">
        <v>247</v>
      </c>
      <c r="EH32">
        <v>398.97</v>
      </c>
      <c r="EI32">
        <v>369.9</v>
      </c>
      <c r="EJ32">
        <v>251.55999999999995</v>
      </c>
      <c r="EK32">
        <v>303.40999999999997</v>
      </c>
      <c r="EL32">
        <v>61.67999999999995</v>
      </c>
      <c r="EM32">
        <v>311.45999999999992</v>
      </c>
      <c r="EN32">
        <v>0</v>
      </c>
      <c r="EO32">
        <v>408.45000000000005</v>
      </c>
      <c r="EP32">
        <v>445.61</v>
      </c>
      <c r="EQ32">
        <v>0</v>
      </c>
      <c r="ER32">
        <v>295.35000000000002</v>
      </c>
      <c r="ES32">
        <v>288.76</v>
      </c>
      <c r="ET32">
        <v>307.36</v>
      </c>
      <c r="EU32">
        <v>203.67999999999995</v>
      </c>
      <c r="EV32">
        <v>0</v>
      </c>
      <c r="EW32">
        <v>253.32999999999993</v>
      </c>
      <c r="EX32">
        <v>29.599999999999966</v>
      </c>
      <c r="EY32">
        <v>266.31</v>
      </c>
      <c r="EZ32">
        <v>338.67999999999995</v>
      </c>
      <c r="FA32">
        <v>146.82</v>
      </c>
      <c r="FB32">
        <v>482.51</v>
      </c>
      <c r="FC32">
        <v>249.36</v>
      </c>
      <c r="FD32">
        <v>224.17999999999995</v>
      </c>
      <c r="FE32">
        <v>373.32999999999993</v>
      </c>
      <c r="FF32">
        <v>332.03999999999996</v>
      </c>
      <c r="FG32">
        <v>515.52</v>
      </c>
      <c r="FH32">
        <v>442.43999999999994</v>
      </c>
      <c r="FI32">
        <v>631.31999999999994</v>
      </c>
      <c r="FJ32">
        <v>147.26999999999998</v>
      </c>
      <c r="FK32">
        <v>314.09000000000003</v>
      </c>
      <c r="FL32">
        <v>372.85</v>
      </c>
      <c r="FM32">
        <v>87.579999999999984</v>
      </c>
      <c r="FN32">
        <v>200.40999999999997</v>
      </c>
      <c r="FO32">
        <v>287.95</v>
      </c>
      <c r="FP32" t="e">
        <v>#N/A</v>
      </c>
      <c r="FQ32">
        <v>0</v>
      </c>
      <c r="FR32" s="1">
        <v>264.56999999999994</v>
      </c>
      <c r="FS32">
        <v>248.53999999999996</v>
      </c>
      <c r="FT32">
        <v>331.74</v>
      </c>
      <c r="FU32">
        <v>163.52999999999997</v>
      </c>
      <c r="FV32">
        <v>213.89</v>
      </c>
      <c r="FW32">
        <v>174.76</v>
      </c>
      <c r="FX32">
        <v>344.76</v>
      </c>
      <c r="FY32">
        <v>70.319999999999936</v>
      </c>
      <c r="FZ32">
        <v>309.96000000000004</v>
      </c>
      <c r="GA32">
        <v>134.06</v>
      </c>
      <c r="GB32">
        <v>186.69</v>
      </c>
      <c r="GC32">
        <v>193.97000000000003</v>
      </c>
      <c r="GD32">
        <v>223.45</v>
      </c>
      <c r="GE32">
        <v>245.92999999999995</v>
      </c>
      <c r="GF32">
        <v>77.440000000000055</v>
      </c>
      <c r="GG32" t="e">
        <v>#N/A</v>
      </c>
      <c r="GH32">
        <v>158.56</v>
      </c>
      <c r="GI32">
        <v>0</v>
      </c>
      <c r="GJ32">
        <v>101.75</v>
      </c>
      <c r="GK32">
        <v>256.55999999999995</v>
      </c>
      <c r="GL32" t="e">
        <v>#N/A</v>
      </c>
      <c r="GM32">
        <v>322.5</v>
      </c>
      <c r="GN32">
        <v>250.69</v>
      </c>
      <c r="GO32">
        <v>141.28999999999996</v>
      </c>
      <c r="GP32">
        <v>291.10000000000002</v>
      </c>
      <c r="GQ32">
        <v>31.509999999999991</v>
      </c>
      <c r="GR32">
        <v>341.44999999999993</v>
      </c>
      <c r="GS32">
        <v>331.72999999999996</v>
      </c>
      <c r="GT32">
        <v>0</v>
      </c>
      <c r="GU32">
        <v>0</v>
      </c>
      <c r="GV32">
        <v>493.80999999999995</v>
      </c>
      <c r="GW32">
        <v>59.370000000000005</v>
      </c>
      <c r="GX32">
        <v>349.16999999999996</v>
      </c>
      <c r="GY32">
        <v>255.63</v>
      </c>
      <c r="GZ32">
        <v>168.76999999999998</v>
      </c>
      <c r="HA32">
        <v>191.2</v>
      </c>
      <c r="HB32" t="e">
        <v>#N/A</v>
      </c>
      <c r="HC32">
        <v>290.77999999999997</v>
      </c>
      <c r="HD32">
        <v>130.52999999999997</v>
      </c>
      <c r="HE32">
        <v>147.76</v>
      </c>
      <c r="HF32">
        <v>295.79999999999995</v>
      </c>
      <c r="HG32">
        <v>295.68999999999994</v>
      </c>
      <c r="HH32">
        <v>568.9</v>
      </c>
      <c r="HI32">
        <v>88.029999999999973</v>
      </c>
      <c r="HJ32" t="e">
        <v>#N/A</v>
      </c>
      <c r="HK32">
        <v>0</v>
      </c>
      <c r="HL32">
        <v>0</v>
      </c>
      <c r="HM32">
        <v>15.67999999999995</v>
      </c>
      <c r="HN32">
        <v>0</v>
      </c>
      <c r="HO32">
        <v>52.240000000000009</v>
      </c>
      <c r="HP32">
        <v>244.59000000000003</v>
      </c>
      <c r="HQ32">
        <v>0</v>
      </c>
      <c r="HR32">
        <v>252.78999999999996</v>
      </c>
      <c r="HS32">
        <v>205.82</v>
      </c>
      <c r="HT32">
        <v>72.360000000000014</v>
      </c>
      <c r="HU32">
        <v>191.04999999999995</v>
      </c>
      <c r="HV32">
        <v>358.07999999999993</v>
      </c>
      <c r="HW32">
        <v>26.600000000000023</v>
      </c>
      <c r="HX32">
        <v>159.23999999999995</v>
      </c>
      <c r="HY32">
        <v>206.26999999999998</v>
      </c>
      <c r="HZ32">
        <v>18.610000000000014</v>
      </c>
      <c r="IA32">
        <v>79.480000000000018</v>
      </c>
      <c r="IB32">
        <v>0</v>
      </c>
      <c r="IC32">
        <v>271.14999999999998</v>
      </c>
      <c r="ID32">
        <v>36.899999999999977</v>
      </c>
      <c r="IE32">
        <v>111.49000000000001</v>
      </c>
      <c r="IF32">
        <v>216.49</v>
      </c>
      <c r="IG32">
        <v>237.98999999999995</v>
      </c>
      <c r="IH32">
        <v>277.55999999999995</v>
      </c>
      <c r="II32">
        <v>288.43</v>
      </c>
      <c r="IJ32">
        <v>60.299999999999955</v>
      </c>
      <c r="IK32">
        <v>94.730000000000018</v>
      </c>
      <c r="IL32">
        <v>248.63</v>
      </c>
      <c r="IM32">
        <v>193.34999999999997</v>
      </c>
      <c r="IN32">
        <v>78.659999999999968</v>
      </c>
      <c r="IO32">
        <v>346.74999999999994</v>
      </c>
      <c r="IP32">
        <v>162.48000000000002</v>
      </c>
      <c r="IQ32">
        <v>0</v>
      </c>
      <c r="IR32" t="e">
        <v>#N/A</v>
      </c>
      <c r="IS32">
        <v>0</v>
      </c>
      <c r="IT32">
        <v>244.96999999999997</v>
      </c>
      <c r="IU32">
        <v>48.119999999999948</v>
      </c>
      <c r="IV32">
        <v>157.32999999999998</v>
      </c>
      <c r="IW32">
        <v>51.609999999999957</v>
      </c>
      <c r="IX32">
        <v>139.87999999999994</v>
      </c>
      <c r="IY32">
        <v>17.789999999999964</v>
      </c>
      <c r="IZ32">
        <v>256.97000000000003</v>
      </c>
    </row>
    <row r="33" spans="1:260" s="64" customFormat="1">
      <c r="A33" s="89" t="s">
        <v>333</v>
      </c>
      <c r="B33">
        <v>0</v>
      </c>
      <c r="C33">
        <v>0</v>
      </c>
      <c r="D33">
        <v>374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117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t="e">
        <v>#N/A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  <c r="BZ33">
        <v>0</v>
      </c>
      <c r="CA33">
        <v>0</v>
      </c>
      <c r="CB33">
        <v>284</v>
      </c>
      <c r="CC33" t="e">
        <v>#N/A</v>
      </c>
      <c r="CD33" t="e">
        <v>#N/A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41</v>
      </c>
      <c r="DA33" s="97">
        <v>0</v>
      </c>
      <c r="DB33">
        <v>0</v>
      </c>
      <c r="DC33">
        <v>0</v>
      </c>
      <c r="DD33">
        <v>0</v>
      </c>
      <c r="DE33">
        <v>0</v>
      </c>
      <c r="DF33">
        <v>350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168</v>
      </c>
      <c r="DM33">
        <v>0</v>
      </c>
      <c r="DN33">
        <v>0</v>
      </c>
      <c r="DO33">
        <v>0</v>
      </c>
      <c r="DP33">
        <v>0</v>
      </c>
      <c r="DQ33">
        <v>153</v>
      </c>
      <c r="DR33">
        <v>0</v>
      </c>
      <c r="DS33">
        <v>0</v>
      </c>
      <c r="DT33" t="e">
        <v>#N/A</v>
      </c>
      <c r="DU33">
        <v>397</v>
      </c>
      <c r="DV33">
        <v>42</v>
      </c>
      <c r="DW33">
        <v>0</v>
      </c>
      <c r="DX33">
        <v>48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364</v>
      </c>
      <c r="ER33">
        <v>59</v>
      </c>
      <c r="ES33">
        <v>0</v>
      </c>
      <c r="ET33">
        <v>0</v>
      </c>
      <c r="EU33">
        <v>0</v>
      </c>
      <c r="EV33">
        <v>0</v>
      </c>
      <c r="EW33">
        <v>149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21</v>
      </c>
      <c r="FM33">
        <v>0</v>
      </c>
      <c r="FN33">
        <v>0</v>
      </c>
      <c r="FO33">
        <v>0</v>
      </c>
      <c r="FP33" t="e">
        <v>#N/A</v>
      </c>
      <c r="FQ33">
        <v>0</v>
      </c>
      <c r="FR33" s="1">
        <v>132</v>
      </c>
      <c r="FS33">
        <v>0</v>
      </c>
      <c r="FT33">
        <v>54</v>
      </c>
      <c r="FU33">
        <v>0</v>
      </c>
      <c r="FV33">
        <v>0</v>
      </c>
      <c r="FW33">
        <v>0</v>
      </c>
      <c r="FX33">
        <v>8</v>
      </c>
      <c r="FY33">
        <v>0</v>
      </c>
      <c r="FZ33">
        <v>76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 t="e">
        <v>#N/A</v>
      </c>
      <c r="GH33">
        <v>0</v>
      </c>
      <c r="GI33">
        <v>0</v>
      </c>
      <c r="GJ33">
        <v>0</v>
      </c>
      <c r="GK33">
        <v>0</v>
      </c>
      <c r="GL33" t="e">
        <v>#N/A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 t="e">
        <v>#N/A</v>
      </c>
      <c r="HC33">
        <v>0</v>
      </c>
      <c r="HD33">
        <v>0</v>
      </c>
      <c r="HE33">
        <v>0</v>
      </c>
      <c r="HF33">
        <v>92</v>
      </c>
      <c r="HG33">
        <v>0</v>
      </c>
      <c r="HH33">
        <v>0</v>
      </c>
      <c r="HI33">
        <v>0</v>
      </c>
      <c r="HJ33" t="e">
        <v>#N/A</v>
      </c>
      <c r="HK33">
        <v>0</v>
      </c>
      <c r="HL33">
        <v>0</v>
      </c>
      <c r="HM33">
        <v>0</v>
      </c>
      <c r="HN33">
        <v>0</v>
      </c>
      <c r="HO33">
        <v>119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38</v>
      </c>
      <c r="IJ33">
        <v>0</v>
      </c>
      <c r="IK33">
        <v>0</v>
      </c>
      <c r="IL33">
        <v>0</v>
      </c>
      <c r="IM33">
        <v>200</v>
      </c>
      <c r="IN33">
        <v>0</v>
      </c>
      <c r="IO33">
        <v>0</v>
      </c>
      <c r="IP33">
        <v>0</v>
      </c>
      <c r="IQ33">
        <v>338</v>
      </c>
      <c r="IR33" t="e">
        <v>#N/A</v>
      </c>
      <c r="IS33">
        <v>0</v>
      </c>
      <c r="IT33">
        <v>0</v>
      </c>
      <c r="IU33">
        <v>0</v>
      </c>
      <c r="IV33">
        <v>325</v>
      </c>
      <c r="IW33">
        <v>0</v>
      </c>
      <c r="IX33">
        <v>0</v>
      </c>
      <c r="IY33">
        <v>0</v>
      </c>
      <c r="IZ33">
        <v>0</v>
      </c>
    </row>
    <row r="34" spans="1:260">
      <c r="A34" s="89" t="s">
        <v>405</v>
      </c>
      <c r="B34">
        <v>0</v>
      </c>
      <c r="C34">
        <v>0</v>
      </c>
      <c r="D34">
        <v>31790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9945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t="e">
        <v>#N/A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  <c r="BZ34">
        <v>0</v>
      </c>
      <c r="CA34">
        <v>0</v>
      </c>
      <c r="CB34">
        <v>24140</v>
      </c>
      <c r="CC34" t="e">
        <v>#N/A</v>
      </c>
      <c r="CD34" t="e">
        <v>#N/A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3485</v>
      </c>
      <c r="DA34" s="97">
        <v>0</v>
      </c>
      <c r="DB34">
        <v>0</v>
      </c>
      <c r="DC34">
        <v>0</v>
      </c>
      <c r="DD34">
        <v>0</v>
      </c>
      <c r="DE34">
        <v>0</v>
      </c>
      <c r="DF34">
        <v>29750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14280</v>
      </c>
      <c r="DM34">
        <v>0</v>
      </c>
      <c r="DN34">
        <v>0</v>
      </c>
      <c r="DO34">
        <v>0</v>
      </c>
      <c r="DP34">
        <v>0</v>
      </c>
      <c r="DQ34">
        <v>13005</v>
      </c>
      <c r="DR34">
        <v>0</v>
      </c>
      <c r="DS34">
        <v>0</v>
      </c>
      <c r="DT34" t="e">
        <v>#N/A</v>
      </c>
      <c r="DU34">
        <v>33745</v>
      </c>
      <c r="DV34">
        <v>3570</v>
      </c>
      <c r="DW34">
        <v>0</v>
      </c>
      <c r="DX34">
        <v>4080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30940</v>
      </c>
      <c r="ER34">
        <v>5015</v>
      </c>
      <c r="ES34">
        <v>0</v>
      </c>
      <c r="ET34">
        <v>0</v>
      </c>
      <c r="EU34">
        <v>0</v>
      </c>
      <c r="EV34">
        <v>0</v>
      </c>
      <c r="EW34">
        <v>12665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1785</v>
      </c>
      <c r="FM34">
        <v>0</v>
      </c>
      <c r="FN34">
        <v>0</v>
      </c>
      <c r="FO34">
        <v>0</v>
      </c>
      <c r="FP34" t="e">
        <v>#N/A</v>
      </c>
      <c r="FQ34">
        <v>0</v>
      </c>
      <c r="FR34" s="1">
        <v>11220</v>
      </c>
      <c r="FS34">
        <v>0</v>
      </c>
      <c r="FT34">
        <v>4590</v>
      </c>
      <c r="FU34">
        <v>0</v>
      </c>
      <c r="FV34">
        <v>0</v>
      </c>
      <c r="FW34">
        <v>0</v>
      </c>
      <c r="FX34">
        <v>680</v>
      </c>
      <c r="FY34">
        <v>0</v>
      </c>
      <c r="FZ34">
        <v>6460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 t="e">
        <v>#N/A</v>
      </c>
      <c r="GH34">
        <v>0</v>
      </c>
      <c r="GI34">
        <v>0</v>
      </c>
      <c r="GJ34">
        <v>0</v>
      </c>
      <c r="GK34">
        <v>0</v>
      </c>
      <c r="GL34" t="e">
        <v>#N/A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 t="e">
        <v>#N/A</v>
      </c>
      <c r="HC34">
        <v>0</v>
      </c>
      <c r="HD34">
        <v>0</v>
      </c>
      <c r="HE34">
        <v>0</v>
      </c>
      <c r="HF34">
        <v>7820</v>
      </c>
      <c r="HG34">
        <v>0</v>
      </c>
      <c r="HH34">
        <v>0</v>
      </c>
      <c r="HI34">
        <v>0</v>
      </c>
      <c r="HJ34" t="e">
        <v>#N/A</v>
      </c>
      <c r="HK34">
        <v>0</v>
      </c>
      <c r="HL34">
        <v>0</v>
      </c>
      <c r="HM34">
        <v>0</v>
      </c>
      <c r="HN34">
        <v>0</v>
      </c>
      <c r="HO34">
        <v>10115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3230</v>
      </c>
      <c r="IJ34">
        <v>0</v>
      </c>
      <c r="IK34">
        <v>0</v>
      </c>
      <c r="IL34">
        <v>0</v>
      </c>
      <c r="IM34">
        <v>17000</v>
      </c>
      <c r="IN34">
        <v>0</v>
      </c>
      <c r="IO34">
        <v>0</v>
      </c>
      <c r="IP34">
        <v>0</v>
      </c>
      <c r="IQ34">
        <v>28730</v>
      </c>
      <c r="IR34" t="e">
        <v>#N/A</v>
      </c>
      <c r="IS34">
        <v>0</v>
      </c>
      <c r="IT34">
        <v>0</v>
      </c>
      <c r="IU34">
        <v>0</v>
      </c>
      <c r="IV34">
        <v>27625</v>
      </c>
      <c r="IW34">
        <v>0</v>
      </c>
      <c r="IX34">
        <v>0</v>
      </c>
      <c r="IY34">
        <v>0</v>
      </c>
      <c r="IZ34">
        <v>0</v>
      </c>
    </row>
    <row r="35" spans="1:260">
      <c r="A35" s="102" t="s">
        <v>407</v>
      </c>
      <c r="B35">
        <v>23460</v>
      </c>
      <c r="C35">
        <v>0</v>
      </c>
      <c r="D35">
        <v>31790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9945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4335</v>
      </c>
      <c r="AR35">
        <v>0</v>
      </c>
      <c r="AS35">
        <v>0</v>
      </c>
      <c r="AT35">
        <v>0</v>
      </c>
      <c r="AU35">
        <v>0</v>
      </c>
      <c r="AV35">
        <v>4335</v>
      </c>
      <c r="AW35">
        <v>0</v>
      </c>
      <c r="AX35" t="e">
        <v>#N/A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  <c r="BZ35">
        <v>0</v>
      </c>
      <c r="CA35">
        <v>0</v>
      </c>
      <c r="CB35">
        <v>24140</v>
      </c>
      <c r="CC35" t="e">
        <v>#N/A</v>
      </c>
      <c r="CD35" t="e">
        <v>#N/A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3485</v>
      </c>
      <c r="DA35" s="97">
        <v>0</v>
      </c>
      <c r="DB35">
        <v>0</v>
      </c>
      <c r="DC35">
        <v>0</v>
      </c>
      <c r="DD35">
        <v>19040</v>
      </c>
      <c r="DE35">
        <v>23290</v>
      </c>
      <c r="DF35">
        <v>29750</v>
      </c>
      <c r="DG35">
        <v>23630</v>
      </c>
      <c r="DH35">
        <v>0</v>
      </c>
      <c r="DI35">
        <v>22270</v>
      </c>
      <c r="DJ35">
        <v>23970</v>
      </c>
      <c r="DK35">
        <v>0</v>
      </c>
      <c r="DL35">
        <v>14280</v>
      </c>
      <c r="DM35">
        <v>28305</v>
      </c>
      <c r="DN35">
        <v>0</v>
      </c>
      <c r="DO35">
        <v>0</v>
      </c>
      <c r="DP35">
        <v>1700</v>
      </c>
      <c r="DQ35">
        <v>25755</v>
      </c>
      <c r="DR35">
        <v>0</v>
      </c>
      <c r="DS35">
        <v>0</v>
      </c>
      <c r="DT35" t="e">
        <v>#N/A</v>
      </c>
      <c r="DU35">
        <v>33745</v>
      </c>
      <c r="DV35">
        <v>19890</v>
      </c>
      <c r="DW35">
        <v>0</v>
      </c>
      <c r="DX35">
        <v>4080</v>
      </c>
      <c r="DY35">
        <v>17425</v>
      </c>
      <c r="DZ35">
        <v>0</v>
      </c>
      <c r="EA35">
        <v>12665</v>
      </c>
      <c r="EB35">
        <v>20485</v>
      </c>
      <c r="EC35">
        <v>0</v>
      </c>
      <c r="ED35">
        <v>14280</v>
      </c>
      <c r="EE35">
        <v>14280</v>
      </c>
      <c r="EF35">
        <v>0</v>
      </c>
      <c r="EG35">
        <v>0</v>
      </c>
      <c r="EH35">
        <v>0</v>
      </c>
      <c r="EI35">
        <v>14280</v>
      </c>
      <c r="EJ35">
        <v>0</v>
      </c>
      <c r="EK35">
        <v>0</v>
      </c>
      <c r="EL35">
        <v>15640</v>
      </c>
      <c r="EM35">
        <v>0</v>
      </c>
      <c r="EN35">
        <v>15640</v>
      </c>
      <c r="EO35">
        <v>7310</v>
      </c>
      <c r="EP35">
        <v>6120</v>
      </c>
      <c r="EQ35">
        <v>30940</v>
      </c>
      <c r="ER35">
        <v>5015</v>
      </c>
      <c r="ES35">
        <v>0</v>
      </c>
      <c r="ET35">
        <v>0</v>
      </c>
      <c r="EU35">
        <v>1955</v>
      </c>
      <c r="EV35">
        <v>19975</v>
      </c>
      <c r="EW35">
        <v>14365</v>
      </c>
      <c r="EX35">
        <v>0</v>
      </c>
      <c r="EY35">
        <v>0</v>
      </c>
      <c r="EZ35">
        <v>16150</v>
      </c>
      <c r="FA35">
        <v>28220</v>
      </c>
      <c r="FB35">
        <v>0</v>
      </c>
      <c r="FC35">
        <v>9775</v>
      </c>
      <c r="FD35">
        <v>0</v>
      </c>
      <c r="FE35">
        <v>0</v>
      </c>
      <c r="FF35">
        <v>23800</v>
      </c>
      <c r="FG35">
        <v>0</v>
      </c>
      <c r="FH35">
        <v>14705</v>
      </c>
      <c r="FI35">
        <v>0</v>
      </c>
      <c r="FJ35">
        <v>0</v>
      </c>
      <c r="FK35">
        <v>20400</v>
      </c>
      <c r="FL35">
        <v>8075</v>
      </c>
      <c r="FM35">
        <v>0</v>
      </c>
      <c r="FN35">
        <v>16065</v>
      </c>
      <c r="FO35">
        <v>0</v>
      </c>
      <c r="FP35" t="e">
        <v>#N/A</v>
      </c>
      <c r="FQ35">
        <v>27540</v>
      </c>
      <c r="FR35" s="1">
        <v>20910</v>
      </c>
      <c r="FS35">
        <v>0</v>
      </c>
      <c r="FT35">
        <v>8755</v>
      </c>
      <c r="FU35">
        <v>0</v>
      </c>
      <c r="FV35">
        <v>23630</v>
      </c>
      <c r="FW35">
        <v>7565</v>
      </c>
      <c r="FX35">
        <v>17255</v>
      </c>
      <c r="FY35">
        <v>19125</v>
      </c>
      <c r="FZ35">
        <v>9775</v>
      </c>
      <c r="GA35">
        <v>0</v>
      </c>
      <c r="GB35">
        <v>24310</v>
      </c>
      <c r="GC35">
        <v>10115</v>
      </c>
      <c r="GD35">
        <v>0</v>
      </c>
      <c r="GE35">
        <v>23035</v>
      </c>
      <c r="GF35">
        <v>5015</v>
      </c>
      <c r="GG35" t="e">
        <v>#N/A</v>
      </c>
      <c r="GH35">
        <v>0</v>
      </c>
      <c r="GI35">
        <v>24480</v>
      </c>
      <c r="GJ35">
        <v>27540</v>
      </c>
      <c r="GK35">
        <v>0</v>
      </c>
      <c r="GL35" t="e">
        <v>#N/A</v>
      </c>
      <c r="GM35">
        <v>0</v>
      </c>
      <c r="GN35">
        <v>0</v>
      </c>
      <c r="GO35">
        <v>17935</v>
      </c>
      <c r="GP35">
        <v>17170</v>
      </c>
      <c r="GQ35">
        <v>31790</v>
      </c>
      <c r="GR35">
        <v>0</v>
      </c>
      <c r="GS35">
        <v>10710</v>
      </c>
      <c r="GT35">
        <v>23035</v>
      </c>
      <c r="GU35">
        <v>15300</v>
      </c>
      <c r="GV35">
        <v>11475</v>
      </c>
      <c r="GW35">
        <v>26095</v>
      </c>
      <c r="GX35">
        <v>8500</v>
      </c>
      <c r="GY35">
        <v>0</v>
      </c>
      <c r="GZ35">
        <v>1530</v>
      </c>
      <c r="HA35">
        <v>0</v>
      </c>
      <c r="HB35" t="e">
        <v>#N/A</v>
      </c>
      <c r="HC35">
        <v>0</v>
      </c>
      <c r="HD35">
        <v>0</v>
      </c>
      <c r="HE35">
        <v>0</v>
      </c>
      <c r="HF35">
        <v>17340</v>
      </c>
      <c r="HG35">
        <v>6120</v>
      </c>
      <c r="HH35">
        <v>14450</v>
      </c>
      <c r="HI35">
        <v>29410</v>
      </c>
      <c r="HJ35" t="e">
        <v>#N/A</v>
      </c>
      <c r="HK35">
        <v>23120</v>
      </c>
      <c r="HL35">
        <v>11730</v>
      </c>
      <c r="HM35">
        <v>13005</v>
      </c>
      <c r="HN35">
        <v>20740</v>
      </c>
      <c r="HO35">
        <v>19890</v>
      </c>
      <c r="HP35">
        <v>13515</v>
      </c>
      <c r="HQ35">
        <v>13430</v>
      </c>
      <c r="HR35">
        <v>4930</v>
      </c>
      <c r="HS35">
        <v>0</v>
      </c>
      <c r="HT35">
        <v>10625</v>
      </c>
      <c r="HU35">
        <v>11135</v>
      </c>
      <c r="HV35">
        <v>0</v>
      </c>
      <c r="HW35">
        <v>15725</v>
      </c>
      <c r="HX35">
        <v>0</v>
      </c>
      <c r="HY35">
        <v>0</v>
      </c>
      <c r="HZ35">
        <v>20825</v>
      </c>
      <c r="IA35">
        <v>23035</v>
      </c>
      <c r="IB35">
        <v>15810</v>
      </c>
      <c r="IC35">
        <v>23460</v>
      </c>
      <c r="ID35">
        <v>15810</v>
      </c>
      <c r="IE35">
        <v>22525</v>
      </c>
      <c r="IF35">
        <v>0</v>
      </c>
      <c r="IG35">
        <v>26265</v>
      </c>
      <c r="IH35">
        <v>0</v>
      </c>
      <c r="II35">
        <v>26520</v>
      </c>
      <c r="IJ35">
        <v>15385</v>
      </c>
      <c r="IK35">
        <v>17000</v>
      </c>
      <c r="IL35">
        <v>0</v>
      </c>
      <c r="IM35">
        <v>27625</v>
      </c>
      <c r="IN35">
        <v>0</v>
      </c>
      <c r="IO35">
        <v>0</v>
      </c>
      <c r="IP35">
        <v>0</v>
      </c>
      <c r="IQ35">
        <v>28730</v>
      </c>
      <c r="IR35" t="e">
        <v>#N/A</v>
      </c>
      <c r="IS35">
        <v>26860</v>
      </c>
      <c r="IT35">
        <v>0</v>
      </c>
      <c r="IU35">
        <v>0</v>
      </c>
      <c r="IV35">
        <v>30090</v>
      </c>
      <c r="IW35">
        <v>29580</v>
      </c>
      <c r="IX35">
        <v>28390</v>
      </c>
      <c r="IY35">
        <v>0</v>
      </c>
      <c r="IZ35">
        <v>0</v>
      </c>
    </row>
    <row r="36" spans="1:260">
      <c r="A36" s="88"/>
    </row>
    <row r="37" spans="1:260">
      <c r="A37" s="90" t="s">
        <v>334</v>
      </c>
      <c r="B37">
        <v>27000</v>
      </c>
      <c r="C37">
        <v>18307</v>
      </c>
      <c r="D37">
        <v>59293.502396000004</v>
      </c>
      <c r="E37">
        <v>44674.5</v>
      </c>
      <c r="F37">
        <v>0</v>
      </c>
      <c r="G37">
        <v>13597</v>
      </c>
      <c r="H37">
        <v>29228</v>
      </c>
      <c r="I37">
        <v>0</v>
      </c>
      <c r="J37">
        <v>21433</v>
      </c>
      <c r="K37">
        <v>15438</v>
      </c>
      <c r="L37">
        <v>0</v>
      </c>
      <c r="M37">
        <v>34230</v>
      </c>
      <c r="N37">
        <v>22693.5</v>
      </c>
      <c r="O37">
        <v>0</v>
      </c>
      <c r="P37">
        <v>22882.5</v>
      </c>
      <c r="Q37">
        <v>0</v>
      </c>
      <c r="R37">
        <v>26863</v>
      </c>
      <c r="S37">
        <v>0</v>
      </c>
      <c r="T37">
        <v>21464.5</v>
      </c>
      <c r="U37">
        <v>26900</v>
      </c>
      <c r="V37">
        <v>48672</v>
      </c>
      <c r="W37">
        <v>0</v>
      </c>
      <c r="X37">
        <v>13506</v>
      </c>
      <c r="Y37">
        <v>7146</v>
      </c>
      <c r="Z37">
        <v>21196</v>
      </c>
      <c r="AA37">
        <v>0</v>
      </c>
      <c r="AB37">
        <v>11607.5</v>
      </c>
      <c r="AC37">
        <v>64180</v>
      </c>
      <c r="AD37">
        <v>39774</v>
      </c>
      <c r="AE37">
        <v>31992</v>
      </c>
      <c r="AF37">
        <v>24289</v>
      </c>
      <c r="AG37">
        <v>0</v>
      </c>
      <c r="AH37">
        <v>81034.144956000004</v>
      </c>
      <c r="AI37">
        <v>0</v>
      </c>
      <c r="AJ37">
        <v>45697</v>
      </c>
      <c r="AK37">
        <v>38176</v>
      </c>
      <c r="AL37">
        <v>0</v>
      </c>
      <c r="AM37">
        <v>20199.5</v>
      </c>
      <c r="AN37">
        <v>659</v>
      </c>
      <c r="AO37">
        <v>29306</v>
      </c>
      <c r="AP37">
        <v>48856</v>
      </c>
      <c r="AQ37">
        <v>26757.613819800004</v>
      </c>
      <c r="AR37">
        <v>23893</v>
      </c>
      <c r="AS37">
        <v>15881.5</v>
      </c>
      <c r="AT37">
        <v>4141</v>
      </c>
      <c r="AU37">
        <v>15811</v>
      </c>
      <c r="AV37">
        <v>26929.411735099999</v>
      </c>
      <c r="AW37">
        <v>16179.5</v>
      </c>
      <c r="AX37" t="e">
        <v>#N/A</v>
      </c>
      <c r="AY37">
        <v>5604</v>
      </c>
      <c r="AZ37">
        <v>69344</v>
      </c>
      <c r="BA37">
        <v>23466.5</v>
      </c>
      <c r="BB37">
        <v>15376</v>
      </c>
      <c r="BC37">
        <v>0</v>
      </c>
      <c r="BD37">
        <v>19957</v>
      </c>
      <c r="BE37">
        <v>393</v>
      </c>
      <c r="BF37">
        <v>0</v>
      </c>
      <c r="BG37">
        <v>0</v>
      </c>
      <c r="BH37">
        <v>0</v>
      </c>
      <c r="BI37">
        <v>0</v>
      </c>
      <c r="BJ37">
        <v>10205</v>
      </c>
      <c r="BK37">
        <v>19076</v>
      </c>
      <c r="BL37">
        <v>30318</v>
      </c>
      <c r="BM37">
        <v>0</v>
      </c>
      <c r="BN37">
        <v>14021</v>
      </c>
      <c r="BO37">
        <v>13691</v>
      </c>
      <c r="BP37">
        <v>35789</v>
      </c>
      <c r="BQ37">
        <v>973</v>
      </c>
      <c r="BR37">
        <v>0</v>
      </c>
      <c r="BS37">
        <v>12996</v>
      </c>
      <c r="BT37">
        <v>17987</v>
      </c>
      <c r="BU37">
        <v>24249.5</v>
      </c>
      <c r="BV37">
        <v>53447.5</v>
      </c>
      <c r="BW37">
        <v>5231</v>
      </c>
      <c r="BX37">
        <v>7339</v>
      </c>
      <c r="BY37" t="e">
        <v>#N/A</v>
      </c>
      <c r="BZ37">
        <v>9922</v>
      </c>
      <c r="CA37">
        <v>4461</v>
      </c>
      <c r="CB37">
        <v>45078.278324400002</v>
      </c>
      <c r="CC37" t="e">
        <v>#N/A</v>
      </c>
      <c r="CD37" t="e">
        <v>#N/A</v>
      </c>
      <c r="CE37">
        <v>15949</v>
      </c>
      <c r="CF37">
        <v>16209</v>
      </c>
      <c r="CG37">
        <v>0</v>
      </c>
      <c r="CH37">
        <v>0</v>
      </c>
      <c r="CI37">
        <v>0</v>
      </c>
      <c r="CJ37">
        <v>21536</v>
      </c>
      <c r="CK37">
        <v>0</v>
      </c>
      <c r="CL37">
        <v>42688</v>
      </c>
      <c r="CM37">
        <v>8792</v>
      </c>
      <c r="CN37">
        <v>80474</v>
      </c>
      <c r="CO37">
        <v>32306</v>
      </c>
      <c r="CP37">
        <v>65902.5</v>
      </c>
      <c r="CQ37">
        <v>2198</v>
      </c>
      <c r="CR37">
        <v>49230.5</v>
      </c>
      <c r="CS37">
        <v>0</v>
      </c>
      <c r="CT37">
        <v>22909</v>
      </c>
      <c r="CU37">
        <v>7518</v>
      </c>
      <c r="CV37">
        <v>39443</v>
      </c>
      <c r="CW37">
        <v>0</v>
      </c>
      <c r="CX37">
        <v>73137.5</v>
      </c>
      <c r="CY37">
        <v>17254.5</v>
      </c>
      <c r="CZ37">
        <v>91711.07</v>
      </c>
      <c r="DA37" s="97">
        <v>17000</v>
      </c>
      <c r="DB37">
        <v>9500</v>
      </c>
      <c r="DC37">
        <v>1250</v>
      </c>
      <c r="DD37">
        <v>118000</v>
      </c>
      <c r="DE37">
        <v>118000</v>
      </c>
      <c r="DF37">
        <v>5000</v>
      </c>
      <c r="DG37">
        <v>118000</v>
      </c>
      <c r="DH37">
        <v>3000</v>
      </c>
      <c r="DI37">
        <v>27000</v>
      </c>
      <c r="DJ37">
        <v>118000</v>
      </c>
      <c r="DK37">
        <v>50000</v>
      </c>
      <c r="DL37">
        <v>75583.839999999997</v>
      </c>
      <c r="DM37">
        <v>27000</v>
      </c>
      <c r="DN37">
        <v>66000</v>
      </c>
      <c r="DO37">
        <v>20000</v>
      </c>
      <c r="DP37">
        <v>26981.599999999999</v>
      </c>
      <c r="DQ37">
        <v>86230.52</v>
      </c>
      <c r="DR37">
        <v>11000</v>
      </c>
      <c r="DS37">
        <v>29000</v>
      </c>
      <c r="DT37" t="e">
        <v>#N/A</v>
      </c>
      <c r="DU37">
        <v>34368.800000000017</v>
      </c>
      <c r="DV37">
        <v>105650.12000000001</v>
      </c>
      <c r="DW37">
        <v>5000</v>
      </c>
      <c r="DX37">
        <v>27899.040000000001</v>
      </c>
      <c r="DY37">
        <v>118000</v>
      </c>
      <c r="DZ37">
        <v>10000</v>
      </c>
      <c r="EA37">
        <v>27000</v>
      </c>
      <c r="EB37">
        <v>118000</v>
      </c>
      <c r="EC37">
        <v>5000</v>
      </c>
      <c r="ED37">
        <v>118000</v>
      </c>
      <c r="EE37">
        <v>118000</v>
      </c>
      <c r="EF37">
        <v>17500</v>
      </c>
      <c r="EG37">
        <v>0</v>
      </c>
      <c r="EH37">
        <v>8000</v>
      </c>
      <c r="EI37">
        <v>118000</v>
      </c>
      <c r="EJ37">
        <v>14000</v>
      </c>
      <c r="EK37">
        <v>1300</v>
      </c>
      <c r="EL37">
        <v>27000</v>
      </c>
      <c r="EM37">
        <v>17500</v>
      </c>
      <c r="EN37">
        <v>118000</v>
      </c>
      <c r="EO37">
        <v>118000</v>
      </c>
      <c r="EP37">
        <v>117916.08</v>
      </c>
      <c r="EQ37">
        <v>9000</v>
      </c>
      <c r="ER37">
        <v>90574.35</v>
      </c>
      <c r="ES37">
        <v>5000</v>
      </c>
      <c r="ET37">
        <v>10000</v>
      </c>
      <c r="EU37">
        <v>26815.360000000001</v>
      </c>
      <c r="EV37">
        <v>27000</v>
      </c>
      <c r="EW37">
        <v>80187.23000000001</v>
      </c>
      <c r="EX37">
        <v>22500</v>
      </c>
      <c r="EY37">
        <v>19000</v>
      </c>
      <c r="EZ37">
        <v>118000</v>
      </c>
      <c r="FA37">
        <v>118000</v>
      </c>
      <c r="FB37">
        <v>20000</v>
      </c>
      <c r="FC37">
        <v>27000</v>
      </c>
      <c r="FD37">
        <v>42500</v>
      </c>
      <c r="FE37">
        <v>6500</v>
      </c>
      <c r="FF37">
        <v>118000</v>
      </c>
      <c r="FG37">
        <v>14000</v>
      </c>
      <c r="FH37">
        <v>118000</v>
      </c>
      <c r="FI37">
        <v>23000</v>
      </c>
      <c r="FJ37">
        <v>5560</v>
      </c>
      <c r="FK37">
        <v>118000</v>
      </c>
      <c r="FL37">
        <v>110079.25</v>
      </c>
      <c r="FM37">
        <v>21500</v>
      </c>
      <c r="FN37">
        <v>118000</v>
      </c>
      <c r="FO37">
        <v>11000</v>
      </c>
      <c r="FP37" t="e">
        <v>#N/A</v>
      </c>
      <c r="FQ37">
        <v>27000</v>
      </c>
      <c r="FR37" s="1">
        <v>82915.780000000013</v>
      </c>
      <c r="FS37">
        <v>15000</v>
      </c>
      <c r="FT37">
        <v>99830.78</v>
      </c>
      <c r="FU37">
        <v>50000</v>
      </c>
      <c r="FV37">
        <v>118000</v>
      </c>
      <c r="FW37">
        <v>26946.36</v>
      </c>
      <c r="FX37">
        <v>115013.72</v>
      </c>
      <c r="FY37">
        <v>27000</v>
      </c>
      <c r="FZ37">
        <v>94354.599999999991</v>
      </c>
      <c r="GA37">
        <v>750</v>
      </c>
      <c r="GB37">
        <v>118000</v>
      </c>
      <c r="GC37">
        <v>26918.069999999996</v>
      </c>
      <c r="GD37">
        <v>66500</v>
      </c>
      <c r="GE37">
        <v>118000</v>
      </c>
      <c r="GF37">
        <v>26931.039999999997</v>
      </c>
      <c r="GG37" t="e">
        <v>#N/A</v>
      </c>
      <c r="GH37">
        <v>11750</v>
      </c>
      <c r="GI37">
        <v>27000</v>
      </c>
      <c r="GJ37">
        <v>118000</v>
      </c>
      <c r="GK37">
        <v>25000</v>
      </c>
      <c r="GL37" t="e">
        <v>#N/A</v>
      </c>
      <c r="GM37">
        <v>96000</v>
      </c>
      <c r="GN37">
        <v>2500</v>
      </c>
      <c r="GO37">
        <v>27000</v>
      </c>
      <c r="GP37">
        <v>118000</v>
      </c>
      <c r="GQ37">
        <v>118000</v>
      </c>
      <c r="GR37">
        <v>14500</v>
      </c>
      <c r="GS37">
        <v>27000</v>
      </c>
      <c r="GT37">
        <v>27000</v>
      </c>
      <c r="GU37">
        <v>27000</v>
      </c>
      <c r="GV37">
        <v>118000</v>
      </c>
      <c r="GW37">
        <v>118000</v>
      </c>
      <c r="GX37">
        <v>118000</v>
      </c>
      <c r="GY37">
        <v>19000</v>
      </c>
      <c r="GZ37">
        <v>26962.14</v>
      </c>
      <c r="HA37">
        <v>13000</v>
      </c>
      <c r="HB37" t="e">
        <v>#N/A</v>
      </c>
      <c r="HC37">
        <v>4250</v>
      </c>
      <c r="HD37">
        <v>3500</v>
      </c>
      <c r="HE37">
        <v>6500</v>
      </c>
      <c r="HF37">
        <v>90656.800000000017</v>
      </c>
      <c r="HG37">
        <v>26710.320000000003</v>
      </c>
      <c r="HH37">
        <v>118000</v>
      </c>
      <c r="HI37">
        <v>118000</v>
      </c>
      <c r="HJ37" t="e">
        <v>#N/A</v>
      </c>
      <c r="HK37">
        <v>27000</v>
      </c>
      <c r="HL37">
        <v>27000</v>
      </c>
      <c r="HM37">
        <v>27000</v>
      </c>
      <c r="HN37">
        <v>118000</v>
      </c>
      <c r="HO37">
        <v>111775.84</v>
      </c>
      <c r="HP37">
        <v>118000</v>
      </c>
      <c r="HQ37">
        <v>27000</v>
      </c>
      <c r="HR37">
        <v>26838.18</v>
      </c>
      <c r="HS37">
        <v>12000</v>
      </c>
      <c r="HT37">
        <v>26955</v>
      </c>
      <c r="HU37">
        <v>118000</v>
      </c>
      <c r="HV37">
        <v>600</v>
      </c>
      <c r="HW37">
        <v>118000</v>
      </c>
      <c r="HX37">
        <v>6000</v>
      </c>
      <c r="HY37">
        <v>8375</v>
      </c>
      <c r="HZ37">
        <v>27000</v>
      </c>
      <c r="IA37">
        <v>118000</v>
      </c>
      <c r="IB37">
        <v>27000</v>
      </c>
      <c r="IC37">
        <v>118000</v>
      </c>
      <c r="ID37">
        <v>118000</v>
      </c>
      <c r="IE37">
        <v>27000</v>
      </c>
      <c r="IF37">
        <v>23029.5</v>
      </c>
      <c r="IG37">
        <v>118000</v>
      </c>
      <c r="IH37">
        <v>18000</v>
      </c>
      <c r="II37">
        <v>106982.84</v>
      </c>
      <c r="IJ37">
        <v>118000</v>
      </c>
      <c r="IK37">
        <v>27000</v>
      </c>
      <c r="IL37">
        <v>19340</v>
      </c>
      <c r="IM37">
        <v>79161.25</v>
      </c>
      <c r="IN37">
        <v>16000</v>
      </c>
      <c r="IO37">
        <v>88500</v>
      </c>
      <c r="IP37">
        <v>7961.5</v>
      </c>
      <c r="IQ37">
        <v>18500</v>
      </c>
      <c r="IR37" t="e">
        <v>#N/A</v>
      </c>
      <c r="IS37">
        <v>27000</v>
      </c>
      <c r="IT37">
        <v>17340</v>
      </c>
      <c r="IU37">
        <v>9725</v>
      </c>
      <c r="IV37">
        <v>66805.179999999993</v>
      </c>
      <c r="IW37">
        <v>118000</v>
      </c>
      <c r="IX37">
        <v>118000</v>
      </c>
      <c r="IY37">
        <v>18000</v>
      </c>
      <c r="IZ37">
        <v>13000</v>
      </c>
    </row>
    <row r="38" spans="1:260">
      <c r="A38" s="90" t="s">
        <v>336</v>
      </c>
      <c r="B38">
        <v>0</v>
      </c>
      <c r="C38">
        <v>303</v>
      </c>
      <c r="D38">
        <v>0</v>
      </c>
      <c r="E38">
        <v>274</v>
      </c>
      <c r="F38">
        <v>184</v>
      </c>
      <c r="G38">
        <v>276</v>
      </c>
      <c r="H38">
        <v>131</v>
      </c>
      <c r="I38">
        <v>204</v>
      </c>
      <c r="J38">
        <v>235</v>
      </c>
      <c r="K38">
        <v>307</v>
      </c>
      <c r="L38">
        <v>338</v>
      </c>
      <c r="M38">
        <v>181</v>
      </c>
      <c r="N38">
        <v>244</v>
      </c>
      <c r="O38">
        <v>325</v>
      </c>
      <c r="P38">
        <v>186</v>
      </c>
      <c r="Q38">
        <v>218</v>
      </c>
      <c r="R38">
        <v>364</v>
      </c>
      <c r="S38">
        <v>341</v>
      </c>
      <c r="T38">
        <v>274</v>
      </c>
      <c r="U38">
        <v>278</v>
      </c>
      <c r="V38">
        <v>110</v>
      </c>
      <c r="W38">
        <v>219</v>
      </c>
      <c r="X38">
        <v>246</v>
      </c>
      <c r="Y38">
        <v>272</v>
      </c>
      <c r="Z38">
        <v>155</v>
      </c>
      <c r="AA38">
        <v>283</v>
      </c>
      <c r="AB38">
        <v>358</v>
      </c>
      <c r="AC38">
        <v>374</v>
      </c>
      <c r="AD38">
        <v>169</v>
      </c>
      <c r="AE38">
        <v>358</v>
      </c>
      <c r="AF38">
        <v>346</v>
      </c>
      <c r="AG38">
        <v>307</v>
      </c>
      <c r="AH38">
        <v>214</v>
      </c>
      <c r="AI38">
        <v>149</v>
      </c>
      <c r="AJ38">
        <v>168</v>
      </c>
      <c r="AK38">
        <v>223</v>
      </c>
      <c r="AL38">
        <v>310</v>
      </c>
      <c r="AM38">
        <v>158</v>
      </c>
      <c r="AN38">
        <v>168</v>
      </c>
      <c r="AO38">
        <v>153</v>
      </c>
      <c r="AP38">
        <v>113</v>
      </c>
      <c r="AQ38">
        <v>129</v>
      </c>
      <c r="AR38">
        <v>168</v>
      </c>
      <c r="AS38">
        <v>229</v>
      </c>
      <c r="AT38">
        <v>218</v>
      </c>
      <c r="AU38">
        <v>322</v>
      </c>
      <c r="AV38">
        <v>206</v>
      </c>
      <c r="AW38">
        <v>284</v>
      </c>
      <c r="AX38" t="e">
        <v>#N/A</v>
      </c>
      <c r="AY38">
        <v>195</v>
      </c>
      <c r="AZ38">
        <v>257</v>
      </c>
      <c r="BA38">
        <v>346</v>
      </c>
      <c r="BB38">
        <v>281</v>
      </c>
      <c r="BC38">
        <v>207</v>
      </c>
      <c r="BD38">
        <v>210</v>
      </c>
      <c r="BE38">
        <v>334</v>
      </c>
      <c r="BF38">
        <v>316</v>
      </c>
      <c r="BG38">
        <v>217</v>
      </c>
      <c r="BH38">
        <v>271</v>
      </c>
      <c r="BI38">
        <v>107</v>
      </c>
      <c r="BJ38">
        <v>131</v>
      </c>
      <c r="BK38">
        <v>202</v>
      </c>
      <c r="BL38">
        <v>202</v>
      </c>
      <c r="BM38">
        <v>185</v>
      </c>
      <c r="BN38">
        <v>280</v>
      </c>
      <c r="BO38">
        <v>271</v>
      </c>
      <c r="BP38">
        <v>189</v>
      </c>
      <c r="BQ38">
        <v>271</v>
      </c>
      <c r="BR38">
        <v>193</v>
      </c>
      <c r="BS38">
        <v>189</v>
      </c>
      <c r="BT38">
        <v>180</v>
      </c>
      <c r="BU38">
        <v>225</v>
      </c>
      <c r="BV38">
        <v>283</v>
      </c>
      <c r="BW38">
        <v>341</v>
      </c>
      <c r="BX38">
        <v>229</v>
      </c>
      <c r="BY38" t="e">
        <v>#N/A</v>
      </c>
      <c r="BZ38">
        <v>240</v>
      </c>
      <c r="CA38">
        <v>209</v>
      </c>
      <c r="CB38">
        <v>0</v>
      </c>
      <c r="CC38" t="e">
        <v>#N/A</v>
      </c>
      <c r="CD38" t="e">
        <v>#N/A</v>
      </c>
      <c r="CE38">
        <v>364</v>
      </c>
      <c r="CF38">
        <v>110</v>
      </c>
      <c r="CG38">
        <v>169</v>
      </c>
      <c r="CH38">
        <v>190</v>
      </c>
      <c r="CI38">
        <v>576</v>
      </c>
      <c r="CJ38">
        <v>288</v>
      </c>
      <c r="CK38">
        <v>257</v>
      </c>
      <c r="CL38">
        <v>175</v>
      </c>
      <c r="CM38">
        <v>324</v>
      </c>
      <c r="CN38">
        <v>258</v>
      </c>
      <c r="CO38">
        <v>354</v>
      </c>
      <c r="CP38">
        <v>153</v>
      </c>
      <c r="CQ38">
        <v>209</v>
      </c>
      <c r="CR38">
        <v>107</v>
      </c>
      <c r="CS38">
        <v>122</v>
      </c>
      <c r="CT38">
        <v>245</v>
      </c>
      <c r="CU38">
        <v>223</v>
      </c>
      <c r="CV38">
        <v>86</v>
      </c>
      <c r="CW38">
        <v>181</v>
      </c>
      <c r="CX38">
        <v>159</v>
      </c>
      <c r="CY38">
        <v>253</v>
      </c>
      <c r="CZ38">
        <v>216</v>
      </c>
      <c r="DA38" s="97">
        <v>131</v>
      </c>
      <c r="DB38">
        <v>258</v>
      </c>
      <c r="DC38">
        <v>228</v>
      </c>
      <c r="DD38">
        <v>0</v>
      </c>
      <c r="DE38">
        <v>0</v>
      </c>
      <c r="DF38">
        <v>0</v>
      </c>
      <c r="DG38">
        <v>0</v>
      </c>
      <c r="DH38">
        <v>257</v>
      </c>
      <c r="DI38">
        <v>0</v>
      </c>
      <c r="DJ38">
        <v>0</v>
      </c>
      <c r="DK38">
        <v>229</v>
      </c>
      <c r="DL38">
        <v>61</v>
      </c>
      <c r="DM38">
        <v>0</v>
      </c>
      <c r="DN38">
        <v>235</v>
      </c>
      <c r="DO38">
        <v>238</v>
      </c>
      <c r="DP38">
        <v>198</v>
      </c>
      <c r="DQ38">
        <v>0</v>
      </c>
      <c r="DR38">
        <v>246</v>
      </c>
      <c r="DS38">
        <v>329</v>
      </c>
      <c r="DT38" t="e">
        <v>#N/A</v>
      </c>
      <c r="DU38">
        <v>179</v>
      </c>
      <c r="DV38">
        <v>0</v>
      </c>
      <c r="DW38">
        <v>195</v>
      </c>
      <c r="DX38">
        <v>145</v>
      </c>
      <c r="DY38">
        <v>0</v>
      </c>
      <c r="DZ38">
        <v>192</v>
      </c>
      <c r="EA38">
        <v>0</v>
      </c>
      <c r="EB38">
        <v>0</v>
      </c>
      <c r="EC38">
        <v>110</v>
      </c>
      <c r="ED38">
        <v>0</v>
      </c>
      <c r="EE38">
        <v>0</v>
      </c>
      <c r="EF38">
        <v>155</v>
      </c>
      <c r="EG38">
        <v>169</v>
      </c>
      <c r="EH38">
        <v>204</v>
      </c>
      <c r="EI38">
        <v>0</v>
      </c>
      <c r="EJ38">
        <v>189</v>
      </c>
      <c r="EK38">
        <v>219</v>
      </c>
      <c r="EL38">
        <v>0</v>
      </c>
      <c r="EM38">
        <v>163</v>
      </c>
      <c r="EN38">
        <v>0</v>
      </c>
      <c r="EO38">
        <v>0</v>
      </c>
      <c r="EP38">
        <v>35</v>
      </c>
      <c r="EQ38">
        <v>0</v>
      </c>
      <c r="ER38">
        <v>133</v>
      </c>
      <c r="ES38">
        <v>241</v>
      </c>
      <c r="ET38">
        <v>231</v>
      </c>
      <c r="EU38">
        <v>167</v>
      </c>
      <c r="EV38">
        <v>0</v>
      </c>
      <c r="EW38">
        <v>141</v>
      </c>
      <c r="EX38">
        <v>576</v>
      </c>
      <c r="EY38">
        <v>223</v>
      </c>
      <c r="EZ38">
        <v>0</v>
      </c>
      <c r="FA38">
        <v>0</v>
      </c>
      <c r="FB38">
        <v>175</v>
      </c>
      <c r="FC38">
        <v>0</v>
      </c>
      <c r="FD38">
        <v>229</v>
      </c>
      <c r="FE38">
        <v>223</v>
      </c>
      <c r="FF38">
        <v>0</v>
      </c>
      <c r="FG38">
        <v>122</v>
      </c>
      <c r="FH38">
        <v>0</v>
      </c>
      <c r="FI38">
        <v>113</v>
      </c>
      <c r="FJ38">
        <v>331</v>
      </c>
      <c r="FK38">
        <v>0</v>
      </c>
      <c r="FL38">
        <v>115</v>
      </c>
      <c r="FM38">
        <v>346</v>
      </c>
      <c r="FN38">
        <v>0</v>
      </c>
      <c r="FO38">
        <v>209</v>
      </c>
      <c r="FP38" t="e">
        <v>#N/A</v>
      </c>
      <c r="FQ38">
        <v>0</v>
      </c>
      <c r="FR38" s="1">
        <v>7</v>
      </c>
      <c r="FS38">
        <v>322</v>
      </c>
      <c r="FT38">
        <v>121</v>
      </c>
      <c r="FU38">
        <v>426</v>
      </c>
      <c r="FV38">
        <v>0</v>
      </c>
      <c r="FW38">
        <v>114</v>
      </c>
      <c r="FX38">
        <v>0</v>
      </c>
      <c r="FY38">
        <v>0</v>
      </c>
      <c r="FZ38">
        <v>147</v>
      </c>
      <c r="GA38">
        <v>307</v>
      </c>
      <c r="GB38">
        <v>0</v>
      </c>
      <c r="GC38">
        <v>74</v>
      </c>
      <c r="GD38">
        <v>284</v>
      </c>
      <c r="GE38">
        <v>0</v>
      </c>
      <c r="GF38">
        <v>221</v>
      </c>
      <c r="GG38" t="e">
        <v>#N/A</v>
      </c>
      <c r="GH38">
        <v>281</v>
      </c>
      <c r="GI38">
        <v>0</v>
      </c>
      <c r="GJ38">
        <v>0</v>
      </c>
      <c r="GK38">
        <v>296</v>
      </c>
      <c r="GL38" t="e">
        <v>#N/A</v>
      </c>
      <c r="GM38">
        <v>210</v>
      </c>
      <c r="GN38">
        <v>235</v>
      </c>
      <c r="GO38">
        <v>0</v>
      </c>
      <c r="GP38">
        <v>0</v>
      </c>
      <c r="GQ38">
        <v>0</v>
      </c>
      <c r="GR38">
        <v>217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204</v>
      </c>
      <c r="GZ38">
        <v>437</v>
      </c>
      <c r="HA38">
        <v>281</v>
      </c>
      <c r="HB38" t="e">
        <v>#N/A</v>
      </c>
      <c r="HC38">
        <v>225</v>
      </c>
      <c r="HD38">
        <v>398</v>
      </c>
      <c r="HE38">
        <v>352</v>
      </c>
      <c r="HF38">
        <v>67</v>
      </c>
      <c r="HG38">
        <v>83</v>
      </c>
      <c r="HH38">
        <v>0</v>
      </c>
      <c r="HI38">
        <v>0</v>
      </c>
      <c r="HJ38" t="e">
        <v>#N/A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95</v>
      </c>
      <c r="HS38">
        <v>207</v>
      </c>
      <c r="HT38">
        <v>61</v>
      </c>
      <c r="HU38">
        <v>0</v>
      </c>
      <c r="HV38">
        <v>180</v>
      </c>
      <c r="HW38">
        <v>0</v>
      </c>
      <c r="HX38">
        <v>280</v>
      </c>
      <c r="HY38">
        <v>221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265</v>
      </c>
      <c r="IG38">
        <v>0</v>
      </c>
      <c r="IH38">
        <v>220</v>
      </c>
      <c r="II38">
        <v>0</v>
      </c>
      <c r="IJ38">
        <v>0</v>
      </c>
      <c r="IK38">
        <v>0</v>
      </c>
      <c r="IL38">
        <v>358</v>
      </c>
      <c r="IM38">
        <v>0</v>
      </c>
      <c r="IN38">
        <v>283</v>
      </c>
      <c r="IO38">
        <v>209</v>
      </c>
      <c r="IP38">
        <v>266</v>
      </c>
      <c r="IQ38">
        <v>0</v>
      </c>
      <c r="IR38" t="e">
        <v>#N/A</v>
      </c>
      <c r="IS38">
        <v>0</v>
      </c>
      <c r="IT38">
        <v>341</v>
      </c>
      <c r="IU38">
        <v>358</v>
      </c>
      <c r="IV38">
        <v>0</v>
      </c>
      <c r="IW38">
        <v>0</v>
      </c>
      <c r="IX38">
        <v>0</v>
      </c>
      <c r="IY38">
        <v>330</v>
      </c>
      <c r="IZ38">
        <v>294</v>
      </c>
    </row>
    <row r="39" spans="1:260">
      <c r="A39" s="90" t="s">
        <v>337</v>
      </c>
      <c r="B39">
        <v>0</v>
      </c>
      <c r="C39">
        <v>3.2005466285258133</v>
      </c>
      <c r="D39">
        <v>0</v>
      </c>
      <c r="E39">
        <v>71.290150729847397</v>
      </c>
      <c r="F39">
        <v>0</v>
      </c>
      <c r="G39">
        <v>0</v>
      </c>
      <c r="H39">
        <v>41.11599771554198</v>
      </c>
      <c r="I39">
        <v>0</v>
      </c>
      <c r="J39">
        <v>12.243258750673874</v>
      </c>
      <c r="K39">
        <v>0</v>
      </c>
      <c r="L39">
        <v>0</v>
      </c>
      <c r="M39">
        <v>52.631102676154676</v>
      </c>
      <c r="N39">
        <v>15.475076093620702</v>
      </c>
      <c r="O39">
        <v>0</v>
      </c>
      <c r="P39">
        <v>17.800004842253745</v>
      </c>
      <c r="Q39">
        <v>0</v>
      </c>
      <c r="R39">
        <v>21.799715507177257</v>
      </c>
      <c r="S39">
        <v>0</v>
      </c>
      <c r="T39">
        <v>11.50065504104516</v>
      </c>
      <c r="U39">
        <v>25.31324058093136</v>
      </c>
      <c r="V39">
        <v>111.65541383447264</v>
      </c>
      <c r="W39">
        <v>0</v>
      </c>
      <c r="X39">
        <v>0</v>
      </c>
      <c r="Y39">
        <v>5.3499688339584013E-14</v>
      </c>
      <c r="Z39">
        <v>13.554375508232201</v>
      </c>
      <c r="AA39">
        <v>0</v>
      </c>
      <c r="AB39">
        <v>0</v>
      </c>
      <c r="AC39">
        <v>102.47779332105083</v>
      </c>
      <c r="AD39">
        <v>71.292073578495945</v>
      </c>
      <c r="AE39">
        <v>33.443401831427551</v>
      </c>
      <c r="AF39">
        <v>16.57429881380612</v>
      </c>
      <c r="AG39">
        <v>0</v>
      </c>
      <c r="AH39">
        <v>184.31747391651274</v>
      </c>
      <c r="AI39">
        <v>0</v>
      </c>
      <c r="AJ39">
        <v>90.028805794572207</v>
      </c>
      <c r="AK39">
        <v>59.838578814196481</v>
      </c>
      <c r="AL39">
        <v>0</v>
      </c>
      <c r="AM39">
        <v>10.270420448255933</v>
      </c>
      <c r="AN39">
        <v>0</v>
      </c>
      <c r="AO39">
        <v>39.868202154666648</v>
      </c>
      <c r="AP39">
        <v>111.44455227808839</v>
      </c>
      <c r="AQ39">
        <v>32.938557614288925</v>
      </c>
      <c r="AR39">
        <v>21.624858289785887</v>
      </c>
      <c r="AS39">
        <v>0</v>
      </c>
      <c r="AT39">
        <v>0</v>
      </c>
      <c r="AU39">
        <v>0</v>
      </c>
      <c r="AV39">
        <v>29.04427786784948</v>
      </c>
      <c r="AW39">
        <v>0</v>
      </c>
      <c r="AX39" t="e">
        <v>#N/A</v>
      </c>
      <c r="AY39">
        <v>0</v>
      </c>
      <c r="AZ39">
        <v>139.24279158434686</v>
      </c>
      <c r="BA39">
        <v>14.704033925020882</v>
      </c>
      <c r="BB39">
        <v>0</v>
      </c>
      <c r="BC39">
        <v>0</v>
      </c>
      <c r="BD39">
        <v>8.5849814335732795</v>
      </c>
      <c r="BE39">
        <v>0</v>
      </c>
      <c r="BF39">
        <v>0</v>
      </c>
      <c r="BG39">
        <v>0</v>
      </c>
      <c r="BH39">
        <v>5.6843418860808015E-14</v>
      </c>
      <c r="BI39">
        <v>0</v>
      </c>
      <c r="BJ39">
        <v>0</v>
      </c>
      <c r="BK39">
        <v>6.1110126744484425</v>
      </c>
      <c r="BL39">
        <v>39.203500384539836</v>
      </c>
      <c r="BM39">
        <v>0</v>
      </c>
      <c r="BN39">
        <v>0</v>
      </c>
      <c r="BO39">
        <v>6.712138020464415E-14</v>
      </c>
      <c r="BP39">
        <v>56.544312450714393</v>
      </c>
      <c r="BQ39">
        <v>5.7053173173947525E-14</v>
      </c>
      <c r="BR39">
        <v>0</v>
      </c>
      <c r="BS39">
        <v>0</v>
      </c>
      <c r="BT39">
        <v>3.0207631156564578</v>
      </c>
      <c r="BU39">
        <v>20.404770147069762</v>
      </c>
      <c r="BV39">
        <v>92.348519436865956</v>
      </c>
      <c r="BW39">
        <v>0</v>
      </c>
      <c r="BX39">
        <v>0</v>
      </c>
      <c r="BY39" t="e">
        <v>#N/A</v>
      </c>
      <c r="BZ39">
        <v>0</v>
      </c>
      <c r="CA39">
        <v>0</v>
      </c>
      <c r="CB39">
        <v>0</v>
      </c>
      <c r="CC39" t="e">
        <v>#N/A</v>
      </c>
      <c r="CD39" t="e">
        <v>#N/A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11.391676812156447</v>
      </c>
      <c r="CK39">
        <v>5.6843418860808015E-14</v>
      </c>
      <c r="CL39">
        <v>79.407213369379107</v>
      </c>
      <c r="CM39">
        <v>0</v>
      </c>
      <c r="CN39">
        <v>168.58298288859567</v>
      </c>
      <c r="CO39">
        <v>34.358925846700032</v>
      </c>
      <c r="CP39">
        <v>158.43123320888887</v>
      </c>
      <c r="CQ39">
        <v>0</v>
      </c>
      <c r="CR39">
        <v>114.5427293105047</v>
      </c>
      <c r="CS39">
        <v>0</v>
      </c>
      <c r="CT39">
        <v>16.033214644520431</v>
      </c>
      <c r="CU39">
        <v>0</v>
      </c>
      <c r="CV39">
        <v>82.389818790697802</v>
      </c>
      <c r="CW39">
        <v>0</v>
      </c>
      <c r="CX39">
        <v>179.7700797869887</v>
      </c>
      <c r="CY39">
        <v>0.68137868129842216</v>
      </c>
      <c r="CZ39">
        <v>214.14772903100001</v>
      </c>
      <c r="DA39" s="97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92.16806690157776</v>
      </c>
      <c r="DL39">
        <v>227.14395354229507</v>
      </c>
      <c r="DM39">
        <v>0</v>
      </c>
      <c r="DN39">
        <v>135.33040351523078</v>
      </c>
      <c r="DO39">
        <v>8.2406103704309341</v>
      </c>
      <c r="DP39">
        <v>29.575185928613994</v>
      </c>
      <c r="DQ39">
        <v>0</v>
      </c>
      <c r="DR39">
        <v>0</v>
      </c>
      <c r="DS39">
        <v>28.084349800514595</v>
      </c>
      <c r="DT39" t="e">
        <v>#N/A</v>
      </c>
      <c r="DU39">
        <v>53.262237952716248</v>
      </c>
      <c r="DV39">
        <v>0</v>
      </c>
      <c r="DW39">
        <v>0</v>
      </c>
      <c r="DX39">
        <v>35.749399609626458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1.6151543741935448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1.586248829644185</v>
      </c>
      <c r="EN39">
        <v>0</v>
      </c>
      <c r="EO39">
        <v>0</v>
      </c>
      <c r="EP39">
        <v>403.66431999999998</v>
      </c>
      <c r="EQ39">
        <v>0</v>
      </c>
      <c r="ER39">
        <v>246.44565177965717</v>
      </c>
      <c r="ES39">
        <v>0</v>
      </c>
      <c r="ET39">
        <v>0</v>
      </c>
      <c r="EU39">
        <v>30.860538490745618</v>
      </c>
      <c r="EV39">
        <v>0</v>
      </c>
      <c r="EW39">
        <v>208.63933622560674</v>
      </c>
      <c r="EX39">
        <v>8.8259872432255086</v>
      </c>
      <c r="EY39">
        <v>5.6515469223834405</v>
      </c>
      <c r="EZ39">
        <v>0</v>
      </c>
      <c r="FA39">
        <v>0</v>
      </c>
      <c r="FB39">
        <v>9.2736546289371571</v>
      </c>
      <c r="FC39">
        <v>0</v>
      </c>
      <c r="FD39">
        <v>71.220778969400968</v>
      </c>
      <c r="FE39">
        <v>0</v>
      </c>
      <c r="FF39">
        <v>0</v>
      </c>
      <c r="FG39">
        <v>0</v>
      </c>
      <c r="FH39">
        <v>0</v>
      </c>
      <c r="FI39">
        <v>20.990309946902652</v>
      </c>
      <c r="FJ39">
        <v>0</v>
      </c>
      <c r="FK39">
        <v>0</v>
      </c>
      <c r="FL39">
        <v>324.02555552667815</v>
      </c>
      <c r="FM39">
        <v>10.232452279068118</v>
      </c>
      <c r="FN39">
        <v>0</v>
      </c>
      <c r="FO39">
        <v>0</v>
      </c>
      <c r="FP39" t="e">
        <v>#N/A</v>
      </c>
      <c r="FQ39">
        <v>0</v>
      </c>
      <c r="FR39" s="1">
        <v>263.66311999999954</v>
      </c>
      <c r="FS39">
        <v>0</v>
      </c>
      <c r="FT39">
        <v>284.35598122580626</v>
      </c>
      <c r="FU39">
        <v>65.952093009758869</v>
      </c>
      <c r="FV39">
        <v>0</v>
      </c>
      <c r="FW39">
        <v>34.709878801066672</v>
      </c>
      <c r="FX39">
        <v>0</v>
      </c>
      <c r="FY39">
        <v>0</v>
      </c>
      <c r="FZ39">
        <v>252.91555228351567</v>
      </c>
      <c r="GA39">
        <v>0</v>
      </c>
      <c r="GB39">
        <v>0</v>
      </c>
      <c r="GC39">
        <v>37.219031982702681</v>
      </c>
      <c r="GD39">
        <v>125.19580797859673</v>
      </c>
      <c r="GE39">
        <v>0</v>
      </c>
      <c r="GF39">
        <v>28.175385077538408</v>
      </c>
      <c r="GG39" t="e">
        <v>#N/A</v>
      </c>
      <c r="GH39">
        <v>0</v>
      </c>
      <c r="GI39">
        <v>0</v>
      </c>
      <c r="GJ39">
        <v>0</v>
      </c>
      <c r="GK39">
        <v>19.81764650984173</v>
      </c>
      <c r="GL39" t="e">
        <v>#N/A</v>
      </c>
      <c r="GM39">
        <v>229.35865175931366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5.8685410283921611</v>
      </c>
      <c r="GZ39">
        <v>19.563938741277624</v>
      </c>
      <c r="HA39">
        <v>0</v>
      </c>
      <c r="HB39" t="e">
        <v>#N/A</v>
      </c>
      <c r="HC39">
        <v>0</v>
      </c>
      <c r="HD39">
        <v>0</v>
      </c>
      <c r="HE39">
        <v>0</v>
      </c>
      <c r="HF39">
        <v>280.90724680597032</v>
      </c>
      <c r="HG39">
        <v>35.823827307951831</v>
      </c>
      <c r="HH39">
        <v>0</v>
      </c>
      <c r="HI39">
        <v>0</v>
      </c>
      <c r="HJ39" t="e">
        <v>#N/A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35.647764971789499</v>
      </c>
      <c r="HS39">
        <v>0</v>
      </c>
      <c r="HT39">
        <v>38.597982950819734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15.804388629092589</v>
      </c>
      <c r="IG39">
        <v>0</v>
      </c>
      <c r="IH39">
        <v>2.8428452742609642</v>
      </c>
      <c r="II39">
        <v>0</v>
      </c>
      <c r="IJ39">
        <v>0</v>
      </c>
      <c r="IK39">
        <v>0</v>
      </c>
      <c r="IL39">
        <v>5.2199546615221921</v>
      </c>
      <c r="IM39">
        <v>0</v>
      </c>
      <c r="IN39">
        <v>0</v>
      </c>
      <c r="IO39">
        <v>208.03890243389975</v>
      </c>
      <c r="IP39">
        <v>3.4191530141839406E-14</v>
      </c>
      <c r="IQ39">
        <v>0</v>
      </c>
      <c r="IR39" t="e">
        <v>#N/A</v>
      </c>
      <c r="IS39">
        <v>0</v>
      </c>
      <c r="IT39">
        <v>0.77953307456348009</v>
      </c>
      <c r="IU39">
        <v>0</v>
      </c>
      <c r="IV39">
        <v>0</v>
      </c>
      <c r="IW39">
        <v>0</v>
      </c>
      <c r="IX39">
        <v>0</v>
      </c>
      <c r="IY39">
        <v>2.3362620318785376</v>
      </c>
      <c r="IZ39">
        <v>0</v>
      </c>
    </row>
    <row r="40" spans="1:260">
      <c r="A40" s="90" t="s">
        <v>338</v>
      </c>
      <c r="B40">
        <v>0</v>
      </c>
      <c r="C40">
        <v>368.95039187147415</v>
      </c>
      <c r="D40">
        <v>0</v>
      </c>
      <c r="E40">
        <v>311.91328897015262</v>
      </c>
      <c r="F40">
        <v>247.04929150000004</v>
      </c>
      <c r="G40">
        <v>244.47818090000004</v>
      </c>
      <c r="H40">
        <v>369.50816858445796</v>
      </c>
      <c r="I40">
        <v>465.11970630000013</v>
      </c>
      <c r="J40">
        <v>130.35734844932617</v>
      </c>
      <c r="K40">
        <v>352.79266210000003</v>
      </c>
      <c r="L40">
        <v>336.01190459999998</v>
      </c>
      <c r="M40">
        <v>436.20648082384531</v>
      </c>
      <c r="N40">
        <v>348.97448470637926</v>
      </c>
      <c r="O40">
        <v>124.31193929999995</v>
      </c>
      <c r="P40">
        <v>355.65541815774628</v>
      </c>
      <c r="Q40">
        <v>464.00619859999995</v>
      </c>
      <c r="R40">
        <v>216.24015769282269</v>
      </c>
      <c r="S40">
        <v>328.10937039999999</v>
      </c>
      <c r="T40">
        <v>385.97736825895481</v>
      </c>
      <c r="U40">
        <v>326.77543451906865</v>
      </c>
      <c r="V40">
        <v>679.19524686552734</v>
      </c>
      <c r="W40">
        <v>400.1765284</v>
      </c>
      <c r="X40">
        <v>213.64111630000002</v>
      </c>
      <c r="Y40">
        <v>304.3674628</v>
      </c>
      <c r="Z40">
        <v>463.31124999176768</v>
      </c>
      <c r="AA40">
        <v>368.15745659999999</v>
      </c>
      <c r="AB40">
        <v>313.14081659999999</v>
      </c>
      <c r="AC40">
        <v>209.75368357894914</v>
      </c>
      <c r="AD40">
        <v>402.10400842150409</v>
      </c>
      <c r="AE40">
        <v>203.62336676857242</v>
      </c>
      <c r="AF40">
        <v>321.09515538619388</v>
      </c>
      <c r="AG40">
        <v>369.05272639999998</v>
      </c>
      <c r="AH40">
        <v>157.12145808348731</v>
      </c>
      <c r="AI40">
        <v>460.13059809999993</v>
      </c>
      <c r="AJ40">
        <v>386.56523210542775</v>
      </c>
      <c r="AK40">
        <v>394.90539638580344</v>
      </c>
      <c r="AL40">
        <v>159.85103639999997</v>
      </c>
      <c r="AM40">
        <v>435.43288475174398</v>
      </c>
      <c r="AN40">
        <v>418.95755220000001</v>
      </c>
      <c r="AO40">
        <v>557.5848439453332</v>
      </c>
      <c r="AP40">
        <v>428.38500222191146</v>
      </c>
      <c r="AQ40">
        <v>502.81411258571097</v>
      </c>
      <c r="AR40">
        <v>517.93732081021415</v>
      </c>
      <c r="AS40">
        <v>434.28824329999998</v>
      </c>
      <c r="AT40">
        <v>351.61394439999998</v>
      </c>
      <c r="AU40">
        <v>312.29083129999992</v>
      </c>
      <c r="AV40">
        <v>316.55549203215054</v>
      </c>
      <c r="AW40">
        <v>352.97307759999995</v>
      </c>
      <c r="AX40">
        <v>0</v>
      </c>
      <c r="AY40">
        <v>424.12879259999994</v>
      </c>
      <c r="AZ40">
        <v>169.35746891565316</v>
      </c>
      <c r="BA40">
        <v>291.72091817497915</v>
      </c>
      <c r="BB40">
        <v>389.35625010000001</v>
      </c>
      <c r="BC40">
        <v>359.23827240000003</v>
      </c>
      <c r="BD40">
        <v>358.2984823664267</v>
      </c>
      <c r="BE40">
        <v>328.48096699999991</v>
      </c>
      <c r="BF40">
        <v>149.34266840000001</v>
      </c>
      <c r="BG40">
        <v>405.41319419999991</v>
      </c>
      <c r="BH40">
        <v>125.53748349999995</v>
      </c>
      <c r="BI40">
        <v>806.05404889999988</v>
      </c>
      <c r="BJ40">
        <v>537.78049109999995</v>
      </c>
      <c r="BK40">
        <v>410.69255392555158</v>
      </c>
      <c r="BL40">
        <v>385.06742441546015</v>
      </c>
      <c r="BM40">
        <v>524.01191830000005</v>
      </c>
      <c r="BN40">
        <v>220.68611569999993</v>
      </c>
      <c r="BO40">
        <v>343.95016539999995</v>
      </c>
      <c r="BP40">
        <v>455.98718014928556</v>
      </c>
      <c r="BQ40">
        <v>395.81868909999997</v>
      </c>
      <c r="BR40">
        <v>484.02328210000007</v>
      </c>
      <c r="BS40">
        <v>502.22470329999999</v>
      </c>
      <c r="BT40">
        <v>513.71186388434342</v>
      </c>
      <c r="BU40">
        <v>434.86474805293022</v>
      </c>
      <c r="BV40">
        <v>287.012245563134</v>
      </c>
      <c r="BW40">
        <v>334.77760069999999</v>
      </c>
      <c r="BX40">
        <v>249.47502639999993</v>
      </c>
      <c r="BY40">
        <v>0</v>
      </c>
      <c r="BZ40">
        <v>346.11593340000007</v>
      </c>
      <c r="CA40">
        <v>350.97705289999993</v>
      </c>
      <c r="CB40">
        <v>0</v>
      </c>
      <c r="CC40">
        <v>0</v>
      </c>
      <c r="CD40">
        <v>0</v>
      </c>
      <c r="CE40">
        <v>160.76132459999997</v>
      </c>
      <c r="CF40">
        <v>603.8016793999999</v>
      </c>
      <c r="CG40">
        <v>313.23955230000007</v>
      </c>
      <c r="CH40">
        <v>408.15688569999998</v>
      </c>
      <c r="CI40">
        <v>257.60000000000002</v>
      </c>
      <c r="CJ40">
        <v>247.47832318784356</v>
      </c>
      <c r="CK40">
        <v>151.72999999999996</v>
      </c>
      <c r="CL40">
        <v>371.10278663062087</v>
      </c>
      <c r="CM40">
        <v>215.75000000000006</v>
      </c>
      <c r="CN40">
        <v>215.19701711140436</v>
      </c>
      <c r="CO40">
        <v>300.83107415329994</v>
      </c>
      <c r="CP40">
        <v>432.99876679111105</v>
      </c>
      <c r="CQ40">
        <v>424.15</v>
      </c>
      <c r="CR40">
        <v>639.06727068949522</v>
      </c>
      <c r="CS40">
        <v>472.52000000000004</v>
      </c>
      <c r="CT40">
        <v>410.57678535547961</v>
      </c>
      <c r="CU40">
        <v>338.51</v>
      </c>
      <c r="CV40">
        <v>857.0601812093023</v>
      </c>
      <c r="CW40">
        <v>515.29999999999995</v>
      </c>
      <c r="CX40">
        <v>328.81992021301136</v>
      </c>
      <c r="CY40">
        <v>239.88862131870152</v>
      </c>
      <c r="CZ40">
        <v>170.58227096900004</v>
      </c>
      <c r="DA40" s="97">
        <v>783.65</v>
      </c>
      <c r="DB40">
        <v>183.77999999999997</v>
      </c>
      <c r="DC40">
        <v>345.29999999999995</v>
      </c>
      <c r="DD40">
        <v>0</v>
      </c>
      <c r="DE40">
        <v>0</v>
      </c>
      <c r="DF40">
        <v>0</v>
      </c>
      <c r="DG40">
        <v>0</v>
      </c>
      <c r="DH40">
        <v>384.73</v>
      </c>
      <c r="DI40">
        <v>0</v>
      </c>
      <c r="DJ40">
        <v>0</v>
      </c>
      <c r="DK40">
        <v>352.45193309842227</v>
      </c>
      <c r="DL40">
        <v>92.476046457704967</v>
      </c>
      <c r="DM40">
        <v>0</v>
      </c>
      <c r="DN40">
        <v>326.41959648476927</v>
      </c>
      <c r="DO40">
        <v>249.85938962956911</v>
      </c>
      <c r="DP40">
        <v>406.344814071386</v>
      </c>
      <c r="DQ40">
        <v>0</v>
      </c>
      <c r="DR40">
        <v>412.09</v>
      </c>
      <c r="DS40">
        <v>255.41565019948541</v>
      </c>
      <c r="DT40">
        <v>0</v>
      </c>
      <c r="DU40">
        <v>101.33776204728372</v>
      </c>
      <c r="DV40">
        <v>0</v>
      </c>
      <c r="DW40">
        <v>175.45999999999992</v>
      </c>
      <c r="DX40">
        <v>93.020600390373517</v>
      </c>
      <c r="DY40">
        <v>0</v>
      </c>
      <c r="DZ40">
        <v>286.02999999999997</v>
      </c>
      <c r="EA40">
        <v>0</v>
      </c>
      <c r="EB40">
        <v>0</v>
      </c>
      <c r="EC40">
        <v>512.0200000000001</v>
      </c>
      <c r="ED40">
        <v>0</v>
      </c>
      <c r="EE40">
        <v>0</v>
      </c>
      <c r="EF40">
        <v>483.13484562580641</v>
      </c>
      <c r="EG40">
        <v>332</v>
      </c>
      <c r="EH40">
        <v>483.97</v>
      </c>
      <c r="EI40">
        <v>0</v>
      </c>
      <c r="EJ40">
        <v>336.55999999999989</v>
      </c>
      <c r="EK40">
        <v>388.40999999999997</v>
      </c>
      <c r="EL40">
        <v>0</v>
      </c>
      <c r="EM40">
        <v>394.87375117035572</v>
      </c>
      <c r="EN40">
        <v>0</v>
      </c>
      <c r="EO40">
        <v>0</v>
      </c>
      <c r="EP40">
        <v>126.94568</v>
      </c>
      <c r="EQ40">
        <v>0</v>
      </c>
      <c r="ER40">
        <v>133.90434822034285</v>
      </c>
      <c r="ES40">
        <v>373.76</v>
      </c>
      <c r="ET40">
        <v>392.36</v>
      </c>
      <c r="EU40">
        <v>257.81946150925432</v>
      </c>
      <c r="EV40">
        <v>0</v>
      </c>
      <c r="EW40">
        <v>129.6906637743931</v>
      </c>
      <c r="EX40">
        <v>105.77401275677443</v>
      </c>
      <c r="EY40">
        <v>345.65845307761657</v>
      </c>
      <c r="EZ40">
        <v>0</v>
      </c>
      <c r="FA40">
        <v>0</v>
      </c>
      <c r="FB40">
        <v>558.23634537106284</v>
      </c>
      <c r="FC40">
        <v>0</v>
      </c>
      <c r="FD40">
        <v>237.95922103059894</v>
      </c>
      <c r="FE40">
        <v>458.32999999999993</v>
      </c>
      <c r="FF40">
        <v>0</v>
      </c>
      <c r="FG40">
        <v>600.52</v>
      </c>
      <c r="FH40">
        <v>0</v>
      </c>
      <c r="FI40">
        <v>695.32969005309735</v>
      </c>
      <c r="FJ40">
        <v>232.27000000000004</v>
      </c>
      <c r="FK40">
        <v>0</v>
      </c>
      <c r="FL40">
        <v>133.82444447332179</v>
      </c>
      <c r="FM40">
        <v>162.34754772093183</v>
      </c>
      <c r="FN40">
        <v>0</v>
      </c>
      <c r="FO40">
        <v>372.95</v>
      </c>
      <c r="FP40">
        <v>0</v>
      </c>
      <c r="FQ40">
        <v>0</v>
      </c>
      <c r="FR40" s="1">
        <v>85.906879999999916</v>
      </c>
      <c r="FS40">
        <v>333.53999999999996</v>
      </c>
      <c r="FT40">
        <v>132.38401877419378</v>
      </c>
      <c r="FU40">
        <v>182.57790699024116</v>
      </c>
      <c r="FV40">
        <v>0</v>
      </c>
      <c r="FW40">
        <v>225.05012119893337</v>
      </c>
      <c r="FX40">
        <v>0</v>
      </c>
      <c r="FY40">
        <v>0</v>
      </c>
      <c r="FZ40">
        <v>142.0444477164844</v>
      </c>
      <c r="GA40">
        <v>219.06000000000003</v>
      </c>
      <c r="GB40">
        <v>0</v>
      </c>
      <c r="GC40">
        <v>241.75096801729731</v>
      </c>
      <c r="GD40">
        <v>183.25419202140327</v>
      </c>
      <c r="GE40">
        <v>0</v>
      </c>
      <c r="GF40">
        <v>134.26461492246165</v>
      </c>
      <c r="GG40">
        <v>0</v>
      </c>
      <c r="GH40">
        <v>243.56</v>
      </c>
      <c r="GI40">
        <v>0</v>
      </c>
      <c r="GJ40">
        <v>0</v>
      </c>
      <c r="GK40">
        <v>321.74235349015828</v>
      </c>
      <c r="GL40">
        <v>0</v>
      </c>
      <c r="GM40">
        <v>178.14134824068637</v>
      </c>
      <c r="GN40">
        <v>335.69000000000011</v>
      </c>
      <c r="GO40">
        <v>0</v>
      </c>
      <c r="GP40">
        <v>0</v>
      </c>
      <c r="GQ40">
        <v>0</v>
      </c>
      <c r="GR40">
        <v>426.45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334.76145897160785</v>
      </c>
      <c r="GZ40">
        <v>234.20606125872237</v>
      </c>
      <c r="HA40">
        <v>276.2</v>
      </c>
      <c r="HB40">
        <v>0</v>
      </c>
      <c r="HC40">
        <v>375.77999999999992</v>
      </c>
      <c r="HD40">
        <v>215.53</v>
      </c>
      <c r="HE40">
        <v>232.76000000000005</v>
      </c>
      <c r="HF40">
        <v>99.892753194029751</v>
      </c>
      <c r="HG40">
        <v>344.86617269204811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302.14223502821051</v>
      </c>
      <c r="HS40">
        <v>290.82</v>
      </c>
      <c r="HT40">
        <v>118.76201704918032</v>
      </c>
      <c r="HU40">
        <v>0</v>
      </c>
      <c r="HV40">
        <v>443.07999999999987</v>
      </c>
      <c r="HW40">
        <v>0</v>
      </c>
      <c r="HX40">
        <v>244.23999999999998</v>
      </c>
      <c r="HY40">
        <v>291.27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285.6856113709074</v>
      </c>
      <c r="IG40">
        <v>0</v>
      </c>
      <c r="IH40">
        <v>359.71715472573896</v>
      </c>
      <c r="II40">
        <v>0</v>
      </c>
      <c r="IJ40">
        <v>0</v>
      </c>
      <c r="IK40">
        <v>0</v>
      </c>
      <c r="IL40">
        <v>328.41004533847786</v>
      </c>
      <c r="IM40">
        <v>0</v>
      </c>
      <c r="IN40">
        <v>163.65999999999997</v>
      </c>
      <c r="IO40">
        <v>223.71109756610019</v>
      </c>
      <c r="IP40">
        <v>247.47999999999996</v>
      </c>
      <c r="IQ40">
        <v>0</v>
      </c>
      <c r="IR40">
        <v>0</v>
      </c>
      <c r="IS40">
        <v>0</v>
      </c>
      <c r="IT40">
        <v>329.19046692543651</v>
      </c>
      <c r="IU40">
        <v>133.11999999999995</v>
      </c>
      <c r="IV40">
        <v>0</v>
      </c>
      <c r="IW40">
        <v>0</v>
      </c>
      <c r="IX40">
        <v>0</v>
      </c>
      <c r="IY40">
        <v>100.45373796812146</v>
      </c>
      <c r="IZ40">
        <v>341.97</v>
      </c>
    </row>
    <row r="41" spans="1:260">
      <c r="A41" s="101" t="s">
        <v>415</v>
      </c>
      <c r="B41">
        <v>491.75</v>
      </c>
      <c r="C41">
        <v>467.76</v>
      </c>
      <c r="D41">
        <v>422.81</v>
      </c>
      <c r="E41">
        <v>493.56</v>
      </c>
      <c r="F41">
        <v>622.70000000000005</v>
      </c>
      <c r="G41">
        <v>491.75</v>
      </c>
      <c r="H41">
        <v>783.65</v>
      </c>
      <c r="I41">
        <v>584.57000000000005</v>
      </c>
      <c r="J41">
        <v>537.49</v>
      </c>
      <c r="K41">
        <v>464.97</v>
      </c>
      <c r="L41">
        <v>443.5</v>
      </c>
      <c r="M41">
        <v>628.9</v>
      </c>
      <c r="N41">
        <v>525.29999999999995</v>
      </c>
      <c r="O41">
        <v>451.95</v>
      </c>
      <c r="P41">
        <v>617.96</v>
      </c>
      <c r="Q41">
        <v>561.52</v>
      </c>
      <c r="R41">
        <v>428.25</v>
      </c>
      <c r="S41">
        <v>441.57</v>
      </c>
      <c r="T41">
        <v>493.56</v>
      </c>
      <c r="U41">
        <v>489.49</v>
      </c>
      <c r="V41">
        <v>887.62</v>
      </c>
      <c r="W41">
        <v>559.01</v>
      </c>
      <c r="X41">
        <v>522.69000000000005</v>
      </c>
      <c r="Y41">
        <v>494.8</v>
      </c>
      <c r="Z41">
        <v>695.35</v>
      </c>
      <c r="AA41">
        <v>485.26</v>
      </c>
      <c r="AB41">
        <v>431.39</v>
      </c>
      <c r="AC41">
        <v>422.81</v>
      </c>
      <c r="AD41">
        <v>657.6</v>
      </c>
      <c r="AE41">
        <v>431.39</v>
      </c>
      <c r="AF41">
        <v>438.18</v>
      </c>
      <c r="AG41">
        <v>464.66</v>
      </c>
      <c r="AH41">
        <v>447.87</v>
      </c>
      <c r="AI41">
        <v>714.4</v>
      </c>
      <c r="AJ41">
        <v>660.5</v>
      </c>
      <c r="AK41">
        <v>553.92999999999995</v>
      </c>
      <c r="AL41">
        <v>462.28</v>
      </c>
      <c r="AM41">
        <v>687.26</v>
      </c>
      <c r="AN41">
        <v>659.1</v>
      </c>
      <c r="AO41">
        <v>703.39</v>
      </c>
      <c r="AP41">
        <v>871.92</v>
      </c>
      <c r="AQ41">
        <v>631.79999999999995</v>
      </c>
      <c r="AR41">
        <v>660.5</v>
      </c>
      <c r="AS41">
        <v>544.78</v>
      </c>
      <c r="AT41">
        <v>561.52</v>
      </c>
      <c r="AU41">
        <v>454.14</v>
      </c>
      <c r="AV41">
        <v>510.33</v>
      </c>
      <c r="AW41">
        <v>484.05</v>
      </c>
      <c r="AX41" t="e">
        <v>#N/A</v>
      </c>
      <c r="AY41">
        <v>601.05999999999995</v>
      </c>
      <c r="AZ41">
        <v>510.33</v>
      </c>
      <c r="BA41">
        <v>438.63</v>
      </c>
      <c r="BB41">
        <v>486.66</v>
      </c>
      <c r="BC41">
        <v>578.87</v>
      </c>
      <c r="BD41">
        <v>573.45000000000005</v>
      </c>
      <c r="BE41">
        <v>445.78</v>
      </c>
      <c r="BF41">
        <v>458.52</v>
      </c>
      <c r="BG41">
        <v>562.04999999999995</v>
      </c>
      <c r="BH41">
        <v>496.08</v>
      </c>
      <c r="BI41">
        <v>906.21</v>
      </c>
      <c r="BJ41">
        <v>783.65</v>
      </c>
      <c r="BK41">
        <v>587.45000000000005</v>
      </c>
      <c r="BL41">
        <v>587.45000000000005</v>
      </c>
      <c r="BM41">
        <v>621.20000000000005</v>
      </c>
      <c r="BN41">
        <v>487.64</v>
      </c>
      <c r="BO41">
        <v>495.71</v>
      </c>
      <c r="BP41">
        <v>611.01</v>
      </c>
      <c r="BQ41">
        <v>496.08</v>
      </c>
      <c r="BR41">
        <v>604.37</v>
      </c>
      <c r="BS41">
        <v>612.16</v>
      </c>
      <c r="BT41">
        <v>631.67999999999995</v>
      </c>
      <c r="BU41">
        <v>551.38</v>
      </c>
      <c r="BV41">
        <v>485.26</v>
      </c>
      <c r="BW41">
        <v>441.57</v>
      </c>
      <c r="BX41">
        <v>544.78</v>
      </c>
      <c r="BY41" t="e">
        <v>#N/A</v>
      </c>
      <c r="BZ41">
        <v>530.69000000000005</v>
      </c>
      <c r="CA41">
        <v>575.79999999999995</v>
      </c>
      <c r="CB41">
        <v>484.05</v>
      </c>
      <c r="CC41" t="e">
        <v>#N/A</v>
      </c>
      <c r="CD41" t="e">
        <v>#N/A</v>
      </c>
      <c r="CE41">
        <v>428.25</v>
      </c>
      <c r="CF41">
        <v>887.62</v>
      </c>
      <c r="CG41">
        <v>657.6</v>
      </c>
      <c r="CH41">
        <v>609.28</v>
      </c>
      <c r="CI41">
        <v>355.2</v>
      </c>
      <c r="CJ41">
        <v>480.47</v>
      </c>
      <c r="CK41">
        <v>510.33</v>
      </c>
      <c r="CL41">
        <v>643.11</v>
      </c>
      <c r="CM41">
        <v>452.35</v>
      </c>
      <c r="CN41">
        <v>509.38</v>
      </c>
      <c r="CO41">
        <v>433.79</v>
      </c>
      <c r="CP41">
        <v>702.03</v>
      </c>
      <c r="CQ41">
        <v>574.75</v>
      </c>
      <c r="CR41">
        <v>906.21</v>
      </c>
      <c r="CS41">
        <v>821.12</v>
      </c>
      <c r="CT41">
        <v>524.21</v>
      </c>
      <c r="CU41">
        <v>553.11</v>
      </c>
      <c r="CV41">
        <v>1069.05</v>
      </c>
      <c r="CW41">
        <v>628.9</v>
      </c>
      <c r="CX41">
        <v>685.19</v>
      </c>
      <c r="CY41">
        <v>515.16999999999996</v>
      </c>
      <c r="CZ41">
        <v>510.33</v>
      </c>
      <c r="DA41" s="97">
        <v>783.65</v>
      </c>
      <c r="DB41">
        <v>509.38</v>
      </c>
      <c r="DC41">
        <v>545.9</v>
      </c>
      <c r="DD41">
        <v>551.70000000000005</v>
      </c>
      <c r="DE41">
        <v>493.56</v>
      </c>
      <c r="DF41">
        <v>435.77</v>
      </c>
      <c r="DG41">
        <v>489.07</v>
      </c>
      <c r="DH41">
        <v>510.33</v>
      </c>
      <c r="DI41">
        <v>505.33</v>
      </c>
      <c r="DJ41">
        <v>486.06</v>
      </c>
      <c r="DK41">
        <v>545.22</v>
      </c>
      <c r="DL41">
        <v>545.22</v>
      </c>
      <c r="DM41">
        <v>446.78</v>
      </c>
      <c r="DN41">
        <v>537.35</v>
      </c>
      <c r="DO41">
        <v>533.70000000000005</v>
      </c>
      <c r="DP41">
        <v>561.52</v>
      </c>
      <c r="DQ41">
        <v>467.76</v>
      </c>
      <c r="DR41">
        <v>522.69000000000005</v>
      </c>
      <c r="DS41">
        <v>449.1</v>
      </c>
      <c r="DT41" t="e">
        <v>#N/A</v>
      </c>
      <c r="DU41">
        <v>355.2</v>
      </c>
      <c r="DV41">
        <v>538.41999999999996</v>
      </c>
      <c r="DW41">
        <v>601.05999999999995</v>
      </c>
      <c r="DX41">
        <v>604.37</v>
      </c>
      <c r="DY41">
        <v>581.47</v>
      </c>
      <c r="DZ41">
        <v>606.63</v>
      </c>
      <c r="EA41">
        <v>714.4</v>
      </c>
      <c r="EB41">
        <v>529.85</v>
      </c>
      <c r="EC41">
        <v>887.62</v>
      </c>
      <c r="ED41">
        <v>658.84</v>
      </c>
      <c r="EE41">
        <v>659.1</v>
      </c>
      <c r="EF41">
        <v>695.35</v>
      </c>
      <c r="EG41">
        <v>657.6</v>
      </c>
      <c r="EH41">
        <v>584.57000000000005</v>
      </c>
      <c r="EI41">
        <v>660.5</v>
      </c>
      <c r="EJ41">
        <v>612.16</v>
      </c>
      <c r="EK41">
        <v>559.01</v>
      </c>
      <c r="EL41">
        <v>622.28</v>
      </c>
      <c r="EM41">
        <v>672.06</v>
      </c>
      <c r="EN41">
        <v>622.70000000000005</v>
      </c>
      <c r="EO41">
        <v>1069.05</v>
      </c>
      <c r="EP41">
        <v>906.21</v>
      </c>
      <c r="EQ41">
        <v>428.25</v>
      </c>
      <c r="ER41">
        <v>605.95000000000005</v>
      </c>
      <c r="ES41">
        <v>529.36</v>
      </c>
      <c r="ET41">
        <v>542.96</v>
      </c>
      <c r="EU41">
        <v>609.28</v>
      </c>
      <c r="EV41">
        <v>537.07000000000005</v>
      </c>
      <c r="EW41">
        <v>462.28</v>
      </c>
      <c r="EX41">
        <v>355.2</v>
      </c>
      <c r="EY41">
        <v>553.11</v>
      </c>
      <c r="EZ41">
        <v>609.28</v>
      </c>
      <c r="FA41">
        <v>447.42</v>
      </c>
      <c r="FB41">
        <v>643.11</v>
      </c>
      <c r="FC41">
        <v>859.96</v>
      </c>
      <c r="FD41">
        <v>544.78</v>
      </c>
      <c r="FE41">
        <v>553.92999999999995</v>
      </c>
      <c r="FF41">
        <v>487.64</v>
      </c>
      <c r="FG41">
        <v>821.12</v>
      </c>
      <c r="FH41">
        <v>648.04</v>
      </c>
      <c r="FI41">
        <v>871.92</v>
      </c>
      <c r="FJ41">
        <v>447.87</v>
      </c>
      <c r="FK41">
        <v>530.69000000000005</v>
      </c>
      <c r="FL41">
        <v>573.45000000000005</v>
      </c>
      <c r="FM41">
        <v>438.18</v>
      </c>
      <c r="FN41">
        <v>611.01</v>
      </c>
      <c r="FO41">
        <v>574.75</v>
      </c>
      <c r="FP41" t="e">
        <v>#N/A</v>
      </c>
      <c r="FQ41">
        <v>452.59</v>
      </c>
      <c r="FR41" s="1">
        <v>515.16999999999996</v>
      </c>
      <c r="FS41">
        <v>454.14</v>
      </c>
      <c r="FT41">
        <v>552.34</v>
      </c>
      <c r="FU41">
        <v>399.13</v>
      </c>
      <c r="FV41">
        <v>489.49</v>
      </c>
      <c r="FW41">
        <v>585.36</v>
      </c>
      <c r="FX41">
        <v>585.36</v>
      </c>
      <c r="FY41">
        <v>550.91999999999996</v>
      </c>
      <c r="FZ41">
        <v>505.56</v>
      </c>
      <c r="GA41">
        <v>464.66</v>
      </c>
      <c r="GB41">
        <v>482.29</v>
      </c>
      <c r="GC41">
        <v>604.57000000000005</v>
      </c>
      <c r="GD41">
        <v>484.05</v>
      </c>
      <c r="GE41">
        <v>496.53</v>
      </c>
      <c r="GF41">
        <v>488.04</v>
      </c>
      <c r="GG41" t="e">
        <v>#N/A</v>
      </c>
      <c r="GH41">
        <v>486.66</v>
      </c>
      <c r="GI41">
        <v>480.47</v>
      </c>
      <c r="GJ41">
        <v>452.35</v>
      </c>
      <c r="GK41">
        <v>473.51</v>
      </c>
      <c r="GL41" t="e">
        <v>#N/A</v>
      </c>
      <c r="GM41">
        <v>573.1</v>
      </c>
      <c r="GN41">
        <v>537.49</v>
      </c>
      <c r="GO41">
        <v>571.89</v>
      </c>
      <c r="GP41">
        <v>587.45000000000005</v>
      </c>
      <c r="GQ41">
        <v>422.81</v>
      </c>
      <c r="GR41">
        <v>562.04999999999995</v>
      </c>
      <c r="GS41">
        <v>805.13</v>
      </c>
      <c r="GT41">
        <v>495.71</v>
      </c>
      <c r="GU41">
        <v>631.79999999999995</v>
      </c>
      <c r="GV41">
        <v>766.41</v>
      </c>
      <c r="GW41">
        <v>464.97</v>
      </c>
      <c r="GX41">
        <v>954.77</v>
      </c>
      <c r="GY41">
        <v>583.23</v>
      </c>
      <c r="GZ41">
        <v>388.37</v>
      </c>
      <c r="HA41">
        <v>486.8</v>
      </c>
      <c r="HB41" t="e">
        <v>#N/A</v>
      </c>
      <c r="HC41">
        <v>551.38</v>
      </c>
      <c r="HD41">
        <v>411.13</v>
      </c>
      <c r="HE41">
        <v>434.56</v>
      </c>
      <c r="HF41">
        <v>496.4</v>
      </c>
      <c r="HG41">
        <v>696.29</v>
      </c>
      <c r="HH41">
        <v>653.9</v>
      </c>
      <c r="HI41">
        <v>438.63</v>
      </c>
      <c r="HJ41" t="e">
        <v>#N/A</v>
      </c>
      <c r="HK41">
        <v>494.8</v>
      </c>
      <c r="HL41">
        <v>751.94</v>
      </c>
      <c r="HM41">
        <v>702.03</v>
      </c>
      <c r="HN41">
        <v>525.29999999999995</v>
      </c>
      <c r="HO41">
        <v>537.84</v>
      </c>
      <c r="HP41">
        <v>685.19</v>
      </c>
      <c r="HQ41">
        <v>687.26</v>
      </c>
      <c r="HR41">
        <v>703.39</v>
      </c>
      <c r="HS41">
        <v>578.87</v>
      </c>
      <c r="HT41">
        <v>617.96</v>
      </c>
      <c r="HU41">
        <v>783.65</v>
      </c>
      <c r="HV41">
        <v>631.67999999999995</v>
      </c>
      <c r="HW41">
        <v>621.20000000000005</v>
      </c>
      <c r="HX41">
        <v>487.19</v>
      </c>
      <c r="HY41">
        <v>555.87</v>
      </c>
      <c r="HZ41">
        <v>524.21</v>
      </c>
      <c r="IA41">
        <v>496.08</v>
      </c>
      <c r="IB41">
        <v>617.4</v>
      </c>
      <c r="IC41">
        <v>491.75</v>
      </c>
      <c r="ID41">
        <v>617.5</v>
      </c>
      <c r="IE41">
        <v>502.09</v>
      </c>
      <c r="IF41">
        <v>502.09</v>
      </c>
      <c r="IG41">
        <v>463.59</v>
      </c>
      <c r="IH41">
        <v>558.16</v>
      </c>
      <c r="II41">
        <v>461.16</v>
      </c>
      <c r="IJ41">
        <v>628.9</v>
      </c>
      <c r="IK41">
        <v>590.33000000000004</v>
      </c>
      <c r="IL41">
        <v>431.63</v>
      </c>
      <c r="IM41">
        <v>451.95</v>
      </c>
      <c r="IN41">
        <v>485.26</v>
      </c>
      <c r="IO41">
        <v>575.79999999999995</v>
      </c>
      <c r="IP41">
        <v>501.08</v>
      </c>
      <c r="IQ41">
        <v>443.5</v>
      </c>
      <c r="IR41" t="e">
        <v>#N/A</v>
      </c>
      <c r="IS41">
        <v>458.52</v>
      </c>
      <c r="IT41">
        <v>441.57</v>
      </c>
      <c r="IU41">
        <v>431.39</v>
      </c>
      <c r="IV41">
        <v>433.79</v>
      </c>
      <c r="IW41">
        <v>437.21</v>
      </c>
      <c r="IX41">
        <v>445.78</v>
      </c>
      <c r="IY41">
        <v>448.39</v>
      </c>
      <c r="IZ41">
        <v>475.22</v>
      </c>
    </row>
    <row r="42" spans="1:260">
      <c r="A42" s="65" t="s">
        <v>416</v>
      </c>
      <c r="B42">
        <v>276</v>
      </c>
      <c r="C42">
        <v>303</v>
      </c>
      <c r="D42">
        <v>374</v>
      </c>
      <c r="E42">
        <v>274</v>
      </c>
      <c r="F42">
        <v>184</v>
      </c>
      <c r="G42">
        <v>276</v>
      </c>
      <c r="H42">
        <v>131</v>
      </c>
      <c r="I42">
        <v>204</v>
      </c>
      <c r="J42">
        <v>235</v>
      </c>
      <c r="K42">
        <v>307</v>
      </c>
      <c r="L42">
        <v>338</v>
      </c>
      <c r="M42">
        <v>181</v>
      </c>
      <c r="N42">
        <v>244</v>
      </c>
      <c r="O42">
        <v>325</v>
      </c>
      <c r="P42">
        <v>186</v>
      </c>
      <c r="Q42">
        <v>218</v>
      </c>
      <c r="R42">
        <v>364</v>
      </c>
      <c r="S42">
        <v>341</v>
      </c>
      <c r="T42">
        <v>274</v>
      </c>
      <c r="U42">
        <v>278</v>
      </c>
      <c r="V42">
        <v>110</v>
      </c>
      <c r="W42">
        <v>219</v>
      </c>
      <c r="X42">
        <v>246</v>
      </c>
      <c r="Y42">
        <v>272</v>
      </c>
      <c r="Z42">
        <v>155</v>
      </c>
      <c r="AA42">
        <v>283</v>
      </c>
      <c r="AB42">
        <v>358</v>
      </c>
      <c r="AC42">
        <v>374</v>
      </c>
      <c r="AD42">
        <v>169</v>
      </c>
      <c r="AE42">
        <v>358</v>
      </c>
      <c r="AF42">
        <v>346</v>
      </c>
      <c r="AG42">
        <v>307</v>
      </c>
      <c r="AH42">
        <v>331</v>
      </c>
      <c r="AI42">
        <v>149</v>
      </c>
      <c r="AJ42">
        <v>168</v>
      </c>
      <c r="AK42">
        <v>223</v>
      </c>
      <c r="AL42">
        <v>310</v>
      </c>
      <c r="AM42">
        <v>158</v>
      </c>
      <c r="AN42">
        <v>168</v>
      </c>
      <c r="AO42">
        <v>153</v>
      </c>
      <c r="AP42">
        <v>113</v>
      </c>
      <c r="AQ42">
        <v>180</v>
      </c>
      <c r="AR42">
        <v>168</v>
      </c>
      <c r="AS42">
        <v>229</v>
      </c>
      <c r="AT42">
        <v>218</v>
      </c>
      <c r="AU42">
        <v>322</v>
      </c>
      <c r="AV42">
        <v>257</v>
      </c>
      <c r="AW42">
        <v>284</v>
      </c>
      <c r="AX42" t="e">
        <v>#N/A</v>
      </c>
      <c r="AY42">
        <v>195</v>
      </c>
      <c r="AZ42">
        <v>257</v>
      </c>
      <c r="BA42">
        <v>346</v>
      </c>
      <c r="BB42">
        <v>281</v>
      </c>
      <c r="BC42">
        <v>207</v>
      </c>
      <c r="BD42">
        <v>210</v>
      </c>
      <c r="BE42">
        <v>334</v>
      </c>
      <c r="BF42">
        <v>316</v>
      </c>
      <c r="BG42">
        <v>217</v>
      </c>
      <c r="BH42">
        <v>271</v>
      </c>
      <c r="BI42">
        <v>107</v>
      </c>
      <c r="BJ42">
        <v>131</v>
      </c>
      <c r="BK42">
        <v>202</v>
      </c>
      <c r="BL42">
        <v>202</v>
      </c>
      <c r="BM42">
        <v>185</v>
      </c>
      <c r="BN42">
        <v>280</v>
      </c>
      <c r="BO42">
        <v>271</v>
      </c>
      <c r="BP42">
        <v>189</v>
      </c>
      <c r="BQ42">
        <v>271</v>
      </c>
      <c r="BR42">
        <v>193</v>
      </c>
      <c r="BS42">
        <v>189</v>
      </c>
      <c r="BT42">
        <v>180</v>
      </c>
      <c r="BU42">
        <v>225</v>
      </c>
      <c r="BV42">
        <v>283</v>
      </c>
      <c r="BW42">
        <v>341</v>
      </c>
      <c r="BX42">
        <v>229</v>
      </c>
      <c r="BY42" t="e">
        <v>#N/A</v>
      </c>
      <c r="BZ42">
        <v>240</v>
      </c>
      <c r="CA42">
        <v>209</v>
      </c>
      <c r="CB42">
        <v>284</v>
      </c>
      <c r="CC42" t="e">
        <v>#N/A</v>
      </c>
      <c r="CD42" t="e">
        <v>#N/A</v>
      </c>
      <c r="CE42">
        <v>364</v>
      </c>
      <c r="CF42">
        <v>110</v>
      </c>
      <c r="CG42">
        <v>169</v>
      </c>
      <c r="CH42">
        <v>190</v>
      </c>
      <c r="CI42">
        <v>576</v>
      </c>
      <c r="CJ42">
        <v>288</v>
      </c>
      <c r="CK42">
        <v>257</v>
      </c>
      <c r="CL42">
        <v>175</v>
      </c>
      <c r="CM42">
        <v>324</v>
      </c>
      <c r="CN42">
        <v>258</v>
      </c>
      <c r="CO42">
        <v>354</v>
      </c>
      <c r="CP42">
        <v>153</v>
      </c>
      <c r="CQ42">
        <v>209</v>
      </c>
      <c r="CR42">
        <v>107</v>
      </c>
      <c r="CS42">
        <v>122</v>
      </c>
      <c r="CT42">
        <v>245</v>
      </c>
      <c r="CU42">
        <v>223</v>
      </c>
      <c r="CV42">
        <v>86</v>
      </c>
      <c r="CW42">
        <v>181</v>
      </c>
      <c r="CX42">
        <v>159</v>
      </c>
      <c r="CY42">
        <v>253</v>
      </c>
      <c r="CZ42">
        <v>257</v>
      </c>
      <c r="DA42" s="97">
        <v>131</v>
      </c>
      <c r="DB42">
        <v>258</v>
      </c>
      <c r="DC42">
        <v>228</v>
      </c>
      <c r="DD42">
        <v>224</v>
      </c>
      <c r="DE42">
        <v>274</v>
      </c>
      <c r="DF42">
        <v>350</v>
      </c>
      <c r="DG42">
        <v>278</v>
      </c>
      <c r="DH42">
        <v>257</v>
      </c>
      <c r="DI42">
        <v>262</v>
      </c>
      <c r="DJ42">
        <v>282</v>
      </c>
      <c r="DK42">
        <v>229</v>
      </c>
      <c r="DL42">
        <v>229</v>
      </c>
      <c r="DM42">
        <v>333</v>
      </c>
      <c r="DN42">
        <v>235</v>
      </c>
      <c r="DO42">
        <v>238</v>
      </c>
      <c r="DP42">
        <v>218</v>
      </c>
      <c r="DQ42">
        <v>303</v>
      </c>
      <c r="DR42">
        <v>246</v>
      </c>
      <c r="DS42">
        <v>329</v>
      </c>
      <c r="DT42" t="e">
        <v>#N/A</v>
      </c>
      <c r="DU42">
        <v>576</v>
      </c>
      <c r="DV42">
        <v>234</v>
      </c>
      <c r="DW42">
        <v>195</v>
      </c>
      <c r="DX42">
        <v>193</v>
      </c>
      <c r="DY42">
        <v>205</v>
      </c>
      <c r="DZ42">
        <v>192</v>
      </c>
      <c r="EA42">
        <v>149</v>
      </c>
      <c r="EB42">
        <v>241</v>
      </c>
      <c r="EC42">
        <v>110</v>
      </c>
      <c r="ED42">
        <v>168</v>
      </c>
      <c r="EE42">
        <v>168</v>
      </c>
      <c r="EF42">
        <v>155</v>
      </c>
      <c r="EG42">
        <v>169</v>
      </c>
      <c r="EH42">
        <v>204</v>
      </c>
      <c r="EI42">
        <v>168</v>
      </c>
      <c r="EJ42">
        <v>189</v>
      </c>
      <c r="EK42">
        <v>219</v>
      </c>
      <c r="EL42">
        <v>184</v>
      </c>
      <c r="EM42">
        <v>163</v>
      </c>
      <c r="EN42">
        <v>184</v>
      </c>
      <c r="EO42">
        <v>86</v>
      </c>
      <c r="EP42">
        <v>107</v>
      </c>
      <c r="EQ42">
        <v>364</v>
      </c>
      <c r="ER42">
        <v>192</v>
      </c>
      <c r="ES42">
        <v>241</v>
      </c>
      <c r="ET42">
        <v>231</v>
      </c>
      <c r="EU42">
        <v>190</v>
      </c>
      <c r="EV42">
        <v>235</v>
      </c>
      <c r="EW42">
        <v>310</v>
      </c>
      <c r="EX42">
        <v>576</v>
      </c>
      <c r="EY42">
        <v>223</v>
      </c>
      <c r="EZ42">
        <v>190</v>
      </c>
      <c r="FA42">
        <v>332</v>
      </c>
      <c r="FB42">
        <v>175</v>
      </c>
      <c r="FC42">
        <v>115</v>
      </c>
      <c r="FD42">
        <v>229</v>
      </c>
      <c r="FE42">
        <v>223</v>
      </c>
      <c r="FF42">
        <v>280</v>
      </c>
      <c r="FG42">
        <v>122</v>
      </c>
      <c r="FH42">
        <v>173</v>
      </c>
      <c r="FI42">
        <v>113</v>
      </c>
      <c r="FJ42">
        <v>331</v>
      </c>
      <c r="FK42">
        <v>240</v>
      </c>
      <c r="FL42">
        <v>210</v>
      </c>
      <c r="FM42">
        <v>346</v>
      </c>
      <c r="FN42">
        <v>189</v>
      </c>
      <c r="FO42">
        <v>209</v>
      </c>
      <c r="FP42" t="e">
        <v>#N/A</v>
      </c>
      <c r="FQ42">
        <v>324</v>
      </c>
      <c r="FR42" s="1">
        <v>253</v>
      </c>
      <c r="FS42">
        <v>322</v>
      </c>
      <c r="FT42">
        <v>224</v>
      </c>
      <c r="FU42">
        <v>426</v>
      </c>
      <c r="FV42">
        <v>278</v>
      </c>
      <c r="FW42">
        <v>203</v>
      </c>
      <c r="FX42">
        <v>203</v>
      </c>
      <c r="FY42">
        <v>225</v>
      </c>
      <c r="FZ42">
        <v>262</v>
      </c>
      <c r="GA42">
        <v>307</v>
      </c>
      <c r="GB42">
        <v>286</v>
      </c>
      <c r="GC42">
        <v>193</v>
      </c>
      <c r="GD42">
        <v>284</v>
      </c>
      <c r="GE42">
        <v>271</v>
      </c>
      <c r="GF42">
        <v>280</v>
      </c>
      <c r="GG42" t="e">
        <v>#N/A</v>
      </c>
      <c r="GH42">
        <v>281</v>
      </c>
      <c r="GI42">
        <v>288</v>
      </c>
      <c r="GJ42">
        <v>324</v>
      </c>
      <c r="GK42">
        <v>296</v>
      </c>
      <c r="GL42" t="e">
        <v>#N/A</v>
      </c>
      <c r="GM42">
        <v>210</v>
      </c>
      <c r="GN42">
        <v>235</v>
      </c>
      <c r="GO42">
        <v>211</v>
      </c>
      <c r="GP42">
        <v>202</v>
      </c>
      <c r="GQ42">
        <v>374</v>
      </c>
      <c r="GR42">
        <v>217</v>
      </c>
      <c r="GS42">
        <v>126</v>
      </c>
      <c r="GT42">
        <v>271</v>
      </c>
      <c r="GU42">
        <v>180</v>
      </c>
      <c r="GV42">
        <v>135</v>
      </c>
      <c r="GW42">
        <v>307</v>
      </c>
      <c r="GX42">
        <v>100</v>
      </c>
      <c r="GY42">
        <v>204</v>
      </c>
      <c r="GZ42">
        <v>455</v>
      </c>
      <c r="HA42">
        <v>281</v>
      </c>
      <c r="HB42" t="e">
        <v>#N/A</v>
      </c>
      <c r="HC42">
        <v>225</v>
      </c>
      <c r="HD42">
        <v>398</v>
      </c>
      <c r="HE42">
        <v>352</v>
      </c>
      <c r="HF42">
        <v>271</v>
      </c>
      <c r="HG42">
        <v>155</v>
      </c>
      <c r="HH42">
        <v>170</v>
      </c>
      <c r="HI42">
        <v>346</v>
      </c>
      <c r="HJ42" t="e">
        <v>#N/A</v>
      </c>
      <c r="HK42">
        <v>272</v>
      </c>
      <c r="HL42">
        <v>138</v>
      </c>
      <c r="HM42">
        <v>153</v>
      </c>
      <c r="HN42">
        <v>244</v>
      </c>
      <c r="HO42">
        <v>234</v>
      </c>
      <c r="HP42">
        <v>159</v>
      </c>
      <c r="HQ42">
        <v>158</v>
      </c>
      <c r="HR42">
        <v>153</v>
      </c>
      <c r="HS42">
        <v>207</v>
      </c>
      <c r="HT42">
        <v>186</v>
      </c>
      <c r="HU42">
        <v>131</v>
      </c>
      <c r="HV42">
        <v>180</v>
      </c>
      <c r="HW42">
        <v>185</v>
      </c>
      <c r="HX42">
        <v>280</v>
      </c>
      <c r="HY42">
        <v>221</v>
      </c>
      <c r="HZ42">
        <v>245</v>
      </c>
      <c r="IA42">
        <v>271</v>
      </c>
      <c r="IB42">
        <v>186</v>
      </c>
      <c r="IC42">
        <v>276</v>
      </c>
      <c r="ID42">
        <v>186</v>
      </c>
      <c r="IE42">
        <v>265</v>
      </c>
      <c r="IF42">
        <v>265</v>
      </c>
      <c r="IG42">
        <v>309</v>
      </c>
      <c r="IH42">
        <v>220</v>
      </c>
      <c r="II42">
        <v>312</v>
      </c>
      <c r="IJ42">
        <v>181</v>
      </c>
      <c r="IK42">
        <v>200</v>
      </c>
      <c r="IL42">
        <v>358</v>
      </c>
      <c r="IM42">
        <v>325</v>
      </c>
      <c r="IN42">
        <v>283</v>
      </c>
      <c r="IO42">
        <v>209</v>
      </c>
      <c r="IP42">
        <v>266</v>
      </c>
      <c r="IQ42">
        <v>338</v>
      </c>
      <c r="IR42" t="e">
        <v>#N/A</v>
      </c>
      <c r="IS42">
        <v>316</v>
      </c>
      <c r="IT42">
        <v>341</v>
      </c>
      <c r="IU42">
        <v>358</v>
      </c>
      <c r="IV42">
        <v>354</v>
      </c>
      <c r="IW42">
        <v>348</v>
      </c>
      <c r="IX42">
        <v>334</v>
      </c>
      <c r="IY42">
        <v>330</v>
      </c>
      <c r="IZ42">
        <v>294</v>
      </c>
    </row>
    <row r="43" spans="1:260">
      <c r="A43" s="76"/>
    </row>
    <row r="49" spans="1:1">
      <c r="A49" s="64"/>
    </row>
    <row r="50" spans="1:1">
      <c r="A50" s="64"/>
    </row>
    <row r="51" spans="1:1">
      <c r="A51" s="64"/>
    </row>
    <row r="52" spans="1:1">
      <c r="A52" s="64"/>
    </row>
    <row r="53" spans="1:1">
      <c r="A53" s="64"/>
    </row>
    <row r="54" spans="1:1">
      <c r="A54" s="64"/>
    </row>
  </sheetData>
  <conditionalFormatting sqref="A49">
    <cfRule type="cellIs" dxfId="1" priority="4" operator="greaterThan">
      <formula>100</formula>
    </cfRule>
  </conditionalFormatting>
  <conditionalFormatting sqref="A49">
    <cfRule type="cellIs" dxfId="0" priority="3" operator="greaterThan">
      <formula>100</formula>
    </cfRule>
  </conditionalFormatting>
  <conditionalFormatting sqref="A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:A4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:A4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6:A54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90" verticalDpi="9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methodology</vt:lpstr>
      <vt:lpstr>locations_data</vt:lpstr>
      <vt:lpstr>MT calculation</vt:lpstr>
      <vt:lpstr>Testing</vt:lpstr>
    </vt:vector>
  </TitlesOfParts>
  <Company>BBC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Ransome Mpini</dc:creator>
  <cp:lastModifiedBy>Ransome Mpini</cp:lastModifiedBy>
  <dcterms:created xsi:type="dcterms:W3CDTF">2014-11-04T08:05:24Z</dcterms:created>
  <dcterms:modified xsi:type="dcterms:W3CDTF">2015-01-21T11:16:30Z</dcterms:modified>
</cp:coreProperties>
</file>